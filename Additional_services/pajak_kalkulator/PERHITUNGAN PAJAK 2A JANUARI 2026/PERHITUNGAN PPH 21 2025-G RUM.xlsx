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480" windowWidth="15600" windowHeight="11160" tabRatio="499" activeTab="1"/>
  </bookViews>
  <sheets>
    <sheet name="TARIF" sheetId="1" r:id="rId1"/>
    <sheet name="Des" sheetId="3" r:id="rId2"/>
    <sheet name="Jan'24" sheetId="9" state="hidden" r:id="rId3"/>
    <sheet name="Feb'24" sheetId="10" state="hidden" r:id="rId4"/>
    <sheet name="Feb'24 THR" sheetId="22" state="hidden" r:id="rId5"/>
    <sheet name="Maret'24" sheetId="11" state="hidden" r:id="rId6"/>
    <sheet name="April '24" sheetId="25" state="hidden" r:id="rId7"/>
    <sheet name="PPH EXGRATIA" sheetId="32" state="hidden" r:id="rId8"/>
    <sheet name="Mei '24" sheetId="24" state="hidden" r:id="rId9"/>
    <sheet name="Juni '24 " sheetId="26" state="hidden" r:id="rId10"/>
    <sheet name="Juli '24" sheetId="27" state="hidden" r:id="rId11"/>
    <sheet name="Agust '24 " sheetId="28" state="hidden" r:id="rId12"/>
    <sheet name="Sept '24" sheetId="29" state="hidden" r:id="rId13"/>
    <sheet name="Okt '24 " sheetId="30" state="hidden" r:id="rId14"/>
    <sheet name="Nop '24 " sheetId="31" state="hidden" r:id="rId15"/>
    <sheet name="PERBULAN" sheetId="20" state="hidden" r:id="rId16"/>
    <sheet name="SETAHUN" sheetId="33" state="hidden" r:id="rId17"/>
    <sheet name="PAJAK JAN-NOV" sheetId="35" state="hidden" r:id="rId18"/>
    <sheet name="BPJS" sheetId="34" state="hidden" r:id="rId19"/>
    <sheet name="ASTEK 2% -DIISI SMPAI DESEMBER" sheetId="36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februari" localSheetId="11">TARIF!#REF!</definedName>
    <definedName name="februari" localSheetId="6">TARIF!#REF!</definedName>
    <definedName name="februari" localSheetId="10">TARIF!#REF!</definedName>
    <definedName name="februari" localSheetId="9">TARIF!#REF!</definedName>
    <definedName name="februari" localSheetId="8">TARIF!#REF!</definedName>
    <definedName name="februari" localSheetId="14">TARIF!#REF!</definedName>
    <definedName name="februari" localSheetId="13">TARIF!#REF!</definedName>
    <definedName name="februari" localSheetId="7">TARIF!#REF!</definedName>
    <definedName name="februari" localSheetId="12">TARIF!#REF!</definedName>
    <definedName name="februari">TARIF!#REF!</definedName>
    <definedName name="PH" localSheetId="11">[1]TARIF!#REF!</definedName>
    <definedName name="PH" localSheetId="6">[1]TARIF!#REF!</definedName>
    <definedName name="PH" localSheetId="3">[1]TARIF!#REF!</definedName>
    <definedName name="PH" localSheetId="4">[1]TARIF!#REF!</definedName>
    <definedName name="PH" localSheetId="10">[1]TARIF!#REF!</definedName>
    <definedName name="PH" localSheetId="9">[1]TARIF!#REF!</definedName>
    <definedName name="PH" localSheetId="5">[1]TARIF!#REF!</definedName>
    <definedName name="PH" localSheetId="8">[1]TARIF!#REF!</definedName>
    <definedName name="PH" localSheetId="14">[1]TARIF!#REF!</definedName>
    <definedName name="PH" localSheetId="13">[1]TARIF!#REF!</definedName>
    <definedName name="PH" localSheetId="7">[1]TARIF!#REF!</definedName>
    <definedName name="PH" localSheetId="12">[1]TARIF!#REF!</definedName>
    <definedName name="PH">TARIF!#REF!</definedName>
    <definedName name="_xlnm.Print_Area" localSheetId="1">Des!$A$1:$AM$139</definedName>
    <definedName name="_xlnm.Print_Area" localSheetId="3">'Feb''24'!#REF!</definedName>
    <definedName name="_xlnm.Print_Area" localSheetId="4">'Feb''24 THR'!#REF!</definedName>
    <definedName name="PTKP" localSheetId="11">[1]TARIF!#REF!</definedName>
    <definedName name="PTKP" localSheetId="6">[1]TARIF!#REF!</definedName>
    <definedName name="PTKP" localSheetId="3">[1]TARIF!#REF!</definedName>
    <definedName name="PTKP" localSheetId="4">[1]TARIF!#REF!</definedName>
    <definedName name="PTKP" localSheetId="10">[1]TARIF!#REF!</definedName>
    <definedName name="PTKP" localSheetId="9">[1]TARIF!#REF!</definedName>
    <definedName name="PTKP" localSheetId="5">[1]TARIF!#REF!</definedName>
    <definedName name="PTKP" localSheetId="8">[1]TARIF!#REF!</definedName>
    <definedName name="PTKP" localSheetId="14">[1]TARIF!#REF!</definedName>
    <definedName name="PTKP" localSheetId="13">[1]TARIF!#REF!</definedName>
    <definedName name="PTKP" localSheetId="7">[1]TARIF!#REF!</definedName>
    <definedName name="PTKP" localSheetId="12">[1]TARIF!#REF!</definedName>
    <definedName name="PTKP">TARIF!#REF!</definedName>
    <definedName name="TARIF">[2]TARIF!$S$18:$U$25</definedName>
    <definedName name="Ter_A" localSheetId="11">[1]TARIF!$B$3:$E$46</definedName>
    <definedName name="Ter_A" localSheetId="6">[1]TARIF!$B$3:$E$46</definedName>
    <definedName name="Ter_A" localSheetId="3">[1]TARIF!$B$3:$E$46</definedName>
    <definedName name="Ter_A" localSheetId="4">[1]TARIF!$B$3:$E$46</definedName>
    <definedName name="Ter_A" localSheetId="10">[1]TARIF!$B$3:$E$46</definedName>
    <definedName name="Ter_A" localSheetId="9">[1]TARIF!$B$3:$E$46</definedName>
    <definedName name="Ter_A" localSheetId="5">[1]TARIF!$B$3:$E$46</definedName>
    <definedName name="Ter_A" localSheetId="8">[1]TARIF!$B$3:$E$46</definedName>
    <definedName name="Ter_A" localSheetId="14">[1]TARIF!$B$3:$E$46</definedName>
    <definedName name="Ter_A" localSheetId="13">[1]TARIF!$B$3:$E$46</definedName>
    <definedName name="Ter_A" localSheetId="7">[1]TARIF!$B$3:$E$46</definedName>
    <definedName name="Ter_A" localSheetId="12">[1]TARIF!$B$3:$E$46</definedName>
    <definedName name="Ter_A">TARIF!$B$3:$E$46</definedName>
    <definedName name="Ter_B" localSheetId="11">[1]TARIF!$H$3:$K$42</definedName>
    <definedName name="Ter_B" localSheetId="6">[1]TARIF!$H$3:$K$42</definedName>
    <definedName name="Ter_B" localSheetId="3">[1]TARIF!$H$3:$K$42</definedName>
    <definedName name="Ter_B" localSheetId="4">[1]TARIF!$H$3:$K$42</definedName>
    <definedName name="Ter_B" localSheetId="10">[1]TARIF!$H$3:$K$42</definedName>
    <definedName name="Ter_B" localSheetId="9">[1]TARIF!$H$3:$K$42</definedName>
    <definedName name="Ter_B" localSheetId="5">[1]TARIF!$H$3:$K$42</definedName>
    <definedName name="Ter_B" localSheetId="8">[1]TARIF!$H$3:$K$42</definedName>
    <definedName name="Ter_B" localSheetId="14">[1]TARIF!$H$3:$K$42</definedName>
    <definedName name="Ter_B" localSheetId="13">[1]TARIF!$H$3:$K$42</definedName>
    <definedName name="Ter_B" localSheetId="7">[1]TARIF!$H$3:$K$42</definedName>
    <definedName name="Ter_B" localSheetId="12">[1]TARIF!$H$3:$K$42</definedName>
    <definedName name="Ter_B">TARIF!$H$3:$K$42</definedName>
    <definedName name="Ter_C" localSheetId="11">[1]TARIF!$N$3:$Q$43</definedName>
    <definedName name="Ter_C" localSheetId="6">[1]TARIF!$N$3:$Q$43</definedName>
    <definedName name="Ter_C" localSheetId="3">[1]TARIF!$N$3:$Q$43</definedName>
    <definedName name="Ter_C" localSheetId="4">[1]TARIF!$N$3:$Q$43</definedName>
    <definedName name="Ter_C" localSheetId="10">[1]TARIF!$N$3:$Q$43</definedName>
    <definedName name="Ter_C" localSheetId="9">[1]TARIF!$N$3:$Q$43</definedName>
    <definedName name="Ter_C" localSheetId="5">[1]TARIF!$N$3:$Q$43</definedName>
    <definedName name="Ter_C" localSheetId="8">[1]TARIF!$N$3:$Q$43</definedName>
    <definedName name="Ter_C" localSheetId="14">[1]TARIF!$N$3:$Q$43</definedName>
    <definedName name="Ter_C" localSheetId="13">[1]TARIF!$N$3:$Q$43</definedName>
    <definedName name="Ter_C" localSheetId="7">[1]TARIF!$N$3:$Q$43</definedName>
    <definedName name="Ter_C" localSheetId="12">[1]TARIF!$N$3:$Q$43</definedName>
    <definedName name="Ter_C">TARIF!$N$3:$Q$43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3" l="1"/>
  <c r="J99" i="3" l="1"/>
  <c r="J100" i="3"/>
  <c r="J101" i="3"/>
  <c r="J102" i="3"/>
  <c r="J103" i="3"/>
  <c r="J104" i="3"/>
  <c r="J105" i="3"/>
  <c r="N117" i="36" l="1"/>
  <c r="R117" i="36" s="1"/>
  <c r="S64" i="3" l="1"/>
  <c r="AJ8" i="3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47" i="3"/>
  <c r="AJ7" i="3"/>
  <c r="AJ6" i="3"/>
  <c r="N118" i="3" l="1"/>
  <c r="O118" i="3"/>
  <c r="P118" i="3"/>
  <c r="Q118" i="3"/>
  <c r="U118" i="3"/>
  <c r="W118" i="3"/>
  <c r="Y118" i="3"/>
  <c r="Z118" i="3"/>
  <c r="M118" i="3"/>
  <c r="R41" i="3" l="1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14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C7" i="33" l="1"/>
  <c r="N117" i="35" l="1"/>
  <c r="I117" i="33" l="1"/>
  <c r="B116" i="36"/>
  <c r="B235" i="36" s="1"/>
  <c r="B238" i="34"/>
  <c r="P239" i="34"/>
  <c r="O239" i="34"/>
  <c r="N239" i="34"/>
  <c r="M239" i="34"/>
  <c r="L239" i="34"/>
  <c r="K239" i="34"/>
  <c r="J239" i="34"/>
  <c r="I239" i="34"/>
  <c r="H239" i="34"/>
  <c r="G239" i="34"/>
  <c r="F239" i="34"/>
  <c r="E239" i="34"/>
  <c r="Q237" i="34"/>
  <c r="I116" i="33" s="1"/>
  <c r="Q236" i="34"/>
  <c r="I115" i="33" s="1"/>
  <c r="Q235" i="34"/>
  <c r="I114" i="33" s="1"/>
  <c r="Q234" i="34"/>
  <c r="I113" i="33" s="1"/>
  <c r="Q233" i="34"/>
  <c r="I112" i="33" s="1"/>
  <c r="Q232" i="34"/>
  <c r="I111" i="33" s="1"/>
  <c r="Q231" i="34"/>
  <c r="I110" i="33" s="1"/>
  <c r="Q230" i="34"/>
  <c r="I109" i="33" s="1"/>
  <c r="Q229" i="34"/>
  <c r="I108" i="33" s="1"/>
  <c r="Q228" i="34"/>
  <c r="I107" i="33" s="1"/>
  <c r="Q227" i="34"/>
  <c r="I106" i="33" s="1"/>
  <c r="Q226" i="34"/>
  <c r="I105" i="33" s="1"/>
  <c r="Q225" i="34"/>
  <c r="I104" i="33" s="1"/>
  <c r="Q224" i="34"/>
  <c r="I103" i="33" s="1"/>
  <c r="Q223" i="34"/>
  <c r="I102" i="33" s="1"/>
  <c r="Q222" i="34"/>
  <c r="I101" i="33" s="1"/>
  <c r="Q221" i="34"/>
  <c r="I100" i="33" s="1"/>
  <c r="Q220" i="34"/>
  <c r="I99" i="33" s="1"/>
  <c r="Q219" i="34"/>
  <c r="I98" i="33" s="1"/>
  <c r="Q218" i="34"/>
  <c r="I97" i="33" s="1"/>
  <c r="Q217" i="34"/>
  <c r="I96" i="33" s="1"/>
  <c r="Q216" i="34"/>
  <c r="I95" i="33" s="1"/>
  <c r="Q215" i="34"/>
  <c r="I94" i="33" s="1"/>
  <c r="Q214" i="34"/>
  <c r="I93" i="33" s="1"/>
  <c r="Q213" i="34"/>
  <c r="I92" i="33" s="1"/>
  <c r="Q212" i="34"/>
  <c r="I91" i="33" s="1"/>
  <c r="Q211" i="34"/>
  <c r="I90" i="33" s="1"/>
  <c r="Q210" i="34"/>
  <c r="I89" i="33" s="1"/>
  <c r="Q209" i="34"/>
  <c r="I88" i="33" s="1"/>
  <c r="Q208" i="34"/>
  <c r="I87" i="33" s="1"/>
  <c r="Q207" i="34"/>
  <c r="I86" i="33" s="1"/>
  <c r="Q206" i="34"/>
  <c r="I85" i="33" s="1"/>
  <c r="Q205" i="34"/>
  <c r="I84" i="33" s="1"/>
  <c r="Q204" i="34"/>
  <c r="I83" i="33" s="1"/>
  <c r="Q203" i="34"/>
  <c r="I82" i="33" s="1"/>
  <c r="Q202" i="34"/>
  <c r="I81" i="33" s="1"/>
  <c r="Q201" i="34"/>
  <c r="I80" i="33" s="1"/>
  <c r="Q200" i="34"/>
  <c r="I79" i="33" s="1"/>
  <c r="Q199" i="34"/>
  <c r="I78" i="33" s="1"/>
  <c r="Q242" i="34"/>
  <c r="I141" i="33" s="1"/>
  <c r="Q198" i="34"/>
  <c r="I77" i="33" s="1"/>
  <c r="Q197" i="34"/>
  <c r="I76" i="33" s="1"/>
  <c r="Q196" i="34"/>
  <c r="I75" i="33" s="1"/>
  <c r="Q195" i="34"/>
  <c r="I74" i="33" s="1"/>
  <c r="Q194" i="34"/>
  <c r="I73" i="33" s="1"/>
  <c r="Q193" i="34"/>
  <c r="I72" i="33" s="1"/>
  <c r="Q192" i="34"/>
  <c r="I71" i="33" s="1"/>
  <c r="Q191" i="34"/>
  <c r="I70" i="33" s="1"/>
  <c r="Q190" i="34"/>
  <c r="I69" i="33" s="1"/>
  <c r="Q189" i="34"/>
  <c r="I68" i="33" s="1"/>
  <c r="Q188" i="34"/>
  <c r="I67" i="33" s="1"/>
  <c r="Q187" i="34"/>
  <c r="I66" i="33" s="1"/>
  <c r="Q186" i="34"/>
  <c r="I65" i="33" s="1"/>
  <c r="Q185" i="34"/>
  <c r="I64" i="33" s="1"/>
  <c r="Q184" i="34"/>
  <c r="I63" i="33" s="1"/>
  <c r="Q183" i="34"/>
  <c r="I62" i="33" s="1"/>
  <c r="Q182" i="34"/>
  <c r="I61" i="33" s="1"/>
  <c r="Q181" i="34"/>
  <c r="I60" i="33" s="1"/>
  <c r="Q180" i="34"/>
  <c r="I59" i="33" s="1"/>
  <c r="Q179" i="34"/>
  <c r="I58" i="33" s="1"/>
  <c r="Q178" i="34"/>
  <c r="I57" i="33" s="1"/>
  <c r="Q177" i="34"/>
  <c r="I56" i="33" s="1"/>
  <c r="Q176" i="34"/>
  <c r="I55" i="33" s="1"/>
  <c r="Q175" i="34"/>
  <c r="I54" i="33" s="1"/>
  <c r="Q174" i="34"/>
  <c r="I53" i="33" s="1"/>
  <c r="Q173" i="34"/>
  <c r="I52" i="33" s="1"/>
  <c r="Q172" i="34"/>
  <c r="I51" i="33" s="1"/>
  <c r="Q171" i="34"/>
  <c r="I50" i="33" s="1"/>
  <c r="Q170" i="34"/>
  <c r="I49" i="33" s="1"/>
  <c r="Q169" i="34"/>
  <c r="I48" i="33" s="1"/>
  <c r="Q168" i="34"/>
  <c r="I47" i="33" s="1"/>
  <c r="Q167" i="34"/>
  <c r="I46" i="33" s="1"/>
  <c r="Q166" i="34"/>
  <c r="I45" i="33" s="1"/>
  <c r="Q165" i="34"/>
  <c r="I44" i="33" s="1"/>
  <c r="Q164" i="34"/>
  <c r="I43" i="33" s="1"/>
  <c r="Q163" i="34"/>
  <c r="I42" i="33" s="1"/>
  <c r="Q162" i="34"/>
  <c r="I41" i="33" s="1"/>
  <c r="Q161" i="34"/>
  <c r="I40" i="33" s="1"/>
  <c r="Q160" i="34"/>
  <c r="I39" i="33" s="1"/>
  <c r="Q159" i="34"/>
  <c r="I38" i="33" s="1"/>
  <c r="Q158" i="34"/>
  <c r="I37" i="33" s="1"/>
  <c r="Q157" i="34"/>
  <c r="I36" i="33" s="1"/>
  <c r="Q156" i="34"/>
  <c r="I35" i="33" s="1"/>
  <c r="Q155" i="34"/>
  <c r="I34" i="33" s="1"/>
  <c r="Q154" i="34"/>
  <c r="I33" i="33" s="1"/>
  <c r="Q153" i="34"/>
  <c r="I32" i="33" s="1"/>
  <c r="Q152" i="34"/>
  <c r="I31" i="33" s="1"/>
  <c r="Q151" i="34"/>
  <c r="I30" i="33" s="1"/>
  <c r="Q150" i="34"/>
  <c r="I29" i="33" s="1"/>
  <c r="Q149" i="34"/>
  <c r="I28" i="33" s="1"/>
  <c r="Q148" i="34"/>
  <c r="I27" i="33" s="1"/>
  <c r="Q147" i="34"/>
  <c r="I26" i="33" s="1"/>
  <c r="Q146" i="34"/>
  <c r="I25" i="33" s="1"/>
  <c r="Q145" i="34"/>
  <c r="I24" i="33" s="1"/>
  <c r="Q144" i="34"/>
  <c r="I23" i="33" s="1"/>
  <c r="R143" i="34"/>
  <c r="Q143" i="34"/>
  <c r="I22" i="33" s="1"/>
  <c r="R142" i="34"/>
  <c r="Q142" i="34"/>
  <c r="I21" i="33" s="1"/>
  <c r="R141" i="34"/>
  <c r="Q141" i="34"/>
  <c r="I20" i="33" s="1"/>
  <c r="Q140" i="34"/>
  <c r="I19" i="33" s="1"/>
  <c r="R139" i="34"/>
  <c r="Q139" i="34"/>
  <c r="I18" i="33" s="1"/>
  <c r="R138" i="34"/>
  <c r="Q138" i="34"/>
  <c r="I17" i="33" s="1"/>
  <c r="Q137" i="34"/>
  <c r="I16" i="33" s="1"/>
  <c r="R136" i="34"/>
  <c r="Q136" i="34"/>
  <c r="I15" i="33" s="1"/>
  <c r="R135" i="34"/>
  <c r="Q135" i="34"/>
  <c r="I14" i="33" s="1"/>
  <c r="R134" i="34"/>
  <c r="Q134" i="34"/>
  <c r="I13" i="33" s="1"/>
  <c r="R133" i="34"/>
  <c r="Q133" i="34"/>
  <c r="I12" i="33" s="1"/>
  <c r="R132" i="34"/>
  <c r="Q132" i="34"/>
  <c r="I11" i="33" s="1"/>
  <c r="R131" i="34"/>
  <c r="Q131" i="34"/>
  <c r="I10" i="33" s="1"/>
  <c r="R130" i="34"/>
  <c r="Q130" i="34"/>
  <c r="I9" i="33" s="1"/>
  <c r="R129" i="34"/>
  <c r="Q129" i="34"/>
  <c r="I8" i="33" s="1"/>
  <c r="R128" i="34"/>
  <c r="Q128" i="34"/>
  <c r="I7" i="33" s="1"/>
  <c r="R243" i="34"/>
  <c r="Q243" i="34"/>
  <c r="I142" i="33" s="1"/>
  <c r="R127" i="34"/>
  <c r="Q127" i="34"/>
  <c r="I6" i="33" s="1"/>
  <c r="Q239" i="34" l="1"/>
  <c r="AD117" i="3"/>
  <c r="J96" i="3" l="1"/>
  <c r="J97" i="3"/>
  <c r="J98" i="3"/>
  <c r="P117" i="33"/>
  <c r="N117" i="33"/>
  <c r="C5" i="36"/>
  <c r="D5" i="36"/>
  <c r="C120" i="36"/>
  <c r="D120" i="36"/>
  <c r="C6" i="36"/>
  <c r="D6" i="36"/>
  <c r="C7" i="36"/>
  <c r="D7" i="36"/>
  <c r="C8" i="36"/>
  <c r="D8" i="36"/>
  <c r="C9" i="36"/>
  <c r="D9" i="36"/>
  <c r="C10" i="36"/>
  <c r="D10" i="36"/>
  <c r="C11" i="36"/>
  <c r="D11" i="36"/>
  <c r="C12" i="36"/>
  <c r="D12" i="36"/>
  <c r="C13" i="36"/>
  <c r="D13" i="36"/>
  <c r="C14" i="36"/>
  <c r="D14" i="36"/>
  <c r="C15" i="36"/>
  <c r="D15" i="36"/>
  <c r="C16" i="36"/>
  <c r="D16" i="36"/>
  <c r="C17" i="36"/>
  <c r="D17" i="36"/>
  <c r="C18" i="36"/>
  <c r="D18" i="36"/>
  <c r="C19" i="36"/>
  <c r="D19" i="36"/>
  <c r="C20" i="36"/>
  <c r="D20" i="36"/>
  <c r="C21" i="36"/>
  <c r="D21" i="36"/>
  <c r="C22" i="36"/>
  <c r="D22" i="36"/>
  <c r="C23" i="36"/>
  <c r="D23" i="36"/>
  <c r="C24" i="36"/>
  <c r="D24" i="36"/>
  <c r="C25" i="36"/>
  <c r="D25" i="36"/>
  <c r="C26" i="36"/>
  <c r="D26" i="36"/>
  <c r="C27" i="36"/>
  <c r="D27" i="36"/>
  <c r="C28" i="36"/>
  <c r="D28" i="36"/>
  <c r="C29" i="36"/>
  <c r="D29" i="36"/>
  <c r="C30" i="36"/>
  <c r="D30" i="36"/>
  <c r="C31" i="36"/>
  <c r="D31" i="36"/>
  <c r="C32" i="36"/>
  <c r="D32" i="36"/>
  <c r="C33" i="36"/>
  <c r="D33" i="36"/>
  <c r="C34" i="36"/>
  <c r="D34" i="36"/>
  <c r="C35" i="36"/>
  <c r="D35" i="36"/>
  <c r="C36" i="36"/>
  <c r="D36" i="36"/>
  <c r="C37" i="36"/>
  <c r="D37" i="36"/>
  <c r="C38" i="36"/>
  <c r="D38" i="36"/>
  <c r="C39" i="36"/>
  <c r="D39" i="36"/>
  <c r="C40" i="36"/>
  <c r="D40" i="36"/>
  <c r="C41" i="36"/>
  <c r="D41" i="36"/>
  <c r="C42" i="36"/>
  <c r="D42" i="36"/>
  <c r="C43" i="36"/>
  <c r="D43" i="36"/>
  <c r="C44" i="36"/>
  <c r="D44" i="36"/>
  <c r="C45" i="36"/>
  <c r="D45" i="36"/>
  <c r="C46" i="36"/>
  <c r="D46" i="36"/>
  <c r="C47" i="36"/>
  <c r="D47" i="36"/>
  <c r="C48" i="36"/>
  <c r="D48" i="36"/>
  <c r="C49" i="36"/>
  <c r="D49" i="36"/>
  <c r="C50" i="36"/>
  <c r="D50" i="36"/>
  <c r="C51" i="36"/>
  <c r="D51" i="36"/>
  <c r="C52" i="36"/>
  <c r="D52" i="36"/>
  <c r="C53" i="36"/>
  <c r="D53" i="36"/>
  <c r="C54" i="36"/>
  <c r="D54" i="36"/>
  <c r="C55" i="36"/>
  <c r="D55" i="36"/>
  <c r="C56" i="36"/>
  <c r="D56" i="36"/>
  <c r="C57" i="36"/>
  <c r="D57" i="36"/>
  <c r="C58" i="36"/>
  <c r="D58" i="36"/>
  <c r="C59" i="36"/>
  <c r="D59" i="36"/>
  <c r="C60" i="36"/>
  <c r="D60" i="36"/>
  <c r="C61" i="36"/>
  <c r="D61" i="36"/>
  <c r="C62" i="36"/>
  <c r="D62" i="36"/>
  <c r="C63" i="36"/>
  <c r="D63" i="36"/>
  <c r="C64" i="36"/>
  <c r="D64" i="36"/>
  <c r="C65" i="36"/>
  <c r="D65" i="36"/>
  <c r="C66" i="36"/>
  <c r="D66" i="36"/>
  <c r="C67" i="36"/>
  <c r="D67" i="36"/>
  <c r="C68" i="36"/>
  <c r="D68" i="36"/>
  <c r="C69" i="36"/>
  <c r="D69" i="36"/>
  <c r="C70" i="36"/>
  <c r="D70" i="36"/>
  <c r="C71" i="36"/>
  <c r="D71" i="36"/>
  <c r="C72" i="36"/>
  <c r="D72" i="36"/>
  <c r="C73" i="36"/>
  <c r="D73" i="36"/>
  <c r="C74" i="36"/>
  <c r="D74" i="36"/>
  <c r="C75" i="36"/>
  <c r="D75" i="36"/>
  <c r="C76" i="36"/>
  <c r="D76" i="36"/>
  <c r="C119" i="36"/>
  <c r="D119" i="36"/>
  <c r="C77" i="36"/>
  <c r="D77" i="36"/>
  <c r="C78" i="36"/>
  <c r="D78" i="36"/>
  <c r="C79" i="36"/>
  <c r="D79" i="36"/>
  <c r="C80" i="36"/>
  <c r="D80" i="36"/>
  <c r="C81" i="36"/>
  <c r="D81" i="36"/>
  <c r="C82" i="36"/>
  <c r="D82" i="36"/>
  <c r="C83" i="36"/>
  <c r="D83" i="36"/>
  <c r="C84" i="36"/>
  <c r="D84" i="36"/>
  <c r="C85" i="36"/>
  <c r="D85" i="36"/>
  <c r="C86" i="36"/>
  <c r="D86" i="36"/>
  <c r="C87" i="36"/>
  <c r="D87" i="36"/>
  <c r="C88" i="36"/>
  <c r="D88" i="36"/>
  <c r="C89" i="36"/>
  <c r="D89" i="36"/>
  <c r="C90" i="36"/>
  <c r="D90" i="36"/>
  <c r="C91" i="36"/>
  <c r="D91" i="36"/>
  <c r="C92" i="36"/>
  <c r="D92" i="36"/>
  <c r="C93" i="36"/>
  <c r="D93" i="36"/>
  <c r="C94" i="36"/>
  <c r="D94" i="36"/>
  <c r="C95" i="36"/>
  <c r="D95" i="36"/>
  <c r="C96" i="36"/>
  <c r="D96" i="36"/>
  <c r="C97" i="36"/>
  <c r="D97" i="36"/>
  <c r="C124" i="36"/>
  <c r="D124" i="36"/>
  <c r="C242" i="36"/>
  <c r="D242" i="36"/>
  <c r="C125" i="36"/>
  <c r="D125" i="36"/>
  <c r="C126" i="36"/>
  <c r="D126" i="36"/>
  <c r="C127" i="36"/>
  <c r="D127" i="36"/>
  <c r="C128" i="36"/>
  <c r="D128" i="36"/>
  <c r="C129" i="36"/>
  <c r="D129" i="36"/>
  <c r="C130" i="36"/>
  <c r="D130" i="36"/>
  <c r="C131" i="36"/>
  <c r="D131" i="36"/>
  <c r="C132" i="36"/>
  <c r="D132" i="36"/>
  <c r="C133" i="36"/>
  <c r="D133" i="36"/>
  <c r="C134" i="36"/>
  <c r="D134" i="36"/>
  <c r="C135" i="36"/>
  <c r="D135" i="36"/>
  <c r="C136" i="36"/>
  <c r="D136" i="36"/>
  <c r="C137" i="36"/>
  <c r="D137" i="36"/>
  <c r="C138" i="36"/>
  <c r="D138" i="36"/>
  <c r="C139" i="36"/>
  <c r="D139" i="36"/>
  <c r="C140" i="36"/>
  <c r="D140" i="36"/>
  <c r="C141" i="36"/>
  <c r="D141" i="36"/>
  <c r="C142" i="36"/>
  <c r="D142" i="36"/>
  <c r="C143" i="36"/>
  <c r="D143" i="36"/>
  <c r="C144" i="36"/>
  <c r="D144" i="36"/>
  <c r="C145" i="36"/>
  <c r="D145" i="36"/>
  <c r="C146" i="36"/>
  <c r="D146" i="36"/>
  <c r="C147" i="36"/>
  <c r="D147" i="36"/>
  <c r="C148" i="36"/>
  <c r="D148" i="36"/>
  <c r="C149" i="36"/>
  <c r="D149" i="36"/>
  <c r="C150" i="36"/>
  <c r="D150" i="36"/>
  <c r="C151" i="36"/>
  <c r="D151" i="36"/>
  <c r="C152" i="36"/>
  <c r="D152" i="36"/>
  <c r="C153" i="36"/>
  <c r="D153" i="36"/>
  <c r="C154" i="36"/>
  <c r="D154" i="36"/>
  <c r="C155" i="36"/>
  <c r="D155" i="36"/>
  <c r="C156" i="36"/>
  <c r="D156" i="36"/>
  <c r="C157" i="36"/>
  <c r="D157" i="36"/>
  <c r="C158" i="36"/>
  <c r="D158" i="36"/>
  <c r="C159" i="36"/>
  <c r="D159" i="36"/>
  <c r="C160" i="36"/>
  <c r="D160" i="36"/>
  <c r="C161" i="36"/>
  <c r="D161" i="36"/>
  <c r="C162" i="36"/>
  <c r="D162" i="36"/>
  <c r="C163" i="36"/>
  <c r="D163" i="36"/>
  <c r="C164" i="36"/>
  <c r="D164" i="36"/>
  <c r="C165" i="36"/>
  <c r="D165" i="36"/>
  <c r="C166" i="36"/>
  <c r="D166" i="36"/>
  <c r="C167" i="36"/>
  <c r="D167" i="36"/>
  <c r="C168" i="36"/>
  <c r="D168" i="36"/>
  <c r="C169" i="36"/>
  <c r="D169" i="36"/>
  <c r="C170" i="36"/>
  <c r="D170" i="36"/>
  <c r="C171" i="36"/>
  <c r="D171" i="36"/>
  <c r="C172" i="36"/>
  <c r="D172" i="36"/>
  <c r="C173" i="36"/>
  <c r="D173" i="36"/>
  <c r="C174" i="36"/>
  <c r="D174" i="36"/>
  <c r="C175" i="36"/>
  <c r="D175" i="36"/>
  <c r="C176" i="36"/>
  <c r="D176" i="36"/>
  <c r="C177" i="36"/>
  <c r="D177" i="36"/>
  <c r="C178" i="36"/>
  <c r="D178" i="36"/>
  <c r="C179" i="36"/>
  <c r="D179" i="36"/>
  <c r="C180" i="36"/>
  <c r="D180" i="36"/>
  <c r="C181" i="36"/>
  <c r="D181" i="36"/>
  <c r="C182" i="36"/>
  <c r="D182" i="36"/>
  <c r="C183" i="36"/>
  <c r="D183" i="36"/>
  <c r="C184" i="36"/>
  <c r="D184" i="36"/>
  <c r="C185" i="36"/>
  <c r="D185" i="36"/>
  <c r="C186" i="36"/>
  <c r="D186" i="36"/>
  <c r="C187" i="36"/>
  <c r="D187" i="36"/>
  <c r="C188" i="36"/>
  <c r="D188" i="36"/>
  <c r="C189" i="36"/>
  <c r="D189" i="36"/>
  <c r="C190" i="36"/>
  <c r="D190" i="36"/>
  <c r="C191" i="36"/>
  <c r="D191" i="36"/>
  <c r="C192" i="36"/>
  <c r="D192" i="36"/>
  <c r="C193" i="36"/>
  <c r="D193" i="36"/>
  <c r="C194" i="36"/>
  <c r="D194" i="36"/>
  <c r="C195" i="36"/>
  <c r="D195" i="36"/>
  <c r="C241" i="36"/>
  <c r="D241" i="36"/>
  <c r="C196" i="36"/>
  <c r="D196" i="36"/>
  <c r="C197" i="36"/>
  <c r="D197" i="36"/>
  <c r="C198" i="36"/>
  <c r="D198" i="36"/>
  <c r="C199" i="36"/>
  <c r="D199" i="36"/>
  <c r="C200" i="36"/>
  <c r="D200" i="36"/>
  <c r="C201" i="36"/>
  <c r="D201" i="36"/>
  <c r="C202" i="36"/>
  <c r="D202" i="36"/>
  <c r="C203" i="36"/>
  <c r="D203" i="36"/>
  <c r="C204" i="36"/>
  <c r="D204" i="36"/>
  <c r="C205" i="36"/>
  <c r="D205" i="36"/>
  <c r="C206" i="36"/>
  <c r="D206" i="36"/>
  <c r="C207" i="36"/>
  <c r="D207" i="36"/>
  <c r="C208" i="36"/>
  <c r="D208" i="36"/>
  <c r="C209" i="36"/>
  <c r="D209" i="36"/>
  <c r="C210" i="36"/>
  <c r="D210" i="36"/>
  <c r="C211" i="36"/>
  <c r="D211" i="36"/>
  <c r="C212" i="36"/>
  <c r="D212" i="36"/>
  <c r="C213" i="36"/>
  <c r="D213" i="36"/>
  <c r="C214" i="36"/>
  <c r="D214" i="36"/>
  <c r="C215" i="36"/>
  <c r="D215" i="36"/>
  <c r="C216" i="36"/>
  <c r="D216" i="36"/>
  <c r="H216" i="36"/>
  <c r="H215" i="36"/>
  <c r="H214" i="36"/>
  <c r="H213" i="36"/>
  <c r="H212" i="36"/>
  <c r="H211" i="36"/>
  <c r="H209" i="36"/>
  <c r="H208" i="36"/>
  <c r="H207" i="36"/>
  <c r="H206" i="36"/>
  <c r="G216" i="36"/>
  <c r="F216" i="36"/>
  <c r="E216" i="36"/>
  <c r="G215" i="36"/>
  <c r="F215" i="36"/>
  <c r="E215" i="36"/>
  <c r="G214" i="36"/>
  <c r="F214" i="36"/>
  <c r="E214" i="36"/>
  <c r="G213" i="36"/>
  <c r="F213" i="36"/>
  <c r="E213" i="36"/>
  <c r="G212" i="36"/>
  <c r="F212" i="36"/>
  <c r="E212" i="36"/>
  <c r="G211" i="36"/>
  <c r="F211" i="36"/>
  <c r="E211" i="36"/>
  <c r="G210" i="36"/>
  <c r="F210" i="36"/>
  <c r="E210" i="36"/>
  <c r="G209" i="36"/>
  <c r="F209" i="36"/>
  <c r="E209" i="36"/>
  <c r="G208" i="36"/>
  <c r="F208" i="36"/>
  <c r="E208" i="36"/>
  <c r="G207" i="36"/>
  <c r="F207" i="36"/>
  <c r="E207" i="36"/>
  <c r="G206" i="36"/>
  <c r="F206" i="36"/>
  <c r="E206" i="36"/>
  <c r="G205" i="36"/>
  <c r="F205" i="36"/>
  <c r="E205" i="36"/>
  <c r="H204" i="36"/>
  <c r="G204" i="36"/>
  <c r="F204" i="36"/>
  <c r="E204" i="36"/>
  <c r="H203" i="36"/>
  <c r="G203" i="36"/>
  <c r="F203" i="36"/>
  <c r="E203" i="36"/>
  <c r="H202" i="36"/>
  <c r="G202" i="36"/>
  <c r="F202" i="36"/>
  <c r="E202" i="36"/>
  <c r="H201" i="36"/>
  <c r="G201" i="36"/>
  <c r="F201" i="36"/>
  <c r="E201" i="36"/>
  <c r="H200" i="36"/>
  <c r="G200" i="36"/>
  <c r="F200" i="36"/>
  <c r="E200" i="36"/>
  <c r="H199" i="36"/>
  <c r="G199" i="36"/>
  <c r="F199" i="36"/>
  <c r="E199" i="36"/>
  <c r="H198" i="36"/>
  <c r="G198" i="36"/>
  <c r="F198" i="36"/>
  <c r="E198" i="36"/>
  <c r="H197" i="36"/>
  <c r="G197" i="36"/>
  <c r="F197" i="36"/>
  <c r="E197" i="36"/>
  <c r="H196" i="36"/>
  <c r="G196" i="36"/>
  <c r="F196" i="36"/>
  <c r="E196" i="36"/>
  <c r="H241" i="36"/>
  <c r="G241" i="36"/>
  <c r="F241" i="36"/>
  <c r="E241" i="36"/>
  <c r="H195" i="36"/>
  <c r="G195" i="36"/>
  <c r="F195" i="36"/>
  <c r="E195" i="36"/>
  <c r="H194" i="36"/>
  <c r="G194" i="36"/>
  <c r="F194" i="36"/>
  <c r="E194" i="36"/>
  <c r="H193" i="36"/>
  <c r="G193" i="36"/>
  <c r="F193" i="36"/>
  <c r="E193" i="36"/>
  <c r="H192" i="36"/>
  <c r="G192" i="36"/>
  <c r="F192" i="36"/>
  <c r="E192" i="36"/>
  <c r="H191" i="36"/>
  <c r="G191" i="36"/>
  <c r="F191" i="36"/>
  <c r="E191" i="36"/>
  <c r="H190" i="36"/>
  <c r="G190" i="36"/>
  <c r="F190" i="36"/>
  <c r="E190" i="36"/>
  <c r="H189" i="36"/>
  <c r="G189" i="36"/>
  <c r="F189" i="36"/>
  <c r="E189" i="36"/>
  <c r="H188" i="36"/>
  <c r="G188" i="36"/>
  <c r="F188" i="36"/>
  <c r="E188" i="36"/>
  <c r="H187" i="36"/>
  <c r="G187" i="36"/>
  <c r="F187" i="36"/>
  <c r="E187" i="36"/>
  <c r="H186" i="36"/>
  <c r="G186" i="36"/>
  <c r="F186" i="36"/>
  <c r="E186" i="36"/>
  <c r="H185" i="36"/>
  <c r="G185" i="36"/>
  <c r="F185" i="36"/>
  <c r="E185" i="36"/>
  <c r="H184" i="36"/>
  <c r="G184" i="36"/>
  <c r="F184" i="36"/>
  <c r="E184" i="36"/>
  <c r="H183" i="36"/>
  <c r="G183" i="36"/>
  <c r="F183" i="36"/>
  <c r="E183" i="36"/>
  <c r="H182" i="36"/>
  <c r="G182" i="36"/>
  <c r="F182" i="36"/>
  <c r="E182" i="36"/>
  <c r="H181" i="36"/>
  <c r="G181" i="36"/>
  <c r="F181" i="36"/>
  <c r="E181" i="36"/>
  <c r="H180" i="36"/>
  <c r="G180" i="36"/>
  <c r="F180" i="36"/>
  <c r="E180" i="36"/>
  <c r="H179" i="36"/>
  <c r="G179" i="36"/>
  <c r="F179" i="36"/>
  <c r="E179" i="36"/>
  <c r="H178" i="36"/>
  <c r="G178" i="36"/>
  <c r="F178" i="36"/>
  <c r="E178" i="36"/>
  <c r="H177" i="36"/>
  <c r="G177" i="36"/>
  <c r="F177" i="36"/>
  <c r="E177" i="36"/>
  <c r="H176" i="36"/>
  <c r="G176" i="36"/>
  <c r="F176" i="36"/>
  <c r="E176" i="36"/>
  <c r="H175" i="36"/>
  <c r="G175" i="36"/>
  <c r="F175" i="36"/>
  <c r="E175" i="36"/>
  <c r="H174" i="36"/>
  <c r="G174" i="36"/>
  <c r="F174" i="36"/>
  <c r="E174" i="36"/>
  <c r="H173" i="36"/>
  <c r="G173" i="36"/>
  <c r="F173" i="36"/>
  <c r="E173" i="36"/>
  <c r="H172" i="36"/>
  <c r="G172" i="36"/>
  <c r="F172" i="36"/>
  <c r="E172" i="36"/>
  <c r="H171" i="36"/>
  <c r="G171" i="36"/>
  <c r="F171" i="36"/>
  <c r="E171" i="36"/>
  <c r="H170" i="36"/>
  <c r="G170" i="36"/>
  <c r="F170" i="36"/>
  <c r="E170" i="36"/>
  <c r="H169" i="36"/>
  <c r="G169" i="36"/>
  <c r="F169" i="36"/>
  <c r="E169" i="36"/>
  <c r="H168" i="36"/>
  <c r="G168" i="36"/>
  <c r="F168" i="36"/>
  <c r="E168" i="36"/>
  <c r="H167" i="36"/>
  <c r="G167" i="36"/>
  <c r="F167" i="36"/>
  <c r="E167" i="36"/>
  <c r="H166" i="36"/>
  <c r="G166" i="36"/>
  <c r="F166" i="36"/>
  <c r="E166" i="36"/>
  <c r="H165" i="36"/>
  <c r="G165" i="36"/>
  <c r="F165" i="36"/>
  <c r="E165" i="36"/>
  <c r="H164" i="36"/>
  <c r="G164" i="36"/>
  <c r="F164" i="36"/>
  <c r="E164" i="36"/>
  <c r="H163" i="36"/>
  <c r="G163" i="36"/>
  <c r="F163" i="36"/>
  <c r="E163" i="36"/>
  <c r="H162" i="36"/>
  <c r="G162" i="36"/>
  <c r="F162" i="36"/>
  <c r="E162" i="36"/>
  <c r="H161" i="36"/>
  <c r="G161" i="36"/>
  <c r="F161" i="36"/>
  <c r="E161" i="36"/>
  <c r="H160" i="36"/>
  <c r="G160" i="36"/>
  <c r="F160" i="36"/>
  <c r="E160" i="36"/>
  <c r="H159" i="36"/>
  <c r="G159" i="36"/>
  <c r="F159" i="36"/>
  <c r="E159" i="36"/>
  <c r="H158" i="36"/>
  <c r="G158" i="36"/>
  <c r="F158" i="36"/>
  <c r="E158" i="36"/>
  <c r="H157" i="36"/>
  <c r="G157" i="36"/>
  <c r="F157" i="36"/>
  <c r="E157" i="36"/>
  <c r="H156" i="36"/>
  <c r="G156" i="36"/>
  <c r="F156" i="36"/>
  <c r="E156" i="36"/>
  <c r="H155" i="36"/>
  <c r="G155" i="36"/>
  <c r="F155" i="36"/>
  <c r="E155" i="36"/>
  <c r="H154" i="36"/>
  <c r="G154" i="36"/>
  <c r="F154" i="36"/>
  <c r="E154" i="36"/>
  <c r="H153" i="36"/>
  <c r="G153" i="36"/>
  <c r="F153" i="36"/>
  <c r="E153" i="36"/>
  <c r="H152" i="36"/>
  <c r="G152" i="36"/>
  <c r="F152" i="36"/>
  <c r="E152" i="36"/>
  <c r="H151" i="36"/>
  <c r="G151" i="36"/>
  <c r="F151" i="36"/>
  <c r="E151" i="36"/>
  <c r="H150" i="36"/>
  <c r="G150" i="36"/>
  <c r="F150" i="36"/>
  <c r="E150" i="36"/>
  <c r="H149" i="36"/>
  <c r="G149" i="36"/>
  <c r="F149" i="36"/>
  <c r="E149" i="36"/>
  <c r="H148" i="36"/>
  <c r="G148" i="36"/>
  <c r="F148" i="36"/>
  <c r="E148" i="36"/>
  <c r="H147" i="36"/>
  <c r="G147" i="36"/>
  <c r="F147" i="36"/>
  <c r="E147" i="36"/>
  <c r="H146" i="36"/>
  <c r="G146" i="36"/>
  <c r="F146" i="36"/>
  <c r="E146" i="36"/>
  <c r="H145" i="36"/>
  <c r="G145" i="36"/>
  <c r="F145" i="36"/>
  <c r="E145" i="36"/>
  <c r="H144" i="36"/>
  <c r="G144" i="36"/>
  <c r="F144" i="36"/>
  <c r="E144" i="36"/>
  <c r="H143" i="36"/>
  <c r="G143" i="36"/>
  <c r="F143" i="36"/>
  <c r="E143" i="36"/>
  <c r="H142" i="36"/>
  <c r="G142" i="36"/>
  <c r="F142" i="36"/>
  <c r="E142" i="36"/>
  <c r="H141" i="36"/>
  <c r="G141" i="36"/>
  <c r="F141" i="36"/>
  <c r="E141" i="36"/>
  <c r="H140" i="36"/>
  <c r="G140" i="36"/>
  <c r="F140" i="36"/>
  <c r="E140" i="36"/>
  <c r="H139" i="36"/>
  <c r="G139" i="36"/>
  <c r="F139" i="36"/>
  <c r="E139" i="36"/>
  <c r="H138" i="36"/>
  <c r="G138" i="36"/>
  <c r="F138" i="36"/>
  <c r="E138" i="36"/>
  <c r="H137" i="36"/>
  <c r="G137" i="36"/>
  <c r="F137" i="36"/>
  <c r="E137" i="36"/>
  <c r="H136" i="36"/>
  <c r="G136" i="36"/>
  <c r="F136" i="36"/>
  <c r="E136" i="36"/>
  <c r="H135" i="36"/>
  <c r="G135" i="36"/>
  <c r="F135" i="36"/>
  <c r="E135" i="36"/>
  <c r="H134" i="36"/>
  <c r="G134" i="36"/>
  <c r="F134" i="36"/>
  <c r="E134" i="36"/>
  <c r="H133" i="36"/>
  <c r="G133" i="36"/>
  <c r="F133" i="36"/>
  <c r="E133" i="36"/>
  <c r="H132" i="36"/>
  <c r="G132" i="36"/>
  <c r="F132" i="36"/>
  <c r="E132" i="36"/>
  <c r="H131" i="36"/>
  <c r="G131" i="36"/>
  <c r="F131" i="36"/>
  <c r="E131" i="36"/>
  <c r="H130" i="36"/>
  <c r="G130" i="36"/>
  <c r="F130" i="36"/>
  <c r="E130" i="36"/>
  <c r="H129" i="36"/>
  <c r="G129" i="36"/>
  <c r="F129" i="36"/>
  <c r="E129" i="36"/>
  <c r="H128" i="36"/>
  <c r="G128" i="36"/>
  <c r="F128" i="36"/>
  <c r="E128" i="36"/>
  <c r="H127" i="36"/>
  <c r="G127" i="36"/>
  <c r="F127" i="36"/>
  <c r="E127" i="36"/>
  <c r="H126" i="36"/>
  <c r="G126" i="36"/>
  <c r="F126" i="36"/>
  <c r="E126" i="36"/>
  <c r="H125" i="36"/>
  <c r="G125" i="36"/>
  <c r="F125" i="36"/>
  <c r="E125" i="36"/>
  <c r="H242" i="36"/>
  <c r="G242" i="36"/>
  <c r="F242" i="36"/>
  <c r="E242" i="36"/>
  <c r="H124" i="36"/>
  <c r="G124" i="36"/>
  <c r="F124" i="36"/>
  <c r="E124" i="36"/>
  <c r="H97" i="36"/>
  <c r="H96" i="36"/>
  <c r="H95" i="36"/>
  <c r="H94" i="36"/>
  <c r="H93" i="36"/>
  <c r="H92" i="36"/>
  <c r="H90" i="36"/>
  <c r="H89" i="36"/>
  <c r="H88" i="36"/>
  <c r="H87" i="36"/>
  <c r="G97" i="36"/>
  <c r="F97" i="36"/>
  <c r="E97" i="36"/>
  <c r="G96" i="36"/>
  <c r="F96" i="36"/>
  <c r="E96" i="36"/>
  <c r="G95" i="36"/>
  <c r="F95" i="36"/>
  <c r="E95" i="36"/>
  <c r="G94" i="36"/>
  <c r="F94" i="36"/>
  <c r="E94" i="36"/>
  <c r="G93" i="36"/>
  <c r="F93" i="36"/>
  <c r="E93" i="36"/>
  <c r="G92" i="36"/>
  <c r="F92" i="36"/>
  <c r="E92" i="36"/>
  <c r="G91" i="36"/>
  <c r="F91" i="36"/>
  <c r="E91" i="36"/>
  <c r="G90" i="36"/>
  <c r="F90" i="36"/>
  <c r="E90" i="36"/>
  <c r="G89" i="36"/>
  <c r="F89" i="36"/>
  <c r="E89" i="36"/>
  <c r="G88" i="36"/>
  <c r="F88" i="36"/>
  <c r="E88" i="36"/>
  <c r="G87" i="36"/>
  <c r="F87" i="36"/>
  <c r="E87" i="36"/>
  <c r="G86" i="36"/>
  <c r="F86" i="36"/>
  <c r="E86" i="36"/>
  <c r="H85" i="36"/>
  <c r="G85" i="36"/>
  <c r="F85" i="36"/>
  <c r="E85" i="36"/>
  <c r="H84" i="36"/>
  <c r="G84" i="36"/>
  <c r="F84" i="36"/>
  <c r="E84" i="36"/>
  <c r="H83" i="36"/>
  <c r="G83" i="36"/>
  <c r="F83" i="36"/>
  <c r="E83" i="36"/>
  <c r="H82" i="36"/>
  <c r="G82" i="36"/>
  <c r="F82" i="36"/>
  <c r="E82" i="36"/>
  <c r="H81" i="36"/>
  <c r="G81" i="36"/>
  <c r="F81" i="36"/>
  <c r="E81" i="36"/>
  <c r="H80" i="36"/>
  <c r="G80" i="36"/>
  <c r="F80" i="36"/>
  <c r="E80" i="36"/>
  <c r="H79" i="36"/>
  <c r="G79" i="36"/>
  <c r="F79" i="36"/>
  <c r="E79" i="36"/>
  <c r="H78" i="36"/>
  <c r="G78" i="36"/>
  <c r="F78" i="36"/>
  <c r="E78" i="36"/>
  <c r="H77" i="36"/>
  <c r="G77" i="36"/>
  <c r="F77" i="36"/>
  <c r="E77" i="36"/>
  <c r="H119" i="36"/>
  <c r="G119" i="36"/>
  <c r="F119" i="36"/>
  <c r="E119" i="36"/>
  <c r="H76" i="36"/>
  <c r="G76" i="36"/>
  <c r="F76" i="36"/>
  <c r="E76" i="36"/>
  <c r="H75" i="36"/>
  <c r="G75" i="36"/>
  <c r="F75" i="36"/>
  <c r="E75" i="36"/>
  <c r="H74" i="36"/>
  <c r="G74" i="36"/>
  <c r="F74" i="36"/>
  <c r="E74" i="36"/>
  <c r="H73" i="36"/>
  <c r="G73" i="36"/>
  <c r="F73" i="36"/>
  <c r="E73" i="36"/>
  <c r="H72" i="36"/>
  <c r="G72" i="36"/>
  <c r="F72" i="36"/>
  <c r="E72" i="36"/>
  <c r="H71" i="36"/>
  <c r="G71" i="36"/>
  <c r="F71" i="36"/>
  <c r="E71" i="36"/>
  <c r="H70" i="36"/>
  <c r="G70" i="36"/>
  <c r="F70" i="36"/>
  <c r="E70" i="36"/>
  <c r="H69" i="36"/>
  <c r="G69" i="36"/>
  <c r="F69" i="36"/>
  <c r="E69" i="36"/>
  <c r="H68" i="36"/>
  <c r="G68" i="36"/>
  <c r="F68" i="36"/>
  <c r="E68" i="36"/>
  <c r="H67" i="36"/>
  <c r="G67" i="36"/>
  <c r="F67" i="36"/>
  <c r="E67" i="36"/>
  <c r="H66" i="36"/>
  <c r="G66" i="36"/>
  <c r="F66" i="36"/>
  <c r="E66" i="36"/>
  <c r="H65" i="36"/>
  <c r="G65" i="36"/>
  <c r="F65" i="36"/>
  <c r="E65" i="36"/>
  <c r="H64" i="36"/>
  <c r="G64" i="36"/>
  <c r="F64" i="36"/>
  <c r="E64" i="36"/>
  <c r="H63" i="36"/>
  <c r="G63" i="36"/>
  <c r="F63" i="36"/>
  <c r="E63" i="36"/>
  <c r="H62" i="36"/>
  <c r="G62" i="36"/>
  <c r="F62" i="36"/>
  <c r="E62" i="36"/>
  <c r="H61" i="36"/>
  <c r="G61" i="36"/>
  <c r="F61" i="36"/>
  <c r="E61" i="36"/>
  <c r="H60" i="36"/>
  <c r="G60" i="36"/>
  <c r="F60" i="36"/>
  <c r="E60" i="36"/>
  <c r="H59" i="36"/>
  <c r="G59" i="36"/>
  <c r="F59" i="36"/>
  <c r="E59" i="36"/>
  <c r="H58" i="36"/>
  <c r="G58" i="36"/>
  <c r="F58" i="36"/>
  <c r="E58" i="36"/>
  <c r="H57" i="36"/>
  <c r="G57" i="36"/>
  <c r="F57" i="36"/>
  <c r="E57" i="36"/>
  <c r="H56" i="36"/>
  <c r="G56" i="36"/>
  <c r="F56" i="36"/>
  <c r="E56" i="36"/>
  <c r="H55" i="36"/>
  <c r="G55" i="36"/>
  <c r="F55" i="36"/>
  <c r="E55" i="36"/>
  <c r="H54" i="36"/>
  <c r="G54" i="36"/>
  <c r="F54" i="36"/>
  <c r="E54" i="36"/>
  <c r="H53" i="36"/>
  <c r="G53" i="36"/>
  <c r="F53" i="36"/>
  <c r="E53" i="36"/>
  <c r="H52" i="36"/>
  <c r="G52" i="36"/>
  <c r="F52" i="36"/>
  <c r="E52" i="36"/>
  <c r="H51" i="36"/>
  <c r="G51" i="36"/>
  <c r="F51" i="36"/>
  <c r="E51" i="36"/>
  <c r="H50" i="36"/>
  <c r="G50" i="36"/>
  <c r="F50" i="36"/>
  <c r="E50" i="36"/>
  <c r="H49" i="36"/>
  <c r="G49" i="36"/>
  <c r="F49" i="36"/>
  <c r="E49" i="36"/>
  <c r="H48" i="36"/>
  <c r="G48" i="36"/>
  <c r="F48" i="36"/>
  <c r="E48" i="36"/>
  <c r="H47" i="36"/>
  <c r="G47" i="36"/>
  <c r="F47" i="36"/>
  <c r="E47" i="36"/>
  <c r="H46" i="36"/>
  <c r="G46" i="36"/>
  <c r="F46" i="36"/>
  <c r="E46" i="36"/>
  <c r="H45" i="36"/>
  <c r="G45" i="36"/>
  <c r="F45" i="36"/>
  <c r="E45" i="36"/>
  <c r="H44" i="36"/>
  <c r="G44" i="36"/>
  <c r="F44" i="36"/>
  <c r="E44" i="36"/>
  <c r="H43" i="36"/>
  <c r="G43" i="36"/>
  <c r="F43" i="36"/>
  <c r="E43" i="36"/>
  <c r="H42" i="36"/>
  <c r="G42" i="36"/>
  <c r="F42" i="36"/>
  <c r="E42" i="36"/>
  <c r="H41" i="36"/>
  <c r="G41" i="36"/>
  <c r="F41" i="36"/>
  <c r="E41" i="36"/>
  <c r="H40" i="36"/>
  <c r="G40" i="36"/>
  <c r="F40" i="36"/>
  <c r="E40" i="36"/>
  <c r="H39" i="36"/>
  <c r="G39" i="36"/>
  <c r="F39" i="36"/>
  <c r="E39" i="36"/>
  <c r="H38" i="36"/>
  <c r="G38" i="36"/>
  <c r="F38" i="36"/>
  <c r="E38" i="36"/>
  <c r="H37" i="36"/>
  <c r="G37" i="36"/>
  <c r="F37" i="36"/>
  <c r="E37" i="36"/>
  <c r="H36" i="36"/>
  <c r="G36" i="36"/>
  <c r="F36" i="36"/>
  <c r="E36" i="36"/>
  <c r="H35" i="36"/>
  <c r="G35" i="36"/>
  <c r="F35" i="36"/>
  <c r="E35" i="36"/>
  <c r="H34" i="36"/>
  <c r="G34" i="36"/>
  <c r="F34" i="36"/>
  <c r="E34" i="36"/>
  <c r="H33" i="36"/>
  <c r="G33" i="36"/>
  <c r="F33" i="36"/>
  <c r="E33" i="36"/>
  <c r="H32" i="36"/>
  <c r="G32" i="36"/>
  <c r="F32" i="36"/>
  <c r="E32" i="36"/>
  <c r="H31" i="36"/>
  <c r="G31" i="36"/>
  <c r="F31" i="36"/>
  <c r="E31" i="36"/>
  <c r="H30" i="36"/>
  <c r="G30" i="36"/>
  <c r="F30" i="36"/>
  <c r="E30" i="36"/>
  <c r="H29" i="36"/>
  <c r="G29" i="36"/>
  <c r="F29" i="36"/>
  <c r="E29" i="36"/>
  <c r="H28" i="36"/>
  <c r="G28" i="36"/>
  <c r="F28" i="36"/>
  <c r="E28" i="36"/>
  <c r="H27" i="36"/>
  <c r="G27" i="36"/>
  <c r="F27" i="36"/>
  <c r="E27" i="36"/>
  <c r="H26" i="36"/>
  <c r="G26" i="36"/>
  <c r="F26" i="36"/>
  <c r="E26" i="36"/>
  <c r="H25" i="36"/>
  <c r="G25" i="36"/>
  <c r="F25" i="36"/>
  <c r="E25" i="36"/>
  <c r="H24" i="36"/>
  <c r="G24" i="36"/>
  <c r="F24" i="36"/>
  <c r="E24" i="36"/>
  <c r="H23" i="36"/>
  <c r="G23" i="36"/>
  <c r="F23" i="36"/>
  <c r="E23" i="36"/>
  <c r="H22" i="36"/>
  <c r="G22" i="36"/>
  <c r="F22" i="36"/>
  <c r="E22" i="36"/>
  <c r="H21" i="36"/>
  <c r="G21" i="36"/>
  <c r="F21" i="36"/>
  <c r="E21" i="36"/>
  <c r="H20" i="36"/>
  <c r="G20" i="36"/>
  <c r="F20" i="36"/>
  <c r="E20" i="36"/>
  <c r="H19" i="36"/>
  <c r="G19" i="36"/>
  <c r="F19" i="36"/>
  <c r="E19" i="36"/>
  <c r="H18" i="36"/>
  <c r="G18" i="36"/>
  <c r="F18" i="36"/>
  <c r="E18" i="36"/>
  <c r="H17" i="36"/>
  <c r="G17" i="36"/>
  <c r="F17" i="36"/>
  <c r="E17" i="36"/>
  <c r="H16" i="36"/>
  <c r="G16" i="36"/>
  <c r="F16" i="36"/>
  <c r="E16" i="36"/>
  <c r="H15" i="36"/>
  <c r="G15" i="36"/>
  <c r="F15" i="36"/>
  <c r="E15" i="36"/>
  <c r="H14" i="36"/>
  <c r="G14" i="36"/>
  <c r="F14" i="36"/>
  <c r="E14" i="36"/>
  <c r="H13" i="36"/>
  <c r="G13" i="36"/>
  <c r="F13" i="36"/>
  <c r="E13" i="36"/>
  <c r="H12" i="36"/>
  <c r="G12" i="36"/>
  <c r="F12" i="36"/>
  <c r="E12" i="36"/>
  <c r="H11" i="36"/>
  <c r="G11" i="36"/>
  <c r="F11" i="36"/>
  <c r="E11" i="36"/>
  <c r="H10" i="36"/>
  <c r="G10" i="36"/>
  <c r="F10" i="36"/>
  <c r="E10" i="36"/>
  <c r="H9" i="36"/>
  <c r="G9" i="36"/>
  <c r="F9" i="36"/>
  <c r="E9" i="36"/>
  <c r="H8" i="36"/>
  <c r="G8" i="36"/>
  <c r="F8" i="36"/>
  <c r="E8" i="36"/>
  <c r="H7" i="36"/>
  <c r="G7" i="36"/>
  <c r="F7" i="36"/>
  <c r="E7" i="36"/>
  <c r="H6" i="36"/>
  <c r="G6" i="36"/>
  <c r="F6" i="36"/>
  <c r="E6" i="36"/>
  <c r="H120" i="36"/>
  <c r="G120" i="36"/>
  <c r="F120" i="36"/>
  <c r="E120" i="36"/>
  <c r="H5" i="36"/>
  <c r="G5" i="36"/>
  <c r="F5" i="36"/>
  <c r="E5" i="36"/>
  <c r="N236" i="36"/>
  <c r="M236" i="36"/>
  <c r="L236" i="36"/>
  <c r="K236" i="36"/>
  <c r="J236" i="36"/>
  <c r="I236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M117" i="36"/>
  <c r="L117" i="36"/>
  <c r="K117" i="36"/>
  <c r="J117" i="36"/>
  <c r="I117" i="36"/>
  <c r="O115" i="36"/>
  <c r="N116" i="33" s="1"/>
  <c r="O114" i="36"/>
  <c r="N115" i="33" s="1"/>
  <c r="O113" i="36"/>
  <c r="N114" i="33" s="1"/>
  <c r="O112" i="36"/>
  <c r="N113" i="33" s="1"/>
  <c r="O111" i="36"/>
  <c r="N112" i="33" s="1"/>
  <c r="O110" i="36"/>
  <c r="N111" i="33" s="1"/>
  <c r="O109" i="36"/>
  <c r="N110" i="33" s="1"/>
  <c r="O108" i="36"/>
  <c r="N109" i="33" s="1"/>
  <c r="O107" i="36"/>
  <c r="N108" i="33" s="1"/>
  <c r="O106" i="36"/>
  <c r="N107" i="33" s="1"/>
  <c r="O105" i="36"/>
  <c r="N106" i="33" s="1"/>
  <c r="O104" i="36"/>
  <c r="N105" i="33" s="1"/>
  <c r="O103" i="36"/>
  <c r="N104" i="33" s="1"/>
  <c r="O102" i="36"/>
  <c r="N103" i="33" s="1"/>
  <c r="O101" i="36"/>
  <c r="N102" i="33" s="1"/>
  <c r="O100" i="36"/>
  <c r="N101" i="33" s="1"/>
  <c r="O99" i="36"/>
  <c r="N100" i="33" s="1"/>
  <c r="O98" i="36"/>
  <c r="N99" i="33" s="1"/>
  <c r="C117" i="36" l="1"/>
  <c r="O213" i="36"/>
  <c r="O127" i="36"/>
  <c r="O136" i="36"/>
  <c r="P18" i="33" s="1"/>
  <c r="O194" i="36"/>
  <c r="P76" i="33" s="1"/>
  <c r="O130" i="36"/>
  <c r="P12" i="33" s="1"/>
  <c r="O12" i="36"/>
  <c r="N13" i="33" s="1"/>
  <c r="O45" i="36"/>
  <c r="N46" i="33" s="1"/>
  <c r="O64" i="36"/>
  <c r="N65" i="33" s="1"/>
  <c r="O68" i="36"/>
  <c r="N69" i="33" s="1"/>
  <c r="O86" i="36"/>
  <c r="N87" i="33" s="1"/>
  <c r="O27" i="36"/>
  <c r="N28" i="33" s="1"/>
  <c r="O29" i="36"/>
  <c r="N30" i="33" s="1"/>
  <c r="O36" i="36"/>
  <c r="N37" i="33" s="1"/>
  <c r="O28" i="36"/>
  <c r="N29" i="33" s="1"/>
  <c r="O119" i="36"/>
  <c r="N141" i="33" s="1"/>
  <c r="O23" i="36"/>
  <c r="N24" i="33" s="1"/>
  <c r="AD102" i="3"/>
  <c r="AD106" i="3"/>
  <c r="AD110" i="3"/>
  <c r="AD114" i="3"/>
  <c r="O162" i="36"/>
  <c r="P44" i="33" s="1"/>
  <c r="O83" i="36"/>
  <c r="N84" i="33" s="1"/>
  <c r="O85" i="36"/>
  <c r="N86" i="33" s="1"/>
  <c r="O91" i="36"/>
  <c r="N92" i="33" s="1"/>
  <c r="O93" i="36"/>
  <c r="N94" i="33" s="1"/>
  <c r="P102" i="33"/>
  <c r="O6" i="36"/>
  <c r="N7" i="33" s="1"/>
  <c r="O16" i="36"/>
  <c r="N17" i="33" s="1"/>
  <c r="O20" i="36"/>
  <c r="N21" i="33" s="1"/>
  <c r="O22" i="36"/>
  <c r="N23" i="33" s="1"/>
  <c r="O49" i="36"/>
  <c r="N50" i="33" s="1"/>
  <c r="O50" i="36"/>
  <c r="N51" i="33" s="1"/>
  <c r="O56" i="36"/>
  <c r="N57" i="33" s="1"/>
  <c r="O61" i="36"/>
  <c r="N62" i="33" s="1"/>
  <c r="O184" i="36"/>
  <c r="P66" i="33" s="1"/>
  <c r="O212" i="36"/>
  <c r="P94" i="33" s="1"/>
  <c r="O208" i="36"/>
  <c r="P90" i="33" s="1"/>
  <c r="O24" i="36"/>
  <c r="N25" i="33" s="1"/>
  <c r="O40" i="36"/>
  <c r="N41" i="33" s="1"/>
  <c r="O8" i="36"/>
  <c r="N9" i="33" s="1"/>
  <c r="O34" i="36"/>
  <c r="N35" i="33" s="1"/>
  <c r="O38" i="36"/>
  <c r="N39" i="33" s="1"/>
  <c r="O43" i="36"/>
  <c r="N44" i="33" s="1"/>
  <c r="O189" i="36"/>
  <c r="P71" i="33" s="1"/>
  <c r="O157" i="36"/>
  <c r="P39" i="33" s="1"/>
  <c r="O145" i="36"/>
  <c r="P27" i="33" s="1"/>
  <c r="O13" i="36"/>
  <c r="N14" i="33" s="1"/>
  <c r="AD101" i="3"/>
  <c r="AD105" i="3"/>
  <c r="AD109" i="3"/>
  <c r="AD113" i="3"/>
  <c r="O5" i="36"/>
  <c r="N6" i="33" s="1"/>
  <c r="O48" i="36"/>
  <c r="N49" i="33" s="1"/>
  <c r="O66" i="36"/>
  <c r="N67" i="33" s="1"/>
  <c r="O70" i="36"/>
  <c r="N71" i="33" s="1"/>
  <c r="O75" i="36"/>
  <c r="N76" i="33" s="1"/>
  <c r="O168" i="36"/>
  <c r="O171" i="36"/>
  <c r="P53" i="33" s="1"/>
  <c r="O178" i="36"/>
  <c r="P60" i="33" s="1"/>
  <c r="P110" i="33"/>
  <c r="O7" i="36"/>
  <c r="N8" i="33" s="1"/>
  <c r="O134" i="36"/>
  <c r="O166" i="36"/>
  <c r="P95" i="33"/>
  <c r="O125" i="36"/>
  <c r="P109" i="33"/>
  <c r="P101" i="33"/>
  <c r="AD99" i="3"/>
  <c r="P99" i="33"/>
  <c r="AD103" i="3"/>
  <c r="P103" i="33"/>
  <c r="AD107" i="3"/>
  <c r="P107" i="33"/>
  <c r="AD111" i="3"/>
  <c r="P111" i="33"/>
  <c r="AD115" i="3"/>
  <c r="P115" i="33"/>
  <c r="O18" i="36"/>
  <c r="N19" i="33" s="1"/>
  <c r="O33" i="36"/>
  <c r="N34" i="33" s="1"/>
  <c r="O39" i="36"/>
  <c r="N40" i="33" s="1"/>
  <c r="O65" i="36"/>
  <c r="N66" i="33" s="1"/>
  <c r="O71" i="36"/>
  <c r="N72" i="33" s="1"/>
  <c r="O72" i="36"/>
  <c r="N73" i="33" s="1"/>
  <c r="O140" i="36"/>
  <c r="O199" i="36"/>
  <c r="O152" i="36"/>
  <c r="O80" i="36"/>
  <c r="N81" i="33" s="1"/>
  <c r="O55" i="36"/>
  <c r="N56" i="33" s="1"/>
  <c r="P114" i="33"/>
  <c r="P106" i="33"/>
  <c r="O146" i="36"/>
  <c r="O177" i="36"/>
  <c r="C236" i="36"/>
  <c r="AD100" i="3"/>
  <c r="P100" i="33"/>
  <c r="AD104" i="3"/>
  <c r="P104" i="33"/>
  <c r="AD108" i="3"/>
  <c r="P108" i="33"/>
  <c r="AD112" i="3"/>
  <c r="P112" i="33"/>
  <c r="AD116" i="3"/>
  <c r="P116" i="33"/>
  <c r="O11" i="36"/>
  <c r="N12" i="33" s="1"/>
  <c r="O17" i="36"/>
  <c r="N18" i="33" s="1"/>
  <c r="O32" i="36"/>
  <c r="N33" i="33" s="1"/>
  <c r="O52" i="36"/>
  <c r="N53" i="33" s="1"/>
  <c r="O81" i="36"/>
  <c r="N82" i="33" s="1"/>
  <c r="O156" i="36"/>
  <c r="O188" i="36"/>
  <c r="P113" i="33"/>
  <c r="P105" i="33"/>
  <c r="O54" i="36"/>
  <c r="N55" i="33" s="1"/>
  <c r="O59" i="36"/>
  <c r="N60" i="33" s="1"/>
  <c r="O79" i="36"/>
  <c r="N80" i="33" s="1"/>
  <c r="O94" i="36"/>
  <c r="N95" i="33" s="1"/>
  <c r="O96" i="36"/>
  <c r="N97" i="33" s="1"/>
  <c r="O150" i="36"/>
  <c r="O197" i="36"/>
  <c r="O203" i="36"/>
  <c r="O182" i="36"/>
  <c r="O172" i="36"/>
  <c r="O204" i="36"/>
  <c r="O202" i="36"/>
  <c r="O200" i="36"/>
  <c r="O198" i="36"/>
  <c r="O195" i="36"/>
  <c r="O193" i="36"/>
  <c r="O191" i="36"/>
  <c r="O187" i="36"/>
  <c r="O183" i="36"/>
  <c r="O181" i="36"/>
  <c r="O175" i="36"/>
  <c r="O173" i="36"/>
  <c r="O169" i="36"/>
  <c r="O167" i="36"/>
  <c r="O165" i="36"/>
  <c r="O163" i="36"/>
  <c r="O161" i="36"/>
  <c r="O159" i="36"/>
  <c r="O155" i="36"/>
  <c r="O151" i="36"/>
  <c r="O149" i="36"/>
  <c r="O143" i="36"/>
  <c r="O141" i="36"/>
  <c r="O139" i="36"/>
  <c r="O137" i="36"/>
  <c r="O135" i="36"/>
  <c r="O133" i="36"/>
  <c r="O131" i="36"/>
  <c r="O129" i="36"/>
  <c r="O179" i="36"/>
  <c r="O153" i="36"/>
  <c r="D236" i="36"/>
  <c r="H236" i="36"/>
  <c r="O196" i="36"/>
  <c r="O216" i="36"/>
  <c r="P98" i="33" s="1"/>
  <c r="O210" i="36"/>
  <c r="O185" i="36"/>
  <c r="O147" i="36"/>
  <c r="O90" i="36"/>
  <c r="N91" i="33" s="1"/>
  <c r="O84" i="36"/>
  <c r="N85" i="33" s="1"/>
  <c r="O82" i="36"/>
  <c r="N83" i="33" s="1"/>
  <c r="O78" i="36"/>
  <c r="N79" i="33" s="1"/>
  <c r="O73" i="36"/>
  <c r="N74" i="33" s="1"/>
  <c r="O69" i="36"/>
  <c r="N70" i="33" s="1"/>
  <c r="O67" i="36"/>
  <c r="N68" i="33" s="1"/>
  <c r="O63" i="36"/>
  <c r="N64" i="33" s="1"/>
  <c r="O57" i="36"/>
  <c r="N58" i="33" s="1"/>
  <c r="O53" i="36"/>
  <c r="N54" i="33" s="1"/>
  <c r="O51" i="36"/>
  <c r="N52" i="33" s="1"/>
  <c r="O47" i="36"/>
  <c r="N48" i="33" s="1"/>
  <c r="O41" i="36"/>
  <c r="N42" i="33" s="1"/>
  <c r="O37" i="36"/>
  <c r="N38" i="33" s="1"/>
  <c r="O35" i="36"/>
  <c r="N36" i="33" s="1"/>
  <c r="O31" i="36"/>
  <c r="N32" i="33" s="1"/>
  <c r="O25" i="36"/>
  <c r="N26" i="33" s="1"/>
  <c r="O21" i="36"/>
  <c r="N22" i="33" s="1"/>
  <c r="O19" i="36"/>
  <c r="N20" i="33" s="1"/>
  <c r="O15" i="36"/>
  <c r="N16" i="33" s="1"/>
  <c r="O9" i="36"/>
  <c r="N10" i="33" s="1"/>
  <c r="G117" i="36"/>
  <c r="O88" i="36"/>
  <c r="N89" i="33" s="1"/>
  <c r="O205" i="36"/>
  <c r="O201" i="36"/>
  <c r="O241" i="36"/>
  <c r="O192" i="36"/>
  <c r="O190" i="36"/>
  <c r="O186" i="36"/>
  <c r="O180" i="36"/>
  <c r="O176" i="36"/>
  <c r="O174" i="36"/>
  <c r="O170" i="36"/>
  <c r="O164" i="36"/>
  <c r="O160" i="36"/>
  <c r="O158" i="36"/>
  <c r="O154" i="36"/>
  <c r="O148" i="36"/>
  <c r="O144" i="36"/>
  <c r="O142" i="36"/>
  <c r="O138" i="36"/>
  <c r="O132" i="36"/>
  <c r="O128" i="36"/>
  <c r="O126" i="36"/>
  <c r="O97" i="36"/>
  <c r="N98" i="33" s="1"/>
  <c r="O89" i="36"/>
  <c r="N90" i="33" s="1"/>
  <c r="O77" i="36"/>
  <c r="N78" i="33" s="1"/>
  <c r="O76" i="36"/>
  <c r="N77" i="33" s="1"/>
  <c r="O74" i="36"/>
  <c r="N75" i="33" s="1"/>
  <c r="O62" i="36"/>
  <c r="N63" i="33" s="1"/>
  <c r="O60" i="36"/>
  <c r="N61" i="33" s="1"/>
  <c r="O58" i="36"/>
  <c r="N59" i="33" s="1"/>
  <c r="O46" i="36"/>
  <c r="N47" i="33" s="1"/>
  <c r="O44" i="36"/>
  <c r="N45" i="33" s="1"/>
  <c r="O42" i="36"/>
  <c r="N43" i="33" s="1"/>
  <c r="O30" i="36"/>
  <c r="N31" i="33" s="1"/>
  <c r="O26" i="36"/>
  <c r="N27" i="33" s="1"/>
  <c r="O14" i="36"/>
  <c r="N15" i="33" s="1"/>
  <c r="O10" i="36"/>
  <c r="N11" i="33" s="1"/>
  <c r="D117" i="36"/>
  <c r="O87" i="36"/>
  <c r="N88" i="33" s="1"/>
  <c r="O95" i="36"/>
  <c r="N96" i="33" s="1"/>
  <c r="F236" i="36"/>
  <c r="O207" i="36"/>
  <c r="O211" i="36"/>
  <c r="O215" i="36"/>
  <c r="O206" i="36"/>
  <c r="O209" i="36"/>
  <c r="O214" i="36"/>
  <c r="E236" i="36"/>
  <c r="G236" i="36"/>
  <c r="O242" i="36"/>
  <c r="O124" i="36"/>
  <c r="O92" i="36"/>
  <c r="N93" i="33" s="1"/>
  <c r="H117" i="36"/>
  <c r="F117" i="36"/>
  <c r="O120" i="36"/>
  <c r="N142" i="33" s="1"/>
  <c r="E117" i="36"/>
  <c r="AD50" i="3" l="1"/>
  <c r="AD76" i="3"/>
  <c r="AD9" i="3"/>
  <c r="P9" i="33"/>
  <c r="P50" i="33"/>
  <c r="AD71" i="3"/>
  <c r="AD39" i="3"/>
  <c r="AD60" i="3"/>
  <c r="AD44" i="3"/>
  <c r="AD94" i="3"/>
  <c r="AD53" i="3"/>
  <c r="AD97" i="3"/>
  <c r="P97" i="33"/>
  <c r="AD30" i="3"/>
  <c r="P30" i="33"/>
  <c r="AD46" i="3"/>
  <c r="P46" i="33"/>
  <c r="AD62" i="3"/>
  <c r="P62" i="33"/>
  <c r="AD147" i="3"/>
  <c r="P141" i="33"/>
  <c r="AD23" i="3"/>
  <c r="P23" i="33"/>
  <c r="AD37" i="3"/>
  <c r="P37" i="33"/>
  <c r="AD57" i="3"/>
  <c r="P57" i="33"/>
  <c r="AD82" i="3"/>
  <c r="P82" i="33"/>
  <c r="AD64" i="3"/>
  <c r="P64" i="33"/>
  <c r="AD38" i="3"/>
  <c r="P38" i="33"/>
  <c r="AD34" i="3"/>
  <c r="P34" i="33"/>
  <c r="AD48" i="3"/>
  <c r="P48" i="33"/>
  <c r="AD96" i="3"/>
  <c r="P96" i="33"/>
  <c r="AD93" i="3"/>
  <c r="P93" i="33"/>
  <c r="AD20" i="3"/>
  <c r="P20" i="33"/>
  <c r="AD36" i="3"/>
  <c r="P36" i="33"/>
  <c r="AD52" i="3"/>
  <c r="P52" i="33"/>
  <c r="AD68" i="3"/>
  <c r="P68" i="33"/>
  <c r="AD83" i="3"/>
  <c r="P83" i="33"/>
  <c r="AD92" i="3"/>
  <c r="P92" i="33"/>
  <c r="AD61" i="3"/>
  <c r="P61" i="33"/>
  <c r="AD17" i="3"/>
  <c r="P17" i="33"/>
  <c r="AD25" i="3"/>
  <c r="P25" i="33"/>
  <c r="AD41" i="3"/>
  <c r="P41" i="33"/>
  <c r="AD49" i="3"/>
  <c r="P49" i="33"/>
  <c r="AD63" i="3"/>
  <c r="P63" i="33"/>
  <c r="AD75" i="3"/>
  <c r="P75" i="33"/>
  <c r="AD84" i="3"/>
  <c r="P84" i="33"/>
  <c r="AD85" i="3"/>
  <c r="P85" i="33"/>
  <c r="AD59" i="3"/>
  <c r="P59" i="33"/>
  <c r="AD81" i="3"/>
  <c r="P81" i="33"/>
  <c r="AD7" i="3"/>
  <c r="P7" i="33"/>
  <c r="AD16" i="3"/>
  <c r="P16" i="33"/>
  <c r="AD18" i="3"/>
  <c r="AD146" i="3"/>
  <c r="P142" i="33"/>
  <c r="AD91" i="3"/>
  <c r="P91" i="33"/>
  <c r="AD89" i="3"/>
  <c r="P89" i="33"/>
  <c r="AD8" i="3"/>
  <c r="P8" i="33"/>
  <c r="AD24" i="3"/>
  <c r="P24" i="33"/>
  <c r="AD40" i="3"/>
  <c r="P40" i="33"/>
  <c r="AD56" i="3"/>
  <c r="P56" i="33"/>
  <c r="AD72" i="3"/>
  <c r="P72" i="33"/>
  <c r="AD87" i="3"/>
  <c r="P87" i="33"/>
  <c r="AD98" i="3"/>
  <c r="AD11" i="3"/>
  <c r="P11" i="33"/>
  <c r="AD19" i="3"/>
  <c r="P19" i="33"/>
  <c r="AD31" i="3"/>
  <c r="P31" i="33"/>
  <c r="AD43" i="3"/>
  <c r="P43" i="33"/>
  <c r="AD51" i="3"/>
  <c r="P51" i="33"/>
  <c r="AD65" i="3"/>
  <c r="P65" i="33"/>
  <c r="AD77" i="3"/>
  <c r="P77" i="33"/>
  <c r="AD86" i="3"/>
  <c r="P86" i="33"/>
  <c r="AD79" i="3"/>
  <c r="P79" i="33"/>
  <c r="AD28" i="3"/>
  <c r="P28" i="33"/>
  <c r="AD22" i="3"/>
  <c r="P22" i="33"/>
  <c r="AD14" i="3"/>
  <c r="P14" i="33"/>
  <c r="AD67" i="3"/>
  <c r="P67" i="33"/>
  <c r="AD35" i="3"/>
  <c r="P35" i="33"/>
  <c r="AD15" i="3"/>
  <c r="P15" i="33"/>
  <c r="AD47" i="3"/>
  <c r="P47" i="33"/>
  <c r="AD73" i="3"/>
  <c r="P73" i="33"/>
  <c r="AD6" i="3"/>
  <c r="P6" i="33"/>
  <c r="AD88" i="3"/>
  <c r="P88" i="33"/>
  <c r="AD10" i="3"/>
  <c r="P10" i="33"/>
  <c r="AD26" i="3"/>
  <c r="P26" i="33"/>
  <c r="AD42" i="3"/>
  <c r="P42" i="33"/>
  <c r="AD58" i="3"/>
  <c r="P58" i="33"/>
  <c r="AD74" i="3"/>
  <c r="P74" i="33"/>
  <c r="AD29" i="3"/>
  <c r="P29" i="33"/>
  <c r="AD78" i="3"/>
  <c r="P78" i="33"/>
  <c r="AD13" i="3"/>
  <c r="P13" i="33"/>
  <c r="AD21" i="3"/>
  <c r="P21" i="33"/>
  <c r="AD33" i="3"/>
  <c r="P33" i="33"/>
  <c r="AD45" i="3"/>
  <c r="P45" i="33"/>
  <c r="AD55" i="3"/>
  <c r="P55" i="33"/>
  <c r="AD69" i="3"/>
  <c r="P69" i="33"/>
  <c r="AD80" i="3"/>
  <c r="P80" i="33"/>
  <c r="AD54" i="3"/>
  <c r="P54" i="33"/>
  <c r="AD32" i="3"/>
  <c r="P32" i="33"/>
  <c r="AD70" i="3"/>
  <c r="P70" i="33"/>
  <c r="AD90" i="3"/>
  <c r="AD12" i="3"/>
  <c r="AD95" i="3"/>
  <c r="AD27" i="3"/>
  <c r="AD66" i="3"/>
  <c r="O236" i="36"/>
  <c r="O117" i="36"/>
  <c r="AD118" i="3" l="1"/>
  <c r="J93" i="3"/>
  <c r="J94" i="3"/>
  <c r="J95" i="3"/>
  <c r="AF41" i="3" l="1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147" i="3"/>
  <c r="AG147" i="3"/>
  <c r="AH147" i="3" s="1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121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38" i="35"/>
  <c r="H117" i="33"/>
  <c r="W117" i="33" s="1"/>
  <c r="J70" i="3"/>
  <c r="J71" i="3"/>
  <c r="J72" i="3"/>
  <c r="J73" i="3"/>
  <c r="J74" i="3"/>
  <c r="J75" i="3"/>
  <c r="J76" i="3"/>
  <c r="J77" i="3"/>
  <c r="J14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AI147" i="3" l="1"/>
  <c r="X41" i="20" l="1"/>
  <c r="X42" i="20"/>
  <c r="X43" i="20"/>
  <c r="X44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X59" i="20"/>
  <c r="X60" i="20"/>
  <c r="X61" i="20"/>
  <c r="X62" i="20"/>
  <c r="X63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X121" i="20"/>
  <c r="X78" i="20"/>
  <c r="X79" i="20"/>
  <c r="X80" i="20"/>
  <c r="X81" i="20"/>
  <c r="X82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X97" i="20"/>
  <c r="X98" i="20"/>
  <c r="X99" i="20"/>
  <c r="X100" i="20"/>
  <c r="X101" i="20"/>
  <c r="X102" i="20"/>
  <c r="X103" i="20"/>
  <c r="X104" i="20"/>
  <c r="X105" i="20"/>
  <c r="X106" i="20"/>
  <c r="X107" i="20"/>
  <c r="X108" i="20"/>
  <c r="X109" i="20"/>
  <c r="X110" i="20"/>
  <c r="X111" i="20"/>
  <c r="X112" i="20"/>
  <c r="X113" i="20"/>
  <c r="X114" i="20"/>
  <c r="X115" i="20"/>
  <c r="X116" i="20"/>
  <c r="X117" i="20"/>
  <c r="S41" i="20"/>
  <c r="G41" i="33" s="1"/>
  <c r="V41" i="3" s="1"/>
  <c r="S42" i="20"/>
  <c r="G42" i="33" s="1"/>
  <c r="V42" i="3" s="1"/>
  <c r="S43" i="20"/>
  <c r="G43" i="33" s="1"/>
  <c r="V43" i="3" s="1"/>
  <c r="S44" i="20"/>
  <c r="W44" i="20" s="1"/>
  <c r="S45" i="20"/>
  <c r="W45" i="20" s="1"/>
  <c r="Y45" i="20" s="1"/>
  <c r="S46" i="20"/>
  <c r="G46" i="33" s="1"/>
  <c r="V46" i="3" s="1"/>
  <c r="S47" i="20"/>
  <c r="G47" i="33" s="1"/>
  <c r="V47" i="3" s="1"/>
  <c r="S48" i="20"/>
  <c r="W48" i="20" s="1"/>
  <c r="S49" i="20"/>
  <c r="W49" i="20" s="1"/>
  <c r="Y49" i="20" s="1"/>
  <c r="S50" i="20"/>
  <c r="W50" i="20" s="1"/>
  <c r="S51" i="20"/>
  <c r="G51" i="33" s="1"/>
  <c r="V51" i="3" s="1"/>
  <c r="S52" i="20"/>
  <c r="W52" i="20" s="1"/>
  <c r="S53" i="20"/>
  <c r="G53" i="33" s="1"/>
  <c r="V53" i="3" s="1"/>
  <c r="S54" i="20"/>
  <c r="G54" i="33" s="1"/>
  <c r="V54" i="3" s="1"/>
  <c r="S55" i="20"/>
  <c r="G55" i="33" s="1"/>
  <c r="V55" i="3" s="1"/>
  <c r="S56" i="20"/>
  <c r="W56" i="20" s="1"/>
  <c r="S57" i="20"/>
  <c r="G57" i="33" s="1"/>
  <c r="V57" i="3" s="1"/>
  <c r="S58" i="20"/>
  <c r="G58" i="33" s="1"/>
  <c r="V58" i="3" s="1"/>
  <c r="S59" i="20"/>
  <c r="G59" i="33" s="1"/>
  <c r="V59" i="3" s="1"/>
  <c r="S60" i="20"/>
  <c r="W60" i="20" s="1"/>
  <c r="S61" i="20"/>
  <c r="G61" i="33" s="1"/>
  <c r="V61" i="3" s="1"/>
  <c r="S62" i="20"/>
  <c r="G62" i="33" s="1"/>
  <c r="V62" i="3" s="1"/>
  <c r="S63" i="20"/>
  <c r="G63" i="33" s="1"/>
  <c r="V63" i="3" s="1"/>
  <c r="S64" i="20"/>
  <c r="W64" i="20" s="1"/>
  <c r="S65" i="20"/>
  <c r="G65" i="33" s="1"/>
  <c r="V65" i="3" s="1"/>
  <c r="S66" i="20"/>
  <c r="G66" i="33" s="1"/>
  <c r="V66" i="3" s="1"/>
  <c r="S67" i="20"/>
  <c r="W67" i="20" s="1"/>
  <c r="S68" i="20"/>
  <c r="W68" i="20" s="1"/>
  <c r="S69" i="20"/>
  <c r="W69" i="20" s="1"/>
  <c r="Y69" i="20" s="1"/>
  <c r="S70" i="20"/>
  <c r="G70" i="33" s="1"/>
  <c r="V70" i="3" s="1"/>
  <c r="S71" i="20"/>
  <c r="W71" i="20" s="1"/>
  <c r="S72" i="20"/>
  <c r="W72" i="20" s="1"/>
  <c r="S73" i="20"/>
  <c r="W73" i="20" s="1"/>
  <c r="Y73" i="20" s="1"/>
  <c r="S74" i="20"/>
  <c r="W74" i="20" s="1"/>
  <c r="S75" i="20"/>
  <c r="G75" i="33" s="1"/>
  <c r="V75" i="3" s="1"/>
  <c r="S76" i="20"/>
  <c r="W76" i="20" s="1"/>
  <c r="S77" i="20"/>
  <c r="G77" i="33" s="1"/>
  <c r="V77" i="3" s="1"/>
  <c r="S121" i="20"/>
  <c r="G141" i="33" s="1"/>
  <c r="V147" i="3" s="1"/>
  <c r="S78" i="20"/>
  <c r="W78" i="20" s="1"/>
  <c r="S79" i="20"/>
  <c r="W79" i="20" s="1"/>
  <c r="S80" i="20"/>
  <c r="G80" i="33" s="1"/>
  <c r="V80" i="3" s="1"/>
  <c r="S81" i="20"/>
  <c r="G81" i="33" s="1"/>
  <c r="V81" i="3" s="1"/>
  <c r="S82" i="20"/>
  <c r="W82" i="20" s="1"/>
  <c r="S83" i="20"/>
  <c r="W83" i="20" s="1"/>
  <c r="S84" i="20"/>
  <c r="G84" i="33" s="1"/>
  <c r="V84" i="3" s="1"/>
  <c r="S85" i="20"/>
  <c r="W85" i="20" s="1"/>
  <c r="S86" i="20"/>
  <c r="W86" i="20" s="1"/>
  <c r="S87" i="20"/>
  <c r="W87" i="20" s="1"/>
  <c r="S88" i="20"/>
  <c r="G88" i="33" s="1"/>
  <c r="V88" i="3" s="1"/>
  <c r="S89" i="20"/>
  <c r="G89" i="33" s="1"/>
  <c r="V89" i="3" s="1"/>
  <c r="S90" i="20"/>
  <c r="W90" i="20" s="1"/>
  <c r="S91" i="20"/>
  <c r="W91" i="20" s="1"/>
  <c r="S92" i="20"/>
  <c r="G92" i="33" s="1"/>
  <c r="V92" i="3" s="1"/>
  <c r="S93" i="20"/>
  <c r="G93" i="33" s="1"/>
  <c r="V93" i="3" s="1"/>
  <c r="S94" i="20"/>
  <c r="W94" i="20" s="1"/>
  <c r="S95" i="20"/>
  <c r="W95" i="20" s="1"/>
  <c r="S96" i="20"/>
  <c r="W96" i="20" s="1"/>
  <c r="Y96" i="20" s="1"/>
  <c r="S97" i="20"/>
  <c r="G97" i="33" s="1"/>
  <c r="V97" i="3" s="1"/>
  <c r="S98" i="20"/>
  <c r="W98" i="20" s="1"/>
  <c r="S99" i="20"/>
  <c r="W99" i="20" s="1"/>
  <c r="S100" i="20"/>
  <c r="G100" i="33" s="1"/>
  <c r="V100" i="3" s="1"/>
  <c r="S101" i="20"/>
  <c r="G101" i="33" s="1"/>
  <c r="V101" i="3" s="1"/>
  <c r="S102" i="20"/>
  <c r="W102" i="20" s="1"/>
  <c r="S103" i="20"/>
  <c r="W103" i="20" s="1"/>
  <c r="S104" i="20"/>
  <c r="W104" i="20" s="1"/>
  <c r="Y104" i="20" s="1"/>
  <c r="S105" i="20"/>
  <c r="W105" i="20" s="1"/>
  <c r="S106" i="20"/>
  <c r="G106" i="33" s="1"/>
  <c r="V106" i="3" s="1"/>
  <c r="S107" i="20"/>
  <c r="W107" i="20" s="1"/>
  <c r="S108" i="20"/>
  <c r="G108" i="33" s="1"/>
  <c r="V108" i="3" s="1"/>
  <c r="S109" i="20"/>
  <c r="G109" i="33" s="1"/>
  <c r="V109" i="3" s="1"/>
  <c r="S110" i="20"/>
  <c r="G110" i="33" s="1"/>
  <c r="V110" i="3" s="1"/>
  <c r="S111" i="20"/>
  <c r="W111" i="20" s="1"/>
  <c r="S112" i="20"/>
  <c r="G112" i="33" s="1"/>
  <c r="V112" i="3" s="1"/>
  <c r="S113" i="20"/>
  <c r="G113" i="33" s="1"/>
  <c r="V113" i="3" s="1"/>
  <c r="S114" i="20"/>
  <c r="G114" i="33" s="1"/>
  <c r="V114" i="3" s="1"/>
  <c r="S115" i="20"/>
  <c r="W115" i="20" s="1"/>
  <c r="S116" i="20"/>
  <c r="G116" i="33" s="1"/>
  <c r="V116" i="3" s="1"/>
  <c r="S117" i="20"/>
  <c r="G117" i="33" s="1"/>
  <c r="V117" i="3" s="1"/>
  <c r="E41" i="20"/>
  <c r="F41" i="33" s="1"/>
  <c r="E42" i="20"/>
  <c r="F42" i="33" s="1"/>
  <c r="E43" i="20"/>
  <c r="F43" i="33" s="1"/>
  <c r="E44" i="20"/>
  <c r="F44" i="33" s="1"/>
  <c r="E45" i="20"/>
  <c r="F45" i="33" s="1"/>
  <c r="E46" i="20"/>
  <c r="F46" i="33" s="1"/>
  <c r="E47" i="20"/>
  <c r="F47" i="33" s="1"/>
  <c r="E48" i="20"/>
  <c r="F48" i="33" s="1"/>
  <c r="E49" i="20"/>
  <c r="E50" i="20"/>
  <c r="F50" i="33" s="1"/>
  <c r="E51" i="20"/>
  <c r="F51" i="33" s="1"/>
  <c r="E52" i="20"/>
  <c r="F52" i="33" s="1"/>
  <c r="E53" i="20"/>
  <c r="F53" i="33" s="1"/>
  <c r="E54" i="20"/>
  <c r="F54" i="33" s="1"/>
  <c r="E55" i="20"/>
  <c r="F55" i="33" s="1"/>
  <c r="E56" i="20"/>
  <c r="F56" i="33" s="1"/>
  <c r="E57" i="20"/>
  <c r="F57" i="33" s="1"/>
  <c r="E58" i="20"/>
  <c r="F58" i="33" s="1"/>
  <c r="E59" i="20"/>
  <c r="F59" i="33" s="1"/>
  <c r="E60" i="20"/>
  <c r="F60" i="33" s="1"/>
  <c r="E61" i="20"/>
  <c r="F61" i="33" s="1"/>
  <c r="E62" i="20"/>
  <c r="F62" i="33" s="1"/>
  <c r="E63" i="20"/>
  <c r="F63" i="33" s="1"/>
  <c r="E64" i="20"/>
  <c r="F64" i="33" s="1"/>
  <c r="E65" i="20"/>
  <c r="F65" i="33" s="1"/>
  <c r="E66" i="20"/>
  <c r="F66" i="33" s="1"/>
  <c r="E67" i="20"/>
  <c r="F67" i="33" s="1"/>
  <c r="E68" i="20"/>
  <c r="F68" i="33" s="1"/>
  <c r="E69" i="20"/>
  <c r="F69" i="33" s="1"/>
  <c r="E70" i="20"/>
  <c r="F70" i="33" s="1"/>
  <c r="E71" i="20"/>
  <c r="F71" i="33" s="1"/>
  <c r="E72" i="20"/>
  <c r="F72" i="33" s="1"/>
  <c r="E73" i="20"/>
  <c r="F73" i="33" s="1"/>
  <c r="E74" i="20"/>
  <c r="F74" i="33" s="1"/>
  <c r="E75" i="20"/>
  <c r="F75" i="33" s="1"/>
  <c r="E76" i="20"/>
  <c r="F76" i="33" s="1"/>
  <c r="E77" i="20"/>
  <c r="F77" i="33" s="1"/>
  <c r="E121" i="20"/>
  <c r="F141" i="33" s="1"/>
  <c r="E78" i="20"/>
  <c r="F78" i="33" s="1"/>
  <c r="E79" i="20"/>
  <c r="F79" i="33" s="1"/>
  <c r="E80" i="20"/>
  <c r="F80" i="33" s="1"/>
  <c r="E81" i="20"/>
  <c r="F81" i="33" s="1"/>
  <c r="E82" i="20"/>
  <c r="F82" i="33" s="1"/>
  <c r="E83" i="20"/>
  <c r="F83" i="33" s="1"/>
  <c r="E84" i="20"/>
  <c r="E85" i="20"/>
  <c r="F85" i="33" s="1"/>
  <c r="E86" i="20"/>
  <c r="F86" i="33" s="1"/>
  <c r="E87" i="20"/>
  <c r="F87" i="33" s="1"/>
  <c r="E88" i="20"/>
  <c r="F88" i="33" s="1"/>
  <c r="E89" i="20"/>
  <c r="F89" i="33" s="1"/>
  <c r="E90" i="20"/>
  <c r="F90" i="33" s="1"/>
  <c r="E91" i="20"/>
  <c r="F91" i="33" s="1"/>
  <c r="E92" i="20"/>
  <c r="F92" i="33" s="1"/>
  <c r="E93" i="20"/>
  <c r="F93" i="33" s="1"/>
  <c r="E94" i="20"/>
  <c r="F94" i="33" s="1"/>
  <c r="E95" i="20"/>
  <c r="F95" i="33" s="1"/>
  <c r="E96" i="20"/>
  <c r="F96" i="33" s="1"/>
  <c r="E97" i="20"/>
  <c r="F97" i="33" s="1"/>
  <c r="E98" i="20"/>
  <c r="F98" i="33" s="1"/>
  <c r="E99" i="20"/>
  <c r="F99" i="33" s="1"/>
  <c r="E100" i="20"/>
  <c r="F100" i="33" s="1"/>
  <c r="E101" i="20"/>
  <c r="F101" i="33" s="1"/>
  <c r="E102" i="20"/>
  <c r="F102" i="33" s="1"/>
  <c r="E103" i="20"/>
  <c r="F103" i="33" s="1"/>
  <c r="E104" i="20"/>
  <c r="F104" i="33" s="1"/>
  <c r="E105" i="20"/>
  <c r="F105" i="33" s="1"/>
  <c r="E106" i="20"/>
  <c r="F106" i="33" s="1"/>
  <c r="E107" i="20"/>
  <c r="F107" i="33" s="1"/>
  <c r="E108" i="20"/>
  <c r="F108" i="33" s="1"/>
  <c r="E109" i="20"/>
  <c r="E110" i="20"/>
  <c r="F110" i="33" s="1"/>
  <c r="E111" i="20"/>
  <c r="F111" i="33" s="1"/>
  <c r="E112" i="20"/>
  <c r="F112" i="33" s="1"/>
  <c r="E113" i="20"/>
  <c r="F113" i="33" s="1"/>
  <c r="E114" i="20"/>
  <c r="F114" i="33" s="1"/>
  <c r="X114" i="3" s="1"/>
  <c r="E115" i="20"/>
  <c r="F115" i="33" s="1"/>
  <c r="E116" i="20"/>
  <c r="E117" i="20"/>
  <c r="F117" i="33" s="1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14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S116" i="35"/>
  <c r="U116" i="35"/>
  <c r="V38" i="35"/>
  <c r="V39" i="35"/>
  <c r="V40" i="35"/>
  <c r="V41" i="35"/>
  <c r="V42" i="35"/>
  <c r="V43" i="35"/>
  <c r="V44" i="35"/>
  <c r="V45" i="35"/>
  <c r="V46" i="35"/>
  <c r="V47" i="35"/>
  <c r="V48" i="35"/>
  <c r="V49" i="35"/>
  <c r="V50" i="35"/>
  <c r="V51" i="35"/>
  <c r="V52" i="35"/>
  <c r="V53" i="35"/>
  <c r="V54" i="35"/>
  <c r="V55" i="35"/>
  <c r="V56" i="35"/>
  <c r="V57" i="35"/>
  <c r="V58" i="35"/>
  <c r="V59" i="35"/>
  <c r="V60" i="35"/>
  <c r="V61" i="35"/>
  <c r="V62" i="35"/>
  <c r="V63" i="35"/>
  <c r="V64" i="35"/>
  <c r="V65" i="35"/>
  <c r="V66" i="35"/>
  <c r="V67" i="35"/>
  <c r="V68" i="35"/>
  <c r="V69" i="35"/>
  <c r="V70" i="35"/>
  <c r="V71" i="35"/>
  <c r="V72" i="35"/>
  <c r="V73" i="35"/>
  <c r="V74" i="35"/>
  <c r="V121" i="35"/>
  <c r="V75" i="35"/>
  <c r="V76" i="35"/>
  <c r="V77" i="35"/>
  <c r="V78" i="35"/>
  <c r="V79" i="35"/>
  <c r="V80" i="35"/>
  <c r="V81" i="35"/>
  <c r="V82" i="35"/>
  <c r="V83" i="35"/>
  <c r="V84" i="35"/>
  <c r="V85" i="35"/>
  <c r="V86" i="35"/>
  <c r="V87" i="35"/>
  <c r="V88" i="35"/>
  <c r="V89" i="35"/>
  <c r="V90" i="35"/>
  <c r="V91" i="35"/>
  <c r="V92" i="35"/>
  <c r="V93" i="35"/>
  <c r="V94" i="35"/>
  <c r="V95" i="35"/>
  <c r="V96" i="35"/>
  <c r="V97" i="35"/>
  <c r="V98" i="35"/>
  <c r="V99" i="35"/>
  <c r="V100" i="35"/>
  <c r="V101" i="35"/>
  <c r="V102" i="35"/>
  <c r="V103" i="35"/>
  <c r="V104" i="35"/>
  <c r="V105" i="35"/>
  <c r="V106" i="35"/>
  <c r="V107" i="35"/>
  <c r="V108" i="35"/>
  <c r="V109" i="35"/>
  <c r="V110" i="35"/>
  <c r="V111" i="35"/>
  <c r="V112" i="35"/>
  <c r="V113" i="35"/>
  <c r="V114" i="35"/>
  <c r="R114" i="35"/>
  <c r="R38" i="35"/>
  <c r="R39" i="35"/>
  <c r="R40" i="35"/>
  <c r="R41" i="35"/>
  <c r="R42" i="35"/>
  <c r="R43" i="35"/>
  <c r="R44" i="35"/>
  <c r="R45" i="35"/>
  <c r="R46" i="35"/>
  <c r="R47" i="35"/>
  <c r="R48" i="35"/>
  <c r="R49" i="35"/>
  <c r="R50" i="35"/>
  <c r="R51" i="35"/>
  <c r="R52" i="35"/>
  <c r="R53" i="35"/>
  <c r="R54" i="35"/>
  <c r="R55" i="35"/>
  <c r="R56" i="35"/>
  <c r="R57" i="35"/>
  <c r="R58" i="35"/>
  <c r="R59" i="35"/>
  <c r="R60" i="35"/>
  <c r="R61" i="35"/>
  <c r="R62" i="35"/>
  <c r="R63" i="35"/>
  <c r="R64" i="35"/>
  <c r="R65" i="35"/>
  <c r="R66" i="35"/>
  <c r="R67" i="35"/>
  <c r="R68" i="35"/>
  <c r="R69" i="35"/>
  <c r="R70" i="35"/>
  <c r="R71" i="35"/>
  <c r="R72" i="35"/>
  <c r="R73" i="35"/>
  <c r="R74" i="35"/>
  <c r="R121" i="35"/>
  <c r="R75" i="35"/>
  <c r="R76" i="35"/>
  <c r="R77" i="35"/>
  <c r="R78" i="35"/>
  <c r="R79" i="35"/>
  <c r="R80" i="35"/>
  <c r="R81" i="35"/>
  <c r="R82" i="35"/>
  <c r="R83" i="35"/>
  <c r="R84" i="35"/>
  <c r="R85" i="35"/>
  <c r="R86" i="35"/>
  <c r="R87" i="35"/>
  <c r="R88" i="35"/>
  <c r="R89" i="35"/>
  <c r="R90" i="35"/>
  <c r="R91" i="35"/>
  <c r="R92" i="35"/>
  <c r="R93" i="35"/>
  <c r="R94" i="35"/>
  <c r="R95" i="35"/>
  <c r="R96" i="35"/>
  <c r="R97" i="35"/>
  <c r="AJ118" i="3" s="1"/>
  <c r="R98" i="35"/>
  <c r="R99" i="35"/>
  <c r="R100" i="35"/>
  <c r="R101" i="35"/>
  <c r="R102" i="35"/>
  <c r="R103" i="35"/>
  <c r="R104" i="35"/>
  <c r="R105" i="35"/>
  <c r="R106" i="35"/>
  <c r="R107" i="35"/>
  <c r="R108" i="35"/>
  <c r="R109" i="35"/>
  <c r="R110" i="35"/>
  <c r="R111" i="35"/>
  <c r="R112" i="35"/>
  <c r="R113" i="35"/>
  <c r="E115" i="35"/>
  <c r="F115" i="35"/>
  <c r="G115" i="35"/>
  <c r="H115" i="35"/>
  <c r="I115" i="35"/>
  <c r="J115" i="35"/>
  <c r="K115" i="35"/>
  <c r="L115" i="35"/>
  <c r="M115" i="35"/>
  <c r="N115" i="35"/>
  <c r="O115" i="35"/>
  <c r="P115" i="35"/>
  <c r="Q115" i="35"/>
  <c r="D115" i="35"/>
  <c r="B38" i="35"/>
  <c r="AL41" i="3" s="1"/>
  <c r="B39" i="35"/>
  <c r="AL42" i="3" s="1"/>
  <c r="B40" i="35"/>
  <c r="AL43" i="3" s="1"/>
  <c r="B41" i="35"/>
  <c r="AL44" i="3" s="1"/>
  <c r="B42" i="35"/>
  <c r="AL45" i="3" s="1"/>
  <c r="B43" i="35"/>
  <c r="AL46" i="3" s="1"/>
  <c r="B44" i="35"/>
  <c r="AL47" i="3" s="1"/>
  <c r="B45" i="35"/>
  <c r="AL48" i="3" s="1"/>
  <c r="B46" i="35"/>
  <c r="AL49" i="3" s="1"/>
  <c r="B47" i="35"/>
  <c r="AL50" i="3" s="1"/>
  <c r="B48" i="35"/>
  <c r="AL51" i="3" s="1"/>
  <c r="B49" i="35"/>
  <c r="AL52" i="3" s="1"/>
  <c r="B50" i="35"/>
  <c r="AL53" i="3" s="1"/>
  <c r="B51" i="35"/>
  <c r="AL54" i="3" s="1"/>
  <c r="B52" i="35"/>
  <c r="AL55" i="3" s="1"/>
  <c r="B53" i="35"/>
  <c r="AL56" i="3" s="1"/>
  <c r="B54" i="35"/>
  <c r="AL57" i="3" s="1"/>
  <c r="B55" i="35"/>
  <c r="AL58" i="3" s="1"/>
  <c r="B56" i="35"/>
  <c r="AL59" i="3" s="1"/>
  <c r="B57" i="35"/>
  <c r="AL60" i="3" s="1"/>
  <c r="B58" i="35"/>
  <c r="AL61" i="3" s="1"/>
  <c r="B59" i="35"/>
  <c r="AL62" i="3" s="1"/>
  <c r="B60" i="35"/>
  <c r="AL63" i="3" s="1"/>
  <c r="B61" i="35"/>
  <c r="AL64" i="3" s="1"/>
  <c r="B62" i="35"/>
  <c r="AL65" i="3" s="1"/>
  <c r="B63" i="35"/>
  <c r="AL66" i="3" s="1"/>
  <c r="B64" i="35"/>
  <c r="AL67" i="3" s="1"/>
  <c r="B65" i="35"/>
  <c r="AL68" i="3" s="1"/>
  <c r="B66" i="35"/>
  <c r="AL69" i="3" s="1"/>
  <c r="B67" i="35"/>
  <c r="AL70" i="3" s="1"/>
  <c r="B68" i="35"/>
  <c r="AL71" i="3" s="1"/>
  <c r="B69" i="35"/>
  <c r="AL72" i="3" s="1"/>
  <c r="B70" i="35"/>
  <c r="AL73" i="3" s="1"/>
  <c r="B71" i="35"/>
  <c r="AL74" i="3" s="1"/>
  <c r="B72" i="35"/>
  <c r="AL75" i="3" s="1"/>
  <c r="B73" i="35"/>
  <c r="AL76" i="3" s="1"/>
  <c r="B74" i="35"/>
  <c r="AL77" i="3" s="1"/>
  <c r="B121" i="35"/>
  <c r="AL147" i="3" s="1"/>
  <c r="B75" i="35"/>
  <c r="AL78" i="3" s="1"/>
  <c r="B76" i="35"/>
  <c r="AL79" i="3" s="1"/>
  <c r="B77" i="35"/>
  <c r="AL80" i="3" s="1"/>
  <c r="B78" i="35"/>
  <c r="AL81" i="3" s="1"/>
  <c r="B79" i="35"/>
  <c r="AL82" i="3" s="1"/>
  <c r="B80" i="35"/>
  <c r="AL83" i="3" s="1"/>
  <c r="B81" i="35"/>
  <c r="AL84" i="3" s="1"/>
  <c r="B82" i="35"/>
  <c r="AL85" i="3" s="1"/>
  <c r="B83" i="35"/>
  <c r="AL86" i="3" s="1"/>
  <c r="B84" i="35"/>
  <c r="AL87" i="3" s="1"/>
  <c r="B85" i="35"/>
  <c r="AL88" i="3" s="1"/>
  <c r="B86" i="35"/>
  <c r="AL89" i="3" s="1"/>
  <c r="B87" i="35"/>
  <c r="AL90" i="3" s="1"/>
  <c r="B88" i="35"/>
  <c r="AL91" i="3" s="1"/>
  <c r="B89" i="35"/>
  <c r="AL92" i="3" s="1"/>
  <c r="B90" i="35"/>
  <c r="AL93" i="3" s="1"/>
  <c r="B91" i="35"/>
  <c r="AL94" i="3" s="1"/>
  <c r="B92" i="35"/>
  <c r="AL95" i="3" s="1"/>
  <c r="B93" i="35"/>
  <c r="AL96" i="3" s="1"/>
  <c r="B94" i="35"/>
  <c r="AL97" i="3" s="1"/>
  <c r="B95" i="35"/>
  <c r="AL98" i="3" s="1"/>
  <c r="B96" i="35"/>
  <c r="AL99" i="3" s="1"/>
  <c r="B97" i="35"/>
  <c r="AL100" i="3" s="1"/>
  <c r="B98" i="35"/>
  <c r="AL101" i="3" s="1"/>
  <c r="B99" i="35"/>
  <c r="AL102" i="3" s="1"/>
  <c r="B100" i="35"/>
  <c r="AL103" i="3" s="1"/>
  <c r="B101" i="35"/>
  <c r="AL104" i="3" s="1"/>
  <c r="B102" i="35"/>
  <c r="AL105" i="3" s="1"/>
  <c r="B103" i="35"/>
  <c r="AL106" i="3" s="1"/>
  <c r="B104" i="35"/>
  <c r="AL107" i="3" s="1"/>
  <c r="B105" i="35"/>
  <c r="AL108" i="3" s="1"/>
  <c r="B106" i="35"/>
  <c r="AL109" i="3" s="1"/>
  <c r="B107" i="35"/>
  <c r="AL110" i="3" s="1"/>
  <c r="B108" i="35"/>
  <c r="AL111" i="3" s="1"/>
  <c r="B109" i="35"/>
  <c r="AL112" i="3" s="1"/>
  <c r="B110" i="35"/>
  <c r="AL113" i="3" s="1"/>
  <c r="B111" i="35"/>
  <c r="AL114" i="3" s="1"/>
  <c r="B112" i="35"/>
  <c r="AL115" i="3" s="1"/>
  <c r="B113" i="35"/>
  <c r="AL116" i="3" s="1"/>
  <c r="B114" i="35"/>
  <c r="AL117" i="3" s="1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B76" i="34"/>
  <c r="B120" i="34"/>
  <c r="B77" i="34"/>
  <c r="B78" i="34"/>
  <c r="B79" i="34"/>
  <c r="B80" i="34"/>
  <c r="B81" i="34"/>
  <c r="B82" i="34"/>
  <c r="B83" i="34"/>
  <c r="B84" i="34"/>
  <c r="B85" i="34"/>
  <c r="B86" i="34"/>
  <c r="B87" i="34"/>
  <c r="B88" i="34"/>
  <c r="B89" i="34"/>
  <c r="B90" i="34"/>
  <c r="B91" i="34"/>
  <c r="B92" i="34"/>
  <c r="B93" i="34"/>
  <c r="B94" i="34"/>
  <c r="B95" i="34"/>
  <c r="B96" i="34"/>
  <c r="B97" i="34"/>
  <c r="B98" i="34"/>
  <c r="B99" i="34"/>
  <c r="B100" i="34"/>
  <c r="B101" i="34"/>
  <c r="B102" i="34"/>
  <c r="B103" i="34"/>
  <c r="B104" i="34"/>
  <c r="B105" i="34"/>
  <c r="B106" i="34"/>
  <c r="B107" i="34"/>
  <c r="B108" i="34"/>
  <c r="B109" i="34"/>
  <c r="B110" i="34"/>
  <c r="B111" i="34"/>
  <c r="B112" i="34"/>
  <c r="B113" i="34"/>
  <c r="B114" i="34"/>
  <c r="B115" i="34"/>
  <c r="Q40" i="34"/>
  <c r="H41" i="33" s="1"/>
  <c r="W41" i="33" s="1"/>
  <c r="Q41" i="34"/>
  <c r="H42" i="33" s="1"/>
  <c r="W42" i="33" s="1"/>
  <c r="Q42" i="34"/>
  <c r="H43" i="33" s="1"/>
  <c r="W43" i="33" s="1"/>
  <c r="Q43" i="34"/>
  <c r="H44" i="33" s="1"/>
  <c r="W44" i="33" s="1"/>
  <c r="Q44" i="34"/>
  <c r="H45" i="33" s="1"/>
  <c r="W45" i="33" s="1"/>
  <c r="Q45" i="34"/>
  <c r="H46" i="33" s="1"/>
  <c r="W46" i="33" s="1"/>
  <c r="Q46" i="34"/>
  <c r="H47" i="33" s="1"/>
  <c r="W47" i="33" s="1"/>
  <c r="Q47" i="34"/>
  <c r="H48" i="33" s="1"/>
  <c r="W48" i="33" s="1"/>
  <c r="Q48" i="34"/>
  <c r="H49" i="33" s="1"/>
  <c r="W49" i="33" s="1"/>
  <c r="Q49" i="34"/>
  <c r="H50" i="33" s="1"/>
  <c r="W50" i="33" s="1"/>
  <c r="Q50" i="34"/>
  <c r="H51" i="33" s="1"/>
  <c r="W51" i="33" s="1"/>
  <c r="Q51" i="34"/>
  <c r="H52" i="33" s="1"/>
  <c r="W52" i="33" s="1"/>
  <c r="Q52" i="34"/>
  <c r="H53" i="33" s="1"/>
  <c r="W53" i="33" s="1"/>
  <c r="Q53" i="34"/>
  <c r="H54" i="33" s="1"/>
  <c r="W54" i="33" s="1"/>
  <c r="Q54" i="34"/>
  <c r="H55" i="33" s="1"/>
  <c r="W55" i="33" s="1"/>
  <c r="Q55" i="34"/>
  <c r="H56" i="33" s="1"/>
  <c r="W56" i="33" s="1"/>
  <c r="Q56" i="34"/>
  <c r="H57" i="33" s="1"/>
  <c r="W57" i="33" s="1"/>
  <c r="Q57" i="34"/>
  <c r="H58" i="33" s="1"/>
  <c r="W58" i="33" s="1"/>
  <c r="Q58" i="34"/>
  <c r="H59" i="33" s="1"/>
  <c r="W59" i="33" s="1"/>
  <c r="Q59" i="34"/>
  <c r="H60" i="33" s="1"/>
  <c r="W60" i="33" s="1"/>
  <c r="Q60" i="34"/>
  <c r="H61" i="33" s="1"/>
  <c r="W61" i="33" s="1"/>
  <c r="Q61" i="34"/>
  <c r="H62" i="33" s="1"/>
  <c r="W62" i="33" s="1"/>
  <c r="Q62" i="34"/>
  <c r="H63" i="33" s="1"/>
  <c r="W63" i="33" s="1"/>
  <c r="Q63" i="34"/>
  <c r="H64" i="33" s="1"/>
  <c r="W64" i="33" s="1"/>
  <c r="Q64" i="34"/>
  <c r="H65" i="33" s="1"/>
  <c r="W65" i="33" s="1"/>
  <c r="Q65" i="34"/>
  <c r="H66" i="33" s="1"/>
  <c r="W66" i="33" s="1"/>
  <c r="Q66" i="34"/>
  <c r="H67" i="33" s="1"/>
  <c r="W67" i="33" s="1"/>
  <c r="Q67" i="34"/>
  <c r="H68" i="33" s="1"/>
  <c r="W68" i="33" s="1"/>
  <c r="Q68" i="34"/>
  <c r="H69" i="33" s="1"/>
  <c r="W69" i="33" s="1"/>
  <c r="Q69" i="34"/>
  <c r="H70" i="33" s="1"/>
  <c r="W70" i="33" s="1"/>
  <c r="Q70" i="34"/>
  <c r="H71" i="33" s="1"/>
  <c r="W71" i="33" s="1"/>
  <c r="Q71" i="34"/>
  <c r="H72" i="33" s="1"/>
  <c r="W72" i="33" s="1"/>
  <c r="Q72" i="34"/>
  <c r="H73" i="33" s="1"/>
  <c r="W73" i="33" s="1"/>
  <c r="Q73" i="34"/>
  <c r="H74" i="33" s="1"/>
  <c r="W74" i="33" s="1"/>
  <c r="Q74" i="34"/>
  <c r="H75" i="33" s="1"/>
  <c r="W75" i="33" s="1"/>
  <c r="Q75" i="34"/>
  <c r="H76" i="33" s="1"/>
  <c r="W76" i="33" s="1"/>
  <c r="Q76" i="34"/>
  <c r="H77" i="33" s="1"/>
  <c r="W77" i="33" s="1"/>
  <c r="Q120" i="34"/>
  <c r="H141" i="33" s="1"/>
  <c r="W141" i="33" s="1"/>
  <c r="Q77" i="34"/>
  <c r="H78" i="33" s="1"/>
  <c r="W78" i="33" s="1"/>
  <c r="Q78" i="34"/>
  <c r="H79" i="33" s="1"/>
  <c r="W79" i="33" s="1"/>
  <c r="Q79" i="34"/>
  <c r="H80" i="33" s="1"/>
  <c r="W80" i="33" s="1"/>
  <c r="Q80" i="34"/>
  <c r="H81" i="33" s="1"/>
  <c r="W81" i="33" s="1"/>
  <c r="Q81" i="34"/>
  <c r="H82" i="33" s="1"/>
  <c r="W82" i="33" s="1"/>
  <c r="Q82" i="34"/>
  <c r="H83" i="33" s="1"/>
  <c r="W83" i="33" s="1"/>
  <c r="Q83" i="34"/>
  <c r="H84" i="33" s="1"/>
  <c r="W84" i="33" s="1"/>
  <c r="Q84" i="34"/>
  <c r="H85" i="33" s="1"/>
  <c r="W85" i="33" s="1"/>
  <c r="Q85" i="34"/>
  <c r="H86" i="33" s="1"/>
  <c r="W86" i="33" s="1"/>
  <c r="Q86" i="34"/>
  <c r="H87" i="33" s="1"/>
  <c r="W87" i="33" s="1"/>
  <c r="Q87" i="34"/>
  <c r="H88" i="33" s="1"/>
  <c r="W88" i="33" s="1"/>
  <c r="Q88" i="34"/>
  <c r="H89" i="33" s="1"/>
  <c r="W89" i="33" s="1"/>
  <c r="Q89" i="34"/>
  <c r="H90" i="33" s="1"/>
  <c r="W90" i="33" s="1"/>
  <c r="Q90" i="34"/>
  <c r="H91" i="33" s="1"/>
  <c r="W91" i="33" s="1"/>
  <c r="Q91" i="34"/>
  <c r="H92" i="33" s="1"/>
  <c r="W92" i="33" s="1"/>
  <c r="Q92" i="34"/>
  <c r="H93" i="33" s="1"/>
  <c r="W93" i="33" s="1"/>
  <c r="Q93" i="34"/>
  <c r="H94" i="33" s="1"/>
  <c r="W94" i="33" s="1"/>
  <c r="Q94" i="34"/>
  <c r="H95" i="33" s="1"/>
  <c r="W95" i="33" s="1"/>
  <c r="Q95" i="34"/>
  <c r="H96" i="33" s="1"/>
  <c r="W96" i="33" s="1"/>
  <c r="Q96" i="34"/>
  <c r="H97" i="33" s="1"/>
  <c r="W97" i="33" s="1"/>
  <c r="Q97" i="34"/>
  <c r="H98" i="33" s="1"/>
  <c r="W98" i="33" s="1"/>
  <c r="Q98" i="34"/>
  <c r="H99" i="33" s="1"/>
  <c r="W99" i="33" s="1"/>
  <c r="Q99" i="34"/>
  <c r="H100" i="33" s="1"/>
  <c r="W100" i="33" s="1"/>
  <c r="Q100" i="34"/>
  <c r="H101" i="33" s="1"/>
  <c r="W101" i="33" s="1"/>
  <c r="Q101" i="34"/>
  <c r="H102" i="33" s="1"/>
  <c r="W102" i="33" s="1"/>
  <c r="Q102" i="34"/>
  <c r="H103" i="33" s="1"/>
  <c r="W103" i="33" s="1"/>
  <c r="Q103" i="34"/>
  <c r="H104" i="33" s="1"/>
  <c r="W104" i="33" s="1"/>
  <c r="Q104" i="34"/>
  <c r="H105" i="33" s="1"/>
  <c r="W105" i="33" s="1"/>
  <c r="Q105" i="34"/>
  <c r="H106" i="33" s="1"/>
  <c r="W106" i="33" s="1"/>
  <c r="Q106" i="34"/>
  <c r="H107" i="33" s="1"/>
  <c r="W107" i="33" s="1"/>
  <c r="Q107" i="34"/>
  <c r="H108" i="33" s="1"/>
  <c r="W108" i="33" s="1"/>
  <c r="Q108" i="34"/>
  <c r="H109" i="33" s="1"/>
  <c r="W109" i="33" s="1"/>
  <c r="Q109" i="34"/>
  <c r="H110" i="33" s="1"/>
  <c r="W110" i="33" s="1"/>
  <c r="Q110" i="34"/>
  <c r="H111" i="33" s="1"/>
  <c r="W111" i="33" s="1"/>
  <c r="Q111" i="34"/>
  <c r="H112" i="33" s="1"/>
  <c r="W112" i="33" s="1"/>
  <c r="Q112" i="34"/>
  <c r="H113" i="33" s="1"/>
  <c r="W113" i="33" s="1"/>
  <c r="Q113" i="34"/>
  <c r="H114" i="33" s="1"/>
  <c r="W114" i="33" s="1"/>
  <c r="Q114" i="34"/>
  <c r="H115" i="33" s="1"/>
  <c r="W115" i="33" s="1"/>
  <c r="Q115" i="34"/>
  <c r="H116" i="33" s="1"/>
  <c r="W116" i="33" s="1"/>
  <c r="K118" i="33"/>
  <c r="C41" i="33"/>
  <c r="D41" i="33"/>
  <c r="E41" i="33"/>
  <c r="S41" i="33" s="1"/>
  <c r="J41" i="33"/>
  <c r="S41" i="3" s="1"/>
  <c r="L41" i="33"/>
  <c r="T41" i="3" s="1"/>
  <c r="C42" i="33"/>
  <c r="D42" i="33"/>
  <c r="E42" i="33"/>
  <c r="S42" i="33" s="1"/>
  <c r="J42" i="33"/>
  <c r="S42" i="3" s="1"/>
  <c r="L42" i="33"/>
  <c r="T42" i="3" s="1"/>
  <c r="C43" i="33"/>
  <c r="D43" i="33"/>
  <c r="E43" i="33"/>
  <c r="S43" i="33" s="1"/>
  <c r="J43" i="33"/>
  <c r="S43" i="3" s="1"/>
  <c r="L43" i="33"/>
  <c r="T43" i="3" s="1"/>
  <c r="C44" i="33"/>
  <c r="D44" i="33"/>
  <c r="E44" i="33"/>
  <c r="S44" i="33" s="1"/>
  <c r="J44" i="33"/>
  <c r="S44" i="3" s="1"/>
  <c r="L44" i="33"/>
  <c r="T44" i="3" s="1"/>
  <c r="C45" i="33"/>
  <c r="D45" i="33"/>
  <c r="E45" i="33"/>
  <c r="S45" i="33" s="1"/>
  <c r="J45" i="33"/>
  <c r="S45" i="3" s="1"/>
  <c r="L45" i="33"/>
  <c r="T45" i="3" s="1"/>
  <c r="C46" i="33"/>
  <c r="D46" i="33"/>
  <c r="E46" i="33"/>
  <c r="S46" i="33" s="1"/>
  <c r="J46" i="33"/>
  <c r="S46" i="3" s="1"/>
  <c r="L46" i="33"/>
  <c r="T46" i="3" s="1"/>
  <c r="C47" i="33"/>
  <c r="D47" i="33"/>
  <c r="E47" i="33"/>
  <c r="S47" i="33" s="1"/>
  <c r="J47" i="33"/>
  <c r="S47" i="3" s="1"/>
  <c r="L47" i="33"/>
  <c r="T47" i="3" s="1"/>
  <c r="C48" i="33"/>
  <c r="D48" i="33"/>
  <c r="E48" i="33"/>
  <c r="S48" i="33" s="1"/>
  <c r="J48" i="33"/>
  <c r="S48" i="3" s="1"/>
  <c r="L48" i="33"/>
  <c r="T48" i="3" s="1"/>
  <c r="C49" i="33"/>
  <c r="D49" i="33"/>
  <c r="E49" i="33"/>
  <c r="S49" i="33" s="1"/>
  <c r="F49" i="33"/>
  <c r="J49" i="33"/>
  <c r="S49" i="3" s="1"/>
  <c r="L49" i="33"/>
  <c r="T49" i="3" s="1"/>
  <c r="C50" i="33"/>
  <c r="D50" i="33"/>
  <c r="E50" i="33"/>
  <c r="S50" i="33" s="1"/>
  <c r="J50" i="33"/>
  <c r="S50" i="3" s="1"/>
  <c r="L50" i="33"/>
  <c r="T50" i="3" s="1"/>
  <c r="C51" i="33"/>
  <c r="D51" i="33"/>
  <c r="E51" i="33"/>
  <c r="S51" i="33" s="1"/>
  <c r="J51" i="33"/>
  <c r="S51" i="3" s="1"/>
  <c r="L51" i="33"/>
  <c r="T51" i="3" s="1"/>
  <c r="C52" i="33"/>
  <c r="D52" i="33"/>
  <c r="E52" i="33"/>
  <c r="S52" i="33" s="1"/>
  <c r="J52" i="33"/>
  <c r="S52" i="3" s="1"/>
  <c r="L52" i="33"/>
  <c r="T52" i="3" s="1"/>
  <c r="C53" i="33"/>
  <c r="D53" i="33"/>
  <c r="E53" i="33"/>
  <c r="S53" i="33" s="1"/>
  <c r="J53" i="33"/>
  <c r="S53" i="3" s="1"/>
  <c r="L53" i="33"/>
  <c r="T53" i="3" s="1"/>
  <c r="C54" i="33"/>
  <c r="D54" i="33"/>
  <c r="E54" i="33"/>
  <c r="S54" i="33" s="1"/>
  <c r="J54" i="33"/>
  <c r="S54" i="3" s="1"/>
  <c r="L54" i="33"/>
  <c r="T54" i="3" s="1"/>
  <c r="C55" i="33"/>
  <c r="D55" i="33"/>
  <c r="E55" i="33"/>
  <c r="S55" i="33" s="1"/>
  <c r="J55" i="33"/>
  <c r="S55" i="3" s="1"/>
  <c r="L55" i="33"/>
  <c r="T55" i="3" s="1"/>
  <c r="C56" i="33"/>
  <c r="D56" i="33"/>
  <c r="E56" i="33"/>
  <c r="S56" i="33" s="1"/>
  <c r="J56" i="33"/>
  <c r="S56" i="3" s="1"/>
  <c r="L56" i="33"/>
  <c r="T56" i="3" s="1"/>
  <c r="C57" i="33"/>
  <c r="D57" i="33"/>
  <c r="E57" i="33"/>
  <c r="S57" i="33" s="1"/>
  <c r="J57" i="33"/>
  <c r="S57" i="3" s="1"/>
  <c r="L57" i="33"/>
  <c r="T57" i="3" s="1"/>
  <c r="C58" i="33"/>
  <c r="D58" i="33"/>
  <c r="E58" i="33"/>
  <c r="S58" i="33" s="1"/>
  <c r="J58" i="33"/>
  <c r="S58" i="3" s="1"/>
  <c r="L58" i="33"/>
  <c r="T58" i="3" s="1"/>
  <c r="C59" i="33"/>
  <c r="D59" i="33"/>
  <c r="E59" i="33"/>
  <c r="S59" i="33" s="1"/>
  <c r="J59" i="33"/>
  <c r="S59" i="3" s="1"/>
  <c r="L59" i="33"/>
  <c r="T59" i="3" s="1"/>
  <c r="C60" i="33"/>
  <c r="D60" i="33"/>
  <c r="E60" i="33"/>
  <c r="S60" i="33" s="1"/>
  <c r="J60" i="33"/>
  <c r="S60" i="3" s="1"/>
  <c r="L60" i="33"/>
  <c r="T60" i="3" s="1"/>
  <c r="C61" i="33"/>
  <c r="D61" i="33"/>
  <c r="E61" i="33"/>
  <c r="S61" i="33" s="1"/>
  <c r="J61" i="33"/>
  <c r="S61" i="3" s="1"/>
  <c r="L61" i="33"/>
  <c r="T61" i="3" s="1"/>
  <c r="C62" i="33"/>
  <c r="D62" i="33"/>
  <c r="E62" i="33"/>
  <c r="S62" i="33" s="1"/>
  <c r="J62" i="33"/>
  <c r="S62" i="3" s="1"/>
  <c r="L62" i="33"/>
  <c r="T62" i="3" s="1"/>
  <c r="C63" i="33"/>
  <c r="D63" i="33"/>
  <c r="E63" i="33"/>
  <c r="S63" i="33" s="1"/>
  <c r="J63" i="33"/>
  <c r="S63" i="3" s="1"/>
  <c r="L63" i="33"/>
  <c r="T63" i="3" s="1"/>
  <c r="C64" i="33"/>
  <c r="D64" i="33"/>
  <c r="E64" i="33"/>
  <c r="S64" i="33" s="1"/>
  <c r="J64" i="33"/>
  <c r="L64" i="33"/>
  <c r="T64" i="3" s="1"/>
  <c r="C65" i="33"/>
  <c r="D65" i="33"/>
  <c r="E65" i="33"/>
  <c r="S65" i="33" s="1"/>
  <c r="J65" i="33"/>
  <c r="S65" i="3" s="1"/>
  <c r="L65" i="33"/>
  <c r="T65" i="3" s="1"/>
  <c r="C66" i="33"/>
  <c r="D66" i="33"/>
  <c r="E66" i="33"/>
  <c r="S66" i="33" s="1"/>
  <c r="J66" i="33"/>
  <c r="S66" i="3" s="1"/>
  <c r="L66" i="33"/>
  <c r="T66" i="3" s="1"/>
  <c r="C67" i="33"/>
  <c r="D67" i="33"/>
  <c r="E67" i="33"/>
  <c r="S67" i="33" s="1"/>
  <c r="J67" i="33"/>
  <c r="S67" i="3" s="1"/>
  <c r="L67" i="33"/>
  <c r="T67" i="3" s="1"/>
  <c r="C68" i="33"/>
  <c r="D68" i="33"/>
  <c r="E68" i="33"/>
  <c r="S68" i="33" s="1"/>
  <c r="J68" i="33"/>
  <c r="S68" i="3" s="1"/>
  <c r="L68" i="33"/>
  <c r="T68" i="3" s="1"/>
  <c r="C69" i="33"/>
  <c r="D69" i="33"/>
  <c r="E69" i="33"/>
  <c r="S69" i="33" s="1"/>
  <c r="J69" i="33"/>
  <c r="S69" i="3" s="1"/>
  <c r="L69" i="33"/>
  <c r="T69" i="3" s="1"/>
  <c r="C70" i="33"/>
  <c r="D70" i="33"/>
  <c r="E70" i="33"/>
  <c r="S70" i="33" s="1"/>
  <c r="J70" i="33"/>
  <c r="S70" i="3" s="1"/>
  <c r="L70" i="33"/>
  <c r="T70" i="3" s="1"/>
  <c r="C71" i="33"/>
  <c r="D71" i="33"/>
  <c r="E71" i="33"/>
  <c r="S71" i="33" s="1"/>
  <c r="J71" i="33"/>
  <c r="S71" i="3" s="1"/>
  <c r="L71" i="33"/>
  <c r="T71" i="3" s="1"/>
  <c r="C72" i="33"/>
  <c r="D72" i="33"/>
  <c r="E72" i="33"/>
  <c r="S72" i="33" s="1"/>
  <c r="J72" i="33"/>
  <c r="S72" i="3" s="1"/>
  <c r="L72" i="33"/>
  <c r="T72" i="3" s="1"/>
  <c r="C73" i="33"/>
  <c r="D73" i="33"/>
  <c r="E73" i="33"/>
  <c r="S73" i="33" s="1"/>
  <c r="J73" i="33"/>
  <c r="S73" i="3" s="1"/>
  <c r="L73" i="33"/>
  <c r="T73" i="3" s="1"/>
  <c r="C74" i="33"/>
  <c r="D74" i="33"/>
  <c r="E74" i="33"/>
  <c r="S74" i="33" s="1"/>
  <c r="J74" i="33"/>
  <c r="S74" i="3" s="1"/>
  <c r="L74" i="33"/>
  <c r="T74" i="3" s="1"/>
  <c r="C75" i="33"/>
  <c r="D75" i="33"/>
  <c r="E75" i="33"/>
  <c r="S75" i="33" s="1"/>
  <c r="J75" i="33"/>
  <c r="S75" i="3" s="1"/>
  <c r="L75" i="33"/>
  <c r="T75" i="3" s="1"/>
  <c r="C76" i="33"/>
  <c r="D76" i="33"/>
  <c r="E76" i="33"/>
  <c r="S76" i="33" s="1"/>
  <c r="J76" i="33"/>
  <c r="S76" i="3" s="1"/>
  <c r="L76" i="33"/>
  <c r="T76" i="3" s="1"/>
  <c r="C77" i="33"/>
  <c r="D77" i="33"/>
  <c r="E77" i="33"/>
  <c r="S77" i="33" s="1"/>
  <c r="J77" i="33"/>
  <c r="S77" i="3" s="1"/>
  <c r="L77" i="33"/>
  <c r="T77" i="3" s="1"/>
  <c r="C141" i="33"/>
  <c r="D141" i="33"/>
  <c r="E141" i="33"/>
  <c r="S141" i="33" s="1"/>
  <c r="J141" i="33"/>
  <c r="S147" i="3" s="1"/>
  <c r="L141" i="33"/>
  <c r="T147" i="3" s="1"/>
  <c r="C78" i="33"/>
  <c r="D78" i="33"/>
  <c r="E78" i="33"/>
  <c r="S78" i="33" s="1"/>
  <c r="G78" i="33"/>
  <c r="V78" i="3" s="1"/>
  <c r="J78" i="33"/>
  <c r="S78" i="3" s="1"/>
  <c r="L78" i="33"/>
  <c r="T78" i="3" s="1"/>
  <c r="C79" i="33"/>
  <c r="D79" i="33"/>
  <c r="E79" i="33"/>
  <c r="S79" i="33" s="1"/>
  <c r="J79" i="33"/>
  <c r="S79" i="3" s="1"/>
  <c r="L79" i="33"/>
  <c r="T79" i="3" s="1"/>
  <c r="C80" i="33"/>
  <c r="D80" i="33"/>
  <c r="E80" i="33"/>
  <c r="S80" i="33" s="1"/>
  <c r="J80" i="33"/>
  <c r="S80" i="3" s="1"/>
  <c r="L80" i="33"/>
  <c r="T80" i="3" s="1"/>
  <c r="C81" i="33"/>
  <c r="D81" i="33"/>
  <c r="E81" i="33"/>
  <c r="S81" i="33" s="1"/>
  <c r="J81" i="33"/>
  <c r="S81" i="3" s="1"/>
  <c r="L81" i="33"/>
  <c r="T81" i="3" s="1"/>
  <c r="C82" i="33"/>
  <c r="D82" i="33"/>
  <c r="E82" i="33"/>
  <c r="S82" i="33" s="1"/>
  <c r="J82" i="33"/>
  <c r="S82" i="3" s="1"/>
  <c r="L82" i="33"/>
  <c r="T82" i="3" s="1"/>
  <c r="C83" i="33"/>
  <c r="D83" i="33"/>
  <c r="E83" i="33"/>
  <c r="S83" i="33" s="1"/>
  <c r="J83" i="33"/>
  <c r="S83" i="3" s="1"/>
  <c r="L83" i="33"/>
  <c r="T83" i="3" s="1"/>
  <c r="C84" i="33"/>
  <c r="D84" i="33"/>
  <c r="E84" i="33"/>
  <c r="F84" i="33"/>
  <c r="J84" i="33"/>
  <c r="S84" i="3" s="1"/>
  <c r="L84" i="33"/>
  <c r="T84" i="3" s="1"/>
  <c r="S84" i="33"/>
  <c r="C85" i="33"/>
  <c r="D85" i="33"/>
  <c r="E85" i="33"/>
  <c r="S85" i="33" s="1"/>
  <c r="J85" i="33"/>
  <c r="S85" i="3" s="1"/>
  <c r="L85" i="33"/>
  <c r="T85" i="3" s="1"/>
  <c r="C86" i="33"/>
  <c r="D86" i="33"/>
  <c r="E86" i="33"/>
  <c r="S86" i="33" s="1"/>
  <c r="G86" i="33"/>
  <c r="V86" i="3" s="1"/>
  <c r="J86" i="33"/>
  <c r="S86" i="3" s="1"/>
  <c r="L86" i="33"/>
  <c r="T86" i="3" s="1"/>
  <c r="C87" i="33"/>
  <c r="D87" i="33"/>
  <c r="E87" i="33"/>
  <c r="S87" i="33" s="1"/>
  <c r="J87" i="33"/>
  <c r="S87" i="3" s="1"/>
  <c r="L87" i="33"/>
  <c r="T87" i="3" s="1"/>
  <c r="C88" i="33"/>
  <c r="D88" i="33"/>
  <c r="E88" i="33"/>
  <c r="S88" i="33" s="1"/>
  <c r="J88" i="33"/>
  <c r="S88" i="3" s="1"/>
  <c r="L88" i="33"/>
  <c r="T88" i="3" s="1"/>
  <c r="C89" i="33"/>
  <c r="D89" i="33"/>
  <c r="E89" i="33"/>
  <c r="S89" i="33" s="1"/>
  <c r="J89" i="33"/>
  <c r="S89" i="3" s="1"/>
  <c r="L89" i="33"/>
  <c r="T89" i="3" s="1"/>
  <c r="C90" i="33"/>
  <c r="D90" i="33"/>
  <c r="E90" i="33"/>
  <c r="S90" i="33" s="1"/>
  <c r="J90" i="33"/>
  <c r="S90" i="3" s="1"/>
  <c r="L90" i="33"/>
  <c r="T90" i="3" s="1"/>
  <c r="C91" i="33"/>
  <c r="D91" i="33"/>
  <c r="E91" i="33"/>
  <c r="S91" i="33" s="1"/>
  <c r="J91" i="33"/>
  <c r="S91" i="3" s="1"/>
  <c r="L91" i="33"/>
  <c r="T91" i="3" s="1"/>
  <c r="C92" i="33"/>
  <c r="D92" i="33"/>
  <c r="E92" i="33"/>
  <c r="S92" i="33" s="1"/>
  <c r="J92" i="33"/>
  <c r="S92" i="3" s="1"/>
  <c r="L92" i="33"/>
  <c r="T92" i="3" s="1"/>
  <c r="C93" i="33"/>
  <c r="D93" i="33"/>
  <c r="E93" i="33"/>
  <c r="S93" i="33" s="1"/>
  <c r="J93" i="33"/>
  <c r="S93" i="3" s="1"/>
  <c r="L93" i="33"/>
  <c r="T93" i="3" s="1"/>
  <c r="C94" i="33"/>
  <c r="D94" i="33"/>
  <c r="E94" i="33"/>
  <c r="S94" i="33" s="1"/>
  <c r="J94" i="33"/>
  <c r="S94" i="3" s="1"/>
  <c r="L94" i="33"/>
  <c r="T94" i="3" s="1"/>
  <c r="C95" i="33"/>
  <c r="D95" i="33"/>
  <c r="E95" i="33"/>
  <c r="S95" i="33" s="1"/>
  <c r="J95" i="33"/>
  <c r="S95" i="3" s="1"/>
  <c r="AA95" i="3" s="1"/>
  <c r="L95" i="33"/>
  <c r="T95" i="3" s="1"/>
  <c r="C96" i="33"/>
  <c r="D96" i="33"/>
  <c r="E96" i="33"/>
  <c r="S96" i="33" s="1"/>
  <c r="J96" i="33"/>
  <c r="S96" i="3" s="1"/>
  <c r="L96" i="33"/>
  <c r="T96" i="3" s="1"/>
  <c r="C97" i="33"/>
  <c r="D97" i="33"/>
  <c r="E97" i="33"/>
  <c r="S97" i="33" s="1"/>
  <c r="J97" i="33"/>
  <c r="S97" i="3" s="1"/>
  <c r="L97" i="33"/>
  <c r="T97" i="3" s="1"/>
  <c r="C98" i="33"/>
  <c r="D98" i="33"/>
  <c r="E98" i="33"/>
  <c r="S98" i="33" s="1"/>
  <c r="J98" i="33"/>
  <c r="S98" i="3" s="1"/>
  <c r="L98" i="33"/>
  <c r="T98" i="3" s="1"/>
  <c r="C99" i="33"/>
  <c r="D99" i="33"/>
  <c r="E99" i="33"/>
  <c r="S99" i="33" s="1"/>
  <c r="J99" i="33"/>
  <c r="S99" i="3" s="1"/>
  <c r="L99" i="33"/>
  <c r="T99" i="3" s="1"/>
  <c r="C100" i="33"/>
  <c r="D100" i="33"/>
  <c r="E100" i="33"/>
  <c r="S100" i="33" s="1"/>
  <c r="J100" i="33"/>
  <c r="S100" i="3" s="1"/>
  <c r="L100" i="33"/>
  <c r="T100" i="3" s="1"/>
  <c r="C101" i="33"/>
  <c r="D101" i="33"/>
  <c r="E101" i="33"/>
  <c r="S101" i="33" s="1"/>
  <c r="J101" i="33"/>
  <c r="S101" i="3" s="1"/>
  <c r="L101" i="33"/>
  <c r="T101" i="3" s="1"/>
  <c r="C102" i="33"/>
  <c r="D102" i="33"/>
  <c r="E102" i="33"/>
  <c r="S102" i="33" s="1"/>
  <c r="J102" i="33"/>
  <c r="S102" i="3" s="1"/>
  <c r="L102" i="33"/>
  <c r="T102" i="3" s="1"/>
  <c r="C103" i="33"/>
  <c r="D103" i="33"/>
  <c r="E103" i="33"/>
  <c r="S103" i="33" s="1"/>
  <c r="G103" i="33"/>
  <c r="V103" i="3" s="1"/>
  <c r="J103" i="33"/>
  <c r="S103" i="3" s="1"/>
  <c r="L103" i="33"/>
  <c r="T103" i="3" s="1"/>
  <c r="C104" i="33"/>
  <c r="D104" i="33"/>
  <c r="E104" i="33"/>
  <c r="S104" i="33" s="1"/>
  <c r="J104" i="33"/>
  <c r="S104" i="3" s="1"/>
  <c r="L104" i="33"/>
  <c r="T104" i="3" s="1"/>
  <c r="C105" i="33"/>
  <c r="D105" i="33"/>
  <c r="E105" i="33"/>
  <c r="S105" i="33" s="1"/>
  <c r="J105" i="33"/>
  <c r="S105" i="3" s="1"/>
  <c r="L105" i="33"/>
  <c r="T105" i="3" s="1"/>
  <c r="C106" i="33"/>
  <c r="D106" i="33"/>
  <c r="E106" i="33"/>
  <c r="S106" i="33" s="1"/>
  <c r="J106" i="33"/>
  <c r="S106" i="3" s="1"/>
  <c r="L106" i="33"/>
  <c r="T106" i="3" s="1"/>
  <c r="C107" i="33"/>
  <c r="D107" i="33"/>
  <c r="E107" i="33"/>
  <c r="S107" i="33" s="1"/>
  <c r="J107" i="33"/>
  <c r="S107" i="3" s="1"/>
  <c r="L107" i="33"/>
  <c r="T107" i="3" s="1"/>
  <c r="C108" i="33"/>
  <c r="D108" i="33"/>
  <c r="E108" i="33"/>
  <c r="S108" i="33" s="1"/>
  <c r="J108" i="33"/>
  <c r="S108" i="3" s="1"/>
  <c r="L108" i="33"/>
  <c r="T108" i="3" s="1"/>
  <c r="C109" i="33"/>
  <c r="D109" i="33"/>
  <c r="E109" i="33"/>
  <c r="S109" i="33" s="1"/>
  <c r="F109" i="33"/>
  <c r="J109" i="33"/>
  <c r="S109" i="3" s="1"/>
  <c r="L109" i="33"/>
  <c r="T109" i="3" s="1"/>
  <c r="C110" i="33"/>
  <c r="D110" i="33"/>
  <c r="E110" i="33"/>
  <c r="S110" i="33" s="1"/>
  <c r="J110" i="33"/>
  <c r="S110" i="3" s="1"/>
  <c r="L110" i="33"/>
  <c r="T110" i="3" s="1"/>
  <c r="C111" i="33"/>
  <c r="D111" i="33"/>
  <c r="E111" i="33"/>
  <c r="S111" i="33" s="1"/>
  <c r="J111" i="33"/>
  <c r="S111" i="3" s="1"/>
  <c r="L111" i="33"/>
  <c r="T111" i="3" s="1"/>
  <c r="C112" i="33"/>
  <c r="D112" i="33"/>
  <c r="E112" i="33"/>
  <c r="S112" i="33" s="1"/>
  <c r="J112" i="33"/>
  <c r="S112" i="3" s="1"/>
  <c r="L112" i="33"/>
  <c r="T112" i="3" s="1"/>
  <c r="C113" i="33"/>
  <c r="D113" i="33"/>
  <c r="E113" i="33"/>
  <c r="S113" i="33" s="1"/>
  <c r="J113" i="33"/>
  <c r="S113" i="3" s="1"/>
  <c r="L113" i="33"/>
  <c r="T113" i="3" s="1"/>
  <c r="C114" i="33"/>
  <c r="D114" i="33"/>
  <c r="E114" i="33"/>
  <c r="S114" i="33" s="1"/>
  <c r="J114" i="33"/>
  <c r="S114" i="3" s="1"/>
  <c r="L114" i="33"/>
  <c r="T114" i="3" s="1"/>
  <c r="C115" i="33"/>
  <c r="D115" i="33"/>
  <c r="E115" i="33"/>
  <c r="S115" i="33" s="1"/>
  <c r="J115" i="33"/>
  <c r="S115" i="3" s="1"/>
  <c r="AA115" i="3" s="1"/>
  <c r="L115" i="33"/>
  <c r="C116" i="33"/>
  <c r="D116" i="33"/>
  <c r="E116" i="33"/>
  <c r="S116" i="33" s="1"/>
  <c r="F116" i="33"/>
  <c r="J116" i="33"/>
  <c r="S116" i="3" s="1"/>
  <c r="AA116" i="3" s="1"/>
  <c r="L116" i="33"/>
  <c r="C117" i="33"/>
  <c r="D117" i="33"/>
  <c r="E117" i="33"/>
  <c r="S117" i="33" s="1"/>
  <c r="J117" i="33"/>
  <c r="S117" i="3" s="1"/>
  <c r="AA117" i="3" s="1"/>
  <c r="L117" i="33"/>
  <c r="AA91" i="3" l="1"/>
  <c r="G99" i="33"/>
  <c r="V99" i="3" s="1"/>
  <c r="AA54" i="3"/>
  <c r="AA85" i="3"/>
  <c r="G71" i="33"/>
  <c r="V71" i="3" s="1"/>
  <c r="AA105" i="3"/>
  <c r="G98" i="33"/>
  <c r="V98" i="3" s="1"/>
  <c r="T114" i="35"/>
  <c r="T111" i="35"/>
  <c r="T103" i="35"/>
  <c r="T101" i="35"/>
  <c r="T109" i="35"/>
  <c r="AA147" i="3"/>
  <c r="AA114" i="3"/>
  <c r="AB114" i="3" s="1"/>
  <c r="AC114" i="3" s="1"/>
  <c r="AE114" i="3" s="1"/>
  <c r="AG114" i="3" s="1"/>
  <c r="AH114" i="3" s="1"/>
  <c r="AI114" i="3" s="1"/>
  <c r="AM114" i="3" s="1"/>
  <c r="AA83" i="3"/>
  <c r="AA72" i="3"/>
  <c r="AA69" i="3"/>
  <c r="AA49" i="3"/>
  <c r="AA101" i="3"/>
  <c r="AA65" i="3"/>
  <c r="AA61" i="3"/>
  <c r="AA57" i="3"/>
  <c r="AA46" i="3"/>
  <c r="AA103" i="3"/>
  <c r="AA99" i="3"/>
  <c r="AA94" i="3"/>
  <c r="AA90" i="3"/>
  <c r="AA51" i="3"/>
  <c r="G115" i="33"/>
  <c r="V115" i="3" s="1"/>
  <c r="AA112" i="3"/>
  <c r="AA109" i="3"/>
  <c r="AA88" i="3"/>
  <c r="AA80" i="3"/>
  <c r="AA75" i="3"/>
  <c r="AA71" i="3"/>
  <c r="AA68" i="3"/>
  <c r="AA64" i="3"/>
  <c r="AA60" i="3"/>
  <c r="AA56" i="3"/>
  <c r="AA47" i="3"/>
  <c r="AA43" i="3"/>
  <c r="B111" i="36"/>
  <c r="B230" i="36" s="1"/>
  <c r="B233" i="34"/>
  <c r="B103" i="36"/>
  <c r="B222" i="36" s="1"/>
  <c r="B225" i="34"/>
  <c r="B95" i="36"/>
  <c r="B214" i="36" s="1"/>
  <c r="B217" i="34"/>
  <c r="B87" i="36"/>
  <c r="B206" i="36" s="1"/>
  <c r="B209" i="34"/>
  <c r="B79" i="36"/>
  <c r="B198" i="36" s="1"/>
  <c r="B201" i="34"/>
  <c r="B76" i="36"/>
  <c r="B195" i="36" s="1"/>
  <c r="B198" i="34"/>
  <c r="B68" i="36"/>
  <c r="B187" i="36" s="1"/>
  <c r="B190" i="34"/>
  <c r="B60" i="36"/>
  <c r="B179" i="36" s="1"/>
  <c r="B182" i="34"/>
  <c r="B52" i="36"/>
  <c r="B171" i="36" s="1"/>
  <c r="B174" i="34"/>
  <c r="B44" i="36"/>
  <c r="B163" i="36" s="1"/>
  <c r="B166" i="34"/>
  <c r="AA93" i="3"/>
  <c r="AA89" i="3"/>
  <c r="AA87" i="3"/>
  <c r="AA77" i="3"/>
  <c r="AA59" i="3"/>
  <c r="AA53" i="3"/>
  <c r="AA42" i="3"/>
  <c r="B232" i="34"/>
  <c r="B110" i="36"/>
  <c r="B229" i="36" s="1"/>
  <c r="B224" i="34"/>
  <c r="B102" i="36"/>
  <c r="B221" i="36" s="1"/>
  <c r="B94" i="36"/>
  <c r="B213" i="36" s="1"/>
  <c r="B216" i="34"/>
  <c r="B90" i="36"/>
  <c r="B209" i="36" s="1"/>
  <c r="B212" i="34"/>
  <c r="B204" i="34"/>
  <c r="B82" i="36"/>
  <c r="B201" i="36" s="1"/>
  <c r="B197" i="34"/>
  <c r="B75" i="36"/>
  <c r="B194" i="36" s="1"/>
  <c r="B189" i="34"/>
  <c r="B67" i="36"/>
  <c r="B186" i="36" s="1"/>
  <c r="B181" i="34"/>
  <c r="B59" i="36"/>
  <c r="B178" i="36" s="1"/>
  <c r="B173" i="34"/>
  <c r="B51" i="36"/>
  <c r="B170" i="36" s="1"/>
  <c r="B165" i="34"/>
  <c r="B43" i="36"/>
  <c r="B162" i="36" s="1"/>
  <c r="X102" i="3"/>
  <c r="AA113" i="3"/>
  <c r="AA110" i="3"/>
  <c r="AA108" i="3"/>
  <c r="AA106" i="3"/>
  <c r="AA104" i="3"/>
  <c r="AA102" i="3"/>
  <c r="AA100" i="3"/>
  <c r="AA98" i="3"/>
  <c r="AA92" i="3"/>
  <c r="AA86" i="3"/>
  <c r="AA84" i="3"/>
  <c r="AA81" i="3"/>
  <c r="AA78" i="3"/>
  <c r="AA76" i="3"/>
  <c r="AA73" i="3"/>
  <c r="AA70" i="3"/>
  <c r="AA66" i="3"/>
  <c r="AA62" i="3"/>
  <c r="AA58" i="3"/>
  <c r="AA55" i="3"/>
  <c r="AA52" i="3"/>
  <c r="AA50" i="3"/>
  <c r="AA44" i="3"/>
  <c r="AA41" i="3"/>
  <c r="B113" i="36"/>
  <c r="B232" i="36" s="1"/>
  <c r="B235" i="34"/>
  <c r="B109" i="36"/>
  <c r="B228" i="36" s="1"/>
  <c r="B231" i="34"/>
  <c r="B105" i="36"/>
  <c r="B224" i="36" s="1"/>
  <c r="B227" i="34"/>
  <c r="B101" i="36"/>
  <c r="B220" i="36" s="1"/>
  <c r="B223" i="34"/>
  <c r="B219" i="34"/>
  <c r="B97" i="36"/>
  <c r="B216" i="36" s="1"/>
  <c r="B215" i="34"/>
  <c r="B93" i="36"/>
  <c r="B212" i="36" s="1"/>
  <c r="B89" i="36"/>
  <c r="B208" i="36" s="1"/>
  <c r="B211" i="34"/>
  <c r="B207" i="34"/>
  <c r="B85" i="36"/>
  <c r="B204" i="36" s="1"/>
  <c r="B81" i="36"/>
  <c r="B200" i="36" s="1"/>
  <c r="B203" i="34"/>
  <c r="B199" i="34"/>
  <c r="B77" i="36"/>
  <c r="B196" i="36" s="1"/>
  <c r="B74" i="36"/>
  <c r="B193" i="36" s="1"/>
  <c r="B196" i="34"/>
  <c r="B192" i="34"/>
  <c r="B70" i="36"/>
  <c r="B189" i="36" s="1"/>
  <c r="B188" i="34"/>
  <c r="B66" i="36"/>
  <c r="B185" i="36" s="1"/>
  <c r="B184" i="34"/>
  <c r="B62" i="36"/>
  <c r="B181" i="36" s="1"/>
  <c r="B58" i="36"/>
  <c r="B177" i="36" s="1"/>
  <c r="B180" i="34"/>
  <c r="B176" i="34"/>
  <c r="B54" i="36"/>
  <c r="B173" i="36" s="1"/>
  <c r="B50" i="36"/>
  <c r="B169" i="36" s="1"/>
  <c r="B172" i="34"/>
  <c r="B168" i="34"/>
  <c r="B46" i="36"/>
  <c r="B165" i="36" s="1"/>
  <c r="B42" i="36"/>
  <c r="B161" i="36" s="1"/>
  <c r="B164" i="34"/>
  <c r="B237" i="34"/>
  <c r="B115" i="36"/>
  <c r="B234" i="36" s="1"/>
  <c r="B107" i="36"/>
  <c r="B226" i="36" s="1"/>
  <c r="B229" i="34"/>
  <c r="B221" i="34"/>
  <c r="B99" i="36"/>
  <c r="B218" i="36" s="1"/>
  <c r="B91" i="36"/>
  <c r="B210" i="36" s="1"/>
  <c r="B213" i="34"/>
  <c r="B83" i="36"/>
  <c r="B202" i="36" s="1"/>
  <c r="B205" i="34"/>
  <c r="B72" i="36"/>
  <c r="B191" i="36" s="1"/>
  <c r="B194" i="34"/>
  <c r="B64" i="36"/>
  <c r="B183" i="36" s="1"/>
  <c r="B186" i="34"/>
  <c r="B56" i="36"/>
  <c r="B175" i="36" s="1"/>
  <c r="B178" i="34"/>
  <c r="B48" i="36"/>
  <c r="B167" i="36" s="1"/>
  <c r="B170" i="34"/>
  <c r="B40" i="36"/>
  <c r="B159" i="36" s="1"/>
  <c r="B162" i="34"/>
  <c r="AA111" i="3"/>
  <c r="AA107" i="3"/>
  <c r="G105" i="33"/>
  <c r="V105" i="3" s="1"/>
  <c r="AA82" i="3"/>
  <c r="AA79" i="3"/>
  <c r="AA74" i="3"/>
  <c r="AA67" i="3"/>
  <c r="AA63" i="3"/>
  <c r="AA48" i="3"/>
  <c r="AA45" i="3"/>
  <c r="B114" i="36"/>
  <c r="B233" i="36" s="1"/>
  <c r="B236" i="34"/>
  <c r="B106" i="36"/>
  <c r="B225" i="36" s="1"/>
  <c r="B228" i="34"/>
  <c r="B86" i="36"/>
  <c r="B205" i="36" s="1"/>
  <c r="B208" i="34"/>
  <c r="B200" i="34"/>
  <c r="B78" i="36"/>
  <c r="B197" i="36" s="1"/>
  <c r="B193" i="34"/>
  <c r="B71" i="36"/>
  <c r="B190" i="36" s="1"/>
  <c r="B185" i="34"/>
  <c r="B63" i="36"/>
  <c r="B182" i="36" s="1"/>
  <c r="B177" i="34"/>
  <c r="B55" i="36"/>
  <c r="B174" i="36" s="1"/>
  <c r="B169" i="34"/>
  <c r="B47" i="36"/>
  <c r="B166" i="36" s="1"/>
  <c r="B112" i="36"/>
  <c r="B231" i="36" s="1"/>
  <c r="B234" i="34"/>
  <c r="B108" i="36"/>
  <c r="B227" i="36" s="1"/>
  <c r="B230" i="34"/>
  <c r="B104" i="36"/>
  <c r="B223" i="36" s="1"/>
  <c r="B226" i="34"/>
  <c r="B100" i="36"/>
  <c r="B219" i="36" s="1"/>
  <c r="B222" i="34"/>
  <c r="B96" i="36"/>
  <c r="B215" i="36" s="1"/>
  <c r="B218" i="34"/>
  <c r="B92" i="36"/>
  <c r="B211" i="36" s="1"/>
  <c r="B214" i="34"/>
  <c r="B88" i="36"/>
  <c r="B207" i="36" s="1"/>
  <c r="B210" i="34"/>
  <c r="B84" i="36"/>
  <c r="B203" i="36" s="1"/>
  <c r="B206" i="34"/>
  <c r="B80" i="36"/>
  <c r="B199" i="36" s="1"/>
  <c r="B202" i="34"/>
  <c r="B119" i="36"/>
  <c r="B241" i="36" s="1"/>
  <c r="B242" i="34"/>
  <c r="B73" i="36"/>
  <c r="B192" i="36" s="1"/>
  <c r="B195" i="34"/>
  <c r="B69" i="36"/>
  <c r="B188" i="36" s="1"/>
  <c r="B191" i="34"/>
  <c r="B65" i="36"/>
  <c r="B184" i="36" s="1"/>
  <c r="B187" i="34"/>
  <c r="B61" i="36"/>
  <c r="B180" i="36" s="1"/>
  <c r="B183" i="34"/>
  <c r="B57" i="36"/>
  <c r="B176" i="36" s="1"/>
  <c r="B179" i="34"/>
  <c r="B53" i="36"/>
  <c r="B172" i="36" s="1"/>
  <c r="B175" i="34"/>
  <c r="B49" i="36"/>
  <c r="B168" i="36" s="1"/>
  <c r="B171" i="34"/>
  <c r="B45" i="36"/>
  <c r="B164" i="36" s="1"/>
  <c r="B167" i="34"/>
  <c r="B41" i="36"/>
  <c r="B160" i="36" s="1"/>
  <c r="B163" i="34"/>
  <c r="B98" i="36"/>
  <c r="B217" i="36" s="1"/>
  <c r="B220" i="34"/>
  <c r="G50" i="33"/>
  <c r="V50" i="3" s="1"/>
  <c r="T93" i="35"/>
  <c r="AK147" i="3"/>
  <c r="AM147" i="3"/>
  <c r="G90" i="33"/>
  <c r="V90" i="3" s="1"/>
  <c r="G44" i="33"/>
  <c r="V44" i="3" s="1"/>
  <c r="AA97" i="3"/>
  <c r="X98" i="3"/>
  <c r="AA96" i="3"/>
  <c r="T95" i="35"/>
  <c r="G82" i="33"/>
  <c r="V82" i="3" s="1"/>
  <c r="X106" i="3"/>
  <c r="AB106" i="3" s="1"/>
  <c r="AC106" i="3" s="1"/>
  <c r="AE106" i="3" s="1"/>
  <c r="AG106" i="3" s="1"/>
  <c r="AH106" i="3" s="1"/>
  <c r="AI106" i="3" s="1"/>
  <c r="AM106" i="3" s="1"/>
  <c r="G85" i="33"/>
  <c r="V85" i="3" s="1"/>
  <c r="G67" i="33"/>
  <c r="V67" i="3" s="1"/>
  <c r="G64" i="33"/>
  <c r="V64" i="3" s="1"/>
  <c r="X56" i="3"/>
  <c r="G91" i="33"/>
  <c r="V91" i="3" s="1"/>
  <c r="G87" i="33"/>
  <c r="V87" i="3" s="1"/>
  <c r="G74" i="33"/>
  <c r="V74" i="3" s="1"/>
  <c r="X90" i="3"/>
  <c r="X82" i="3"/>
  <c r="X49" i="3"/>
  <c r="T45" i="35"/>
  <c r="T76" i="35"/>
  <c r="T65" i="35"/>
  <c r="T72" i="35"/>
  <c r="T54" i="35"/>
  <c r="T83" i="35"/>
  <c r="T80" i="35"/>
  <c r="T56" i="35"/>
  <c r="T38" i="35"/>
  <c r="T85" i="35"/>
  <c r="T68" i="35"/>
  <c r="T40" i="35"/>
  <c r="T87" i="35"/>
  <c r="T70" i="35"/>
  <c r="T61" i="35"/>
  <c r="T52" i="35"/>
  <c r="T49" i="35"/>
  <c r="X110" i="3"/>
  <c r="X94" i="3"/>
  <c r="T74" i="35"/>
  <c r="T42" i="35"/>
  <c r="G111" i="33"/>
  <c r="V111" i="3" s="1"/>
  <c r="G96" i="33"/>
  <c r="V96" i="3" s="1"/>
  <c r="G79" i="33"/>
  <c r="V79" i="3" s="1"/>
  <c r="G73" i="33"/>
  <c r="V73" i="3" s="1"/>
  <c r="T107" i="35"/>
  <c r="T99" i="35"/>
  <c r="T91" i="35"/>
  <c r="T81" i="35"/>
  <c r="T79" i="35"/>
  <c r="T73" i="35"/>
  <c r="T66" i="35"/>
  <c r="T64" i="35"/>
  <c r="T57" i="35"/>
  <c r="T50" i="35"/>
  <c r="T48" i="35"/>
  <c r="T41" i="35"/>
  <c r="G104" i="33"/>
  <c r="V104" i="3" s="1"/>
  <c r="X72" i="3"/>
  <c r="T58" i="35"/>
  <c r="G107" i="33"/>
  <c r="V107" i="3" s="1"/>
  <c r="G95" i="33"/>
  <c r="V95" i="3" s="1"/>
  <c r="T113" i="35"/>
  <c r="T105" i="35"/>
  <c r="T97" i="35"/>
  <c r="T89" i="35"/>
  <c r="T84" i="35"/>
  <c r="T77" i="35"/>
  <c r="T75" i="35"/>
  <c r="T69" i="35"/>
  <c r="T62" i="35"/>
  <c r="T60" i="35"/>
  <c r="T53" i="35"/>
  <c r="T46" i="35"/>
  <c r="T44" i="35"/>
  <c r="X65" i="3"/>
  <c r="X53" i="3"/>
  <c r="Y102" i="20"/>
  <c r="Y98" i="20"/>
  <c r="Y94" i="20"/>
  <c r="Y86" i="20"/>
  <c r="Y78" i="20"/>
  <c r="Y71" i="20"/>
  <c r="Y67" i="20"/>
  <c r="X61" i="3"/>
  <c r="X57" i="3"/>
  <c r="X45" i="3"/>
  <c r="W116" i="20"/>
  <c r="Y116" i="20" s="1"/>
  <c r="W112" i="20"/>
  <c r="Y112" i="20" s="1"/>
  <c r="W108" i="20"/>
  <c r="Y108" i="20" s="1"/>
  <c r="W100" i="20"/>
  <c r="Y100" i="20" s="1"/>
  <c r="W75" i="20"/>
  <c r="Y75" i="20" s="1"/>
  <c r="W59" i="20"/>
  <c r="Y59" i="20" s="1"/>
  <c r="W51" i="20"/>
  <c r="Y51" i="20" s="1"/>
  <c r="W43" i="20"/>
  <c r="Y43" i="20" s="1"/>
  <c r="Y105" i="20"/>
  <c r="X115" i="3"/>
  <c r="G102" i="33"/>
  <c r="V102" i="3" s="1"/>
  <c r="G94" i="33"/>
  <c r="V94" i="3" s="1"/>
  <c r="W89" i="20"/>
  <c r="Y89" i="20" s="1"/>
  <c r="W81" i="20"/>
  <c r="Y81" i="20" s="1"/>
  <c r="W66" i="20"/>
  <c r="Y66" i="20" s="1"/>
  <c r="W58" i="20"/>
  <c r="Y58" i="20" s="1"/>
  <c r="W42" i="20"/>
  <c r="Y42" i="20" s="1"/>
  <c r="Y115" i="20"/>
  <c r="Y107" i="20"/>
  <c r="Y99" i="20"/>
  <c r="T112" i="35"/>
  <c r="T110" i="35"/>
  <c r="T108" i="35"/>
  <c r="T106" i="35"/>
  <c r="T104" i="35"/>
  <c r="T102" i="35"/>
  <c r="T100" i="35"/>
  <c r="T98" i="35"/>
  <c r="T96" i="35"/>
  <c r="T94" i="35"/>
  <c r="T92" i="35"/>
  <c r="T90" i="35"/>
  <c r="T88" i="35"/>
  <c r="T86" i="35"/>
  <c r="T82" i="35"/>
  <c r="T78" i="35"/>
  <c r="T121" i="35"/>
  <c r="T71" i="35"/>
  <c r="T67" i="35"/>
  <c r="T63" i="35"/>
  <c r="T59" i="35"/>
  <c r="T55" i="35"/>
  <c r="T51" i="35"/>
  <c r="T47" i="35"/>
  <c r="T43" i="35"/>
  <c r="T39" i="35"/>
  <c r="W114" i="20"/>
  <c r="Y114" i="20" s="1"/>
  <c r="W110" i="20"/>
  <c r="Y110" i="20" s="1"/>
  <c r="W106" i="20"/>
  <c r="Y106" i="20" s="1"/>
  <c r="W63" i="20"/>
  <c r="Y63" i="20" s="1"/>
  <c r="W55" i="20"/>
  <c r="Y55" i="20" s="1"/>
  <c r="W47" i="20"/>
  <c r="Y47" i="20" s="1"/>
  <c r="Y85" i="20"/>
  <c r="X48" i="3"/>
  <c r="W117" i="20"/>
  <c r="Y117" i="20" s="1"/>
  <c r="W113" i="20"/>
  <c r="Y113" i="20" s="1"/>
  <c r="W109" i="20"/>
  <c r="Y109" i="20" s="1"/>
  <c r="W101" i="20"/>
  <c r="Y101" i="20" s="1"/>
  <c r="W97" i="20"/>
  <c r="Y97" i="20" s="1"/>
  <c r="W93" i="20"/>
  <c r="Y93" i="20" s="1"/>
  <c r="W121" i="20"/>
  <c r="Y121" i="20" s="1"/>
  <c r="W70" i="20"/>
  <c r="Y70" i="20" s="1"/>
  <c r="W62" i="20"/>
  <c r="Y62" i="20" s="1"/>
  <c r="W54" i="20"/>
  <c r="Y54" i="20" s="1"/>
  <c r="W46" i="20"/>
  <c r="Y46" i="20" s="1"/>
  <c r="Y111" i="20"/>
  <c r="Y103" i="20"/>
  <c r="Y95" i="20"/>
  <c r="Y90" i="20"/>
  <c r="Y82" i="20"/>
  <c r="G83" i="33"/>
  <c r="V83" i="3" s="1"/>
  <c r="G72" i="33"/>
  <c r="W92" i="20"/>
  <c r="Y92" i="20" s="1"/>
  <c r="W88" i="20"/>
  <c r="Y88" i="20" s="1"/>
  <c r="W84" i="20"/>
  <c r="Y84" i="20" s="1"/>
  <c r="W80" i="20"/>
  <c r="Y80" i="20" s="1"/>
  <c r="W77" i="20"/>
  <c r="Y77" i="20" s="1"/>
  <c r="Y74" i="20"/>
  <c r="Y87" i="20"/>
  <c r="Y79" i="20"/>
  <c r="Y72" i="20"/>
  <c r="G76" i="33"/>
  <c r="Y91" i="20"/>
  <c r="Y83" i="20"/>
  <c r="Y76" i="20"/>
  <c r="Y64" i="20"/>
  <c r="Y56" i="20"/>
  <c r="Y48" i="20"/>
  <c r="G69" i="33"/>
  <c r="V69" i="3" s="1"/>
  <c r="G49" i="33"/>
  <c r="V49" i="3" s="1"/>
  <c r="G45" i="33"/>
  <c r="V45" i="3" s="1"/>
  <c r="Y50" i="20"/>
  <c r="G68" i="33"/>
  <c r="G56" i="33"/>
  <c r="G52" i="33"/>
  <c r="V52" i="3" s="1"/>
  <c r="G48" i="33"/>
  <c r="V48" i="3" s="1"/>
  <c r="W65" i="20"/>
  <c r="Y65" i="20" s="1"/>
  <c r="W61" i="20"/>
  <c r="Y61" i="20" s="1"/>
  <c r="W57" i="20"/>
  <c r="Y57" i="20" s="1"/>
  <c r="W53" i="20"/>
  <c r="Y53" i="20" s="1"/>
  <c r="W41" i="20"/>
  <c r="Y41" i="20" s="1"/>
  <c r="Y68" i="20"/>
  <c r="Y60" i="20"/>
  <c r="Y52" i="20"/>
  <c r="Y44" i="20"/>
  <c r="G60" i="33"/>
  <c r="V60" i="3" s="1"/>
  <c r="X41" i="3"/>
  <c r="AB41" i="3" s="1"/>
  <c r="M65" i="33"/>
  <c r="O65" i="33" s="1"/>
  <c r="X107" i="3"/>
  <c r="X99" i="3"/>
  <c r="X95" i="3"/>
  <c r="X76" i="3"/>
  <c r="X68" i="3"/>
  <c r="X60" i="3"/>
  <c r="X52" i="3"/>
  <c r="X44" i="3"/>
  <c r="X74" i="3"/>
  <c r="X64" i="3"/>
  <c r="X75" i="3"/>
  <c r="M53" i="33"/>
  <c r="O53" i="33" s="1"/>
  <c r="M114" i="33"/>
  <c r="O114" i="33" s="1"/>
  <c r="M106" i="33"/>
  <c r="O106" i="33" s="1"/>
  <c r="M98" i="33"/>
  <c r="O98" i="33" s="1"/>
  <c r="M75" i="33"/>
  <c r="O75" i="33" s="1"/>
  <c r="M110" i="33"/>
  <c r="O110" i="33" s="1"/>
  <c r="X112" i="3"/>
  <c r="X100" i="3"/>
  <c r="X73" i="3"/>
  <c r="X70" i="3"/>
  <c r="X62" i="3"/>
  <c r="X50" i="3"/>
  <c r="X46" i="3"/>
  <c r="X42" i="3"/>
  <c r="X96" i="3"/>
  <c r="X84" i="3"/>
  <c r="X80" i="3"/>
  <c r="M100" i="33"/>
  <c r="X51" i="3"/>
  <c r="X47" i="3"/>
  <c r="X43" i="3"/>
  <c r="D117" i="35"/>
  <c r="AK114" i="3" l="1"/>
  <c r="AK106" i="3"/>
  <c r="AB98" i="3"/>
  <c r="AC98" i="3" s="1"/>
  <c r="AE98" i="3" s="1"/>
  <c r="AG98" i="3" s="1"/>
  <c r="AH98" i="3" s="1"/>
  <c r="AB70" i="3"/>
  <c r="AB45" i="3"/>
  <c r="AC45" i="3" s="1"/>
  <c r="AE45" i="3" s="1"/>
  <c r="AG45" i="3" s="1"/>
  <c r="AH45" i="3" s="1"/>
  <c r="AB47" i="3"/>
  <c r="AC47" i="3" s="1"/>
  <c r="AE47" i="3" s="1"/>
  <c r="AG47" i="3" s="1"/>
  <c r="AH47" i="3" s="1"/>
  <c r="AB84" i="3"/>
  <c r="AC84" i="3" s="1"/>
  <c r="AE84" i="3" s="1"/>
  <c r="AG84" i="3" s="1"/>
  <c r="AH84" i="3" s="1"/>
  <c r="AB100" i="3"/>
  <c r="AC100" i="3" s="1"/>
  <c r="AE100" i="3" s="1"/>
  <c r="AG100" i="3" s="1"/>
  <c r="AH100" i="3" s="1"/>
  <c r="AB61" i="3"/>
  <c r="AC61" i="3" s="1"/>
  <c r="AE61" i="3" s="1"/>
  <c r="AG61" i="3" s="1"/>
  <c r="AH61" i="3" s="1"/>
  <c r="AB62" i="3"/>
  <c r="AC62" i="3" s="1"/>
  <c r="AE62" i="3" s="1"/>
  <c r="AG62" i="3" s="1"/>
  <c r="AH62" i="3" s="1"/>
  <c r="AB43" i="3"/>
  <c r="AC43" i="3" s="1"/>
  <c r="AE43" i="3" s="1"/>
  <c r="AG43" i="3" s="1"/>
  <c r="AH43" i="3" s="1"/>
  <c r="AB80" i="3"/>
  <c r="AC80" i="3" s="1"/>
  <c r="AE80" i="3" s="1"/>
  <c r="AG80" i="3" s="1"/>
  <c r="AH80" i="3" s="1"/>
  <c r="AB46" i="3"/>
  <c r="AC46" i="3" s="1"/>
  <c r="AE46" i="3" s="1"/>
  <c r="AG46" i="3" s="1"/>
  <c r="AH46" i="3" s="1"/>
  <c r="AB99" i="3"/>
  <c r="AC99" i="3" s="1"/>
  <c r="AE99" i="3" s="1"/>
  <c r="AG99" i="3" s="1"/>
  <c r="AH99" i="3" s="1"/>
  <c r="AB115" i="3"/>
  <c r="AC115" i="3" s="1"/>
  <c r="AE115" i="3" s="1"/>
  <c r="AG115" i="3" s="1"/>
  <c r="AH115" i="3" s="1"/>
  <c r="AB53" i="3"/>
  <c r="AC53" i="3" s="1"/>
  <c r="AE53" i="3" s="1"/>
  <c r="AG53" i="3" s="1"/>
  <c r="AH53" i="3" s="1"/>
  <c r="AB73" i="3"/>
  <c r="AC73" i="3" s="1"/>
  <c r="AE73" i="3" s="1"/>
  <c r="AG73" i="3" s="1"/>
  <c r="AH73" i="3" s="1"/>
  <c r="AB64" i="3"/>
  <c r="AC64" i="3" s="1"/>
  <c r="AE64" i="3" s="1"/>
  <c r="AG64" i="3" s="1"/>
  <c r="AH64" i="3" s="1"/>
  <c r="AB52" i="3"/>
  <c r="AC52" i="3" s="1"/>
  <c r="AE52" i="3" s="1"/>
  <c r="AG52" i="3" s="1"/>
  <c r="AH52" i="3" s="1"/>
  <c r="AB50" i="3"/>
  <c r="AC50" i="3" s="1"/>
  <c r="AE50" i="3" s="1"/>
  <c r="AG50" i="3" s="1"/>
  <c r="AH50" i="3" s="1"/>
  <c r="AB112" i="3"/>
  <c r="AC112" i="3" s="1"/>
  <c r="AE112" i="3" s="1"/>
  <c r="AG112" i="3" s="1"/>
  <c r="AH112" i="3" s="1"/>
  <c r="AB60" i="3"/>
  <c r="AC60" i="3" s="1"/>
  <c r="AE60" i="3" s="1"/>
  <c r="AG60" i="3" s="1"/>
  <c r="AH60" i="3" s="1"/>
  <c r="AB49" i="3"/>
  <c r="AC49" i="3" s="1"/>
  <c r="AE49" i="3" s="1"/>
  <c r="AG49" i="3" s="1"/>
  <c r="AH49" i="3" s="1"/>
  <c r="AB57" i="3"/>
  <c r="AC57" i="3" s="1"/>
  <c r="AE57" i="3" s="1"/>
  <c r="AG57" i="3" s="1"/>
  <c r="AH57" i="3" s="1"/>
  <c r="AB74" i="3"/>
  <c r="AC74" i="3" s="1"/>
  <c r="AE74" i="3" s="1"/>
  <c r="AG74" i="3" s="1"/>
  <c r="AH74" i="3" s="1"/>
  <c r="AB82" i="3"/>
  <c r="AC82" i="3" s="1"/>
  <c r="AE82" i="3" s="1"/>
  <c r="AG82" i="3" s="1"/>
  <c r="AH82" i="3" s="1"/>
  <c r="AB42" i="3"/>
  <c r="AC42" i="3" s="1"/>
  <c r="AE42" i="3" s="1"/>
  <c r="AG42" i="3" s="1"/>
  <c r="AH42" i="3" s="1"/>
  <c r="AB48" i="3"/>
  <c r="AC48" i="3" s="1"/>
  <c r="AE48" i="3" s="1"/>
  <c r="AG48" i="3" s="1"/>
  <c r="AH48" i="3" s="1"/>
  <c r="AB44" i="3"/>
  <c r="AC44" i="3" s="1"/>
  <c r="AE44" i="3" s="1"/>
  <c r="AG44" i="3" s="1"/>
  <c r="AH44" i="3" s="1"/>
  <c r="AB65" i="3"/>
  <c r="AC65" i="3" s="1"/>
  <c r="AE65" i="3" s="1"/>
  <c r="AG65" i="3" s="1"/>
  <c r="AH65" i="3" s="1"/>
  <c r="AB51" i="3"/>
  <c r="AC51" i="3" s="1"/>
  <c r="AE51" i="3" s="1"/>
  <c r="AG51" i="3" s="1"/>
  <c r="AH51" i="3" s="1"/>
  <c r="AB75" i="3"/>
  <c r="AC75" i="3" s="1"/>
  <c r="AE75" i="3" s="1"/>
  <c r="AG75" i="3" s="1"/>
  <c r="AH75" i="3" s="1"/>
  <c r="M90" i="33"/>
  <c r="O90" i="33" s="1"/>
  <c r="Q90" i="33" s="1"/>
  <c r="R90" i="33" s="1"/>
  <c r="T90" i="33" s="1"/>
  <c r="AB110" i="3"/>
  <c r="AC110" i="3" s="1"/>
  <c r="AE110" i="3" s="1"/>
  <c r="AG110" i="3" s="1"/>
  <c r="AH110" i="3" s="1"/>
  <c r="AB90" i="3"/>
  <c r="AC90" i="3" s="1"/>
  <c r="AE90" i="3" s="1"/>
  <c r="AG90" i="3" s="1"/>
  <c r="AH90" i="3" s="1"/>
  <c r="M115" i="33"/>
  <c r="O115" i="33" s="1"/>
  <c r="Q115" i="33" s="1"/>
  <c r="R115" i="33" s="1"/>
  <c r="T115" i="33" s="1"/>
  <c r="AC41" i="3"/>
  <c r="AE41" i="3" s="1"/>
  <c r="AG41" i="3" s="1"/>
  <c r="AH41" i="3" s="1"/>
  <c r="AC70" i="3"/>
  <c r="AE70" i="3" s="1"/>
  <c r="AG70" i="3" s="1"/>
  <c r="AH70" i="3" s="1"/>
  <c r="AB107" i="3"/>
  <c r="AC107" i="3" s="1"/>
  <c r="AE107" i="3" s="1"/>
  <c r="AG107" i="3" s="1"/>
  <c r="AH107" i="3" s="1"/>
  <c r="AB102" i="3"/>
  <c r="AC102" i="3" s="1"/>
  <c r="AE102" i="3" s="1"/>
  <c r="AG102" i="3" s="1"/>
  <c r="AH102" i="3" s="1"/>
  <c r="M82" i="33"/>
  <c r="O82" i="33" s="1"/>
  <c r="Q82" i="33" s="1"/>
  <c r="R82" i="33" s="1"/>
  <c r="T82" i="33" s="1"/>
  <c r="AB96" i="3"/>
  <c r="AC96" i="3" s="1"/>
  <c r="AE96" i="3" s="1"/>
  <c r="AG96" i="3" s="1"/>
  <c r="AH96" i="3" s="1"/>
  <c r="M74" i="33"/>
  <c r="O74" i="33" s="1"/>
  <c r="Q74" i="33" s="1"/>
  <c r="R74" i="33" s="1"/>
  <c r="T74" i="33" s="1"/>
  <c r="M84" i="33"/>
  <c r="O84" i="33" s="1"/>
  <c r="Q84" i="33" s="1"/>
  <c r="R84" i="33" s="1"/>
  <c r="T84" i="33" s="1"/>
  <c r="M57" i="33"/>
  <c r="O57" i="33" s="1"/>
  <c r="Q57" i="33" s="1"/>
  <c r="R57" i="33" s="1"/>
  <c r="T57" i="33" s="1"/>
  <c r="M99" i="33"/>
  <c r="O99" i="33" s="1"/>
  <c r="Q99" i="33" s="1"/>
  <c r="R99" i="33" s="1"/>
  <c r="T99" i="33" s="1"/>
  <c r="M62" i="33"/>
  <c r="O62" i="33" s="1"/>
  <c r="Q62" i="33" s="1"/>
  <c r="R62" i="33" s="1"/>
  <c r="T62" i="33" s="1"/>
  <c r="M94" i="33"/>
  <c r="O94" i="33" s="1"/>
  <c r="Q94" i="33" s="1"/>
  <c r="R94" i="33" s="1"/>
  <c r="T94" i="33" s="1"/>
  <c r="M60" i="33"/>
  <c r="O60" i="33" s="1"/>
  <c r="Q60" i="33" s="1"/>
  <c r="R60" i="33" s="1"/>
  <c r="T60" i="33" s="1"/>
  <c r="AB95" i="3"/>
  <c r="AC95" i="3" s="1"/>
  <c r="AE95" i="3" s="1"/>
  <c r="AG95" i="3" s="1"/>
  <c r="AH95" i="3" s="1"/>
  <c r="AB94" i="3"/>
  <c r="AC94" i="3" s="1"/>
  <c r="AE94" i="3" s="1"/>
  <c r="AG94" i="3" s="1"/>
  <c r="AH94" i="3" s="1"/>
  <c r="M70" i="33"/>
  <c r="O70" i="33" s="1"/>
  <c r="Q70" i="33" s="1"/>
  <c r="R70" i="33" s="1"/>
  <c r="T70" i="33" s="1"/>
  <c r="M73" i="33"/>
  <c r="O73" i="33" s="1"/>
  <c r="Q73" i="33" s="1"/>
  <c r="R73" i="33" s="1"/>
  <c r="T73" i="33" s="1"/>
  <c r="M61" i="33"/>
  <c r="O61" i="33" s="1"/>
  <c r="Q61" i="33" s="1"/>
  <c r="R61" i="33" s="1"/>
  <c r="T61" i="33" s="1"/>
  <c r="M67" i="33"/>
  <c r="O67" i="33" s="1"/>
  <c r="Q67" i="33" s="1"/>
  <c r="R67" i="33" s="1"/>
  <c r="T67" i="33" s="1"/>
  <c r="X67" i="3"/>
  <c r="AB67" i="3" s="1"/>
  <c r="M79" i="33"/>
  <c r="O79" i="33" s="1"/>
  <c r="Q79" i="33" s="1"/>
  <c r="R79" i="33" s="1"/>
  <c r="T79" i="33" s="1"/>
  <c r="X79" i="3"/>
  <c r="AB79" i="3" s="1"/>
  <c r="M103" i="33"/>
  <c r="O103" i="33" s="1"/>
  <c r="Q103" i="33" s="1"/>
  <c r="R103" i="33" s="1"/>
  <c r="T103" i="33" s="1"/>
  <c r="X103" i="3"/>
  <c r="AB103" i="3" s="1"/>
  <c r="M111" i="33"/>
  <c r="O111" i="33" s="1"/>
  <c r="Q111" i="33" s="1"/>
  <c r="R111" i="33" s="1"/>
  <c r="T111" i="33" s="1"/>
  <c r="X111" i="3"/>
  <c r="AB111" i="3" s="1"/>
  <c r="M71" i="33"/>
  <c r="O71" i="33" s="1"/>
  <c r="Q71" i="33" s="1"/>
  <c r="R71" i="33" s="1"/>
  <c r="T71" i="33" s="1"/>
  <c r="X71" i="3"/>
  <c r="M59" i="33"/>
  <c r="O59" i="33" s="1"/>
  <c r="Q59" i="33" s="1"/>
  <c r="R59" i="33" s="1"/>
  <c r="T59" i="33" s="1"/>
  <c r="X59" i="3"/>
  <c r="M81" i="33"/>
  <c r="O81" i="33" s="1"/>
  <c r="Q81" i="33" s="1"/>
  <c r="R81" i="33" s="1"/>
  <c r="T81" i="33" s="1"/>
  <c r="X81" i="3"/>
  <c r="M116" i="33"/>
  <c r="O116" i="33" s="1"/>
  <c r="Q116" i="33" s="1"/>
  <c r="R116" i="33" s="1"/>
  <c r="T116" i="33" s="1"/>
  <c r="X116" i="3"/>
  <c r="AB116" i="3" s="1"/>
  <c r="AC116" i="3" s="1"/>
  <c r="AE116" i="3" s="1"/>
  <c r="AG116" i="3" s="1"/>
  <c r="AH116" i="3" s="1"/>
  <c r="M89" i="33"/>
  <c r="O89" i="33" s="1"/>
  <c r="Q89" i="33" s="1"/>
  <c r="R89" i="33" s="1"/>
  <c r="T89" i="33" s="1"/>
  <c r="X89" i="3"/>
  <c r="AB89" i="3" s="1"/>
  <c r="M88" i="33"/>
  <c r="O88" i="33" s="1"/>
  <c r="Q88" i="33" s="1"/>
  <c r="R88" i="33" s="1"/>
  <c r="T88" i="33" s="1"/>
  <c r="X88" i="3"/>
  <c r="AB88" i="3" s="1"/>
  <c r="AC88" i="3" s="1"/>
  <c r="AE88" i="3" s="1"/>
  <c r="AG88" i="3" s="1"/>
  <c r="AH88" i="3" s="1"/>
  <c r="Q110" i="33"/>
  <c r="R110" i="33" s="1"/>
  <c r="T110" i="33" s="1"/>
  <c r="M141" i="33"/>
  <c r="O141" i="33" s="1"/>
  <c r="Q141" i="33" s="1"/>
  <c r="R141" i="33" s="1"/>
  <c r="T141" i="33" s="1"/>
  <c r="X147" i="3"/>
  <c r="M83" i="33"/>
  <c r="O83" i="33" s="1"/>
  <c r="Q83" i="33" s="1"/>
  <c r="R83" i="33" s="1"/>
  <c r="T83" i="33" s="1"/>
  <c r="X83" i="3"/>
  <c r="AB83" i="3" s="1"/>
  <c r="M91" i="33"/>
  <c r="O91" i="33" s="1"/>
  <c r="Q91" i="33" s="1"/>
  <c r="R91" i="33" s="1"/>
  <c r="T91" i="33" s="1"/>
  <c r="X91" i="3"/>
  <c r="AB91" i="3" s="1"/>
  <c r="M68" i="33"/>
  <c r="O68" i="33" s="1"/>
  <c r="Q68" i="33" s="1"/>
  <c r="R68" i="33" s="1"/>
  <c r="T68" i="33" s="1"/>
  <c r="V68" i="3"/>
  <c r="AB68" i="3" s="1"/>
  <c r="M86" i="33"/>
  <c r="O86" i="33" s="1"/>
  <c r="Q86" i="33" s="1"/>
  <c r="R86" i="33" s="1"/>
  <c r="T86" i="33" s="1"/>
  <c r="X86" i="3"/>
  <c r="AB86" i="3" s="1"/>
  <c r="AC86" i="3" s="1"/>
  <c r="AE86" i="3" s="1"/>
  <c r="AG86" i="3" s="1"/>
  <c r="AH86" i="3" s="1"/>
  <c r="M55" i="33"/>
  <c r="O55" i="33" s="1"/>
  <c r="Q55" i="33" s="1"/>
  <c r="R55" i="33" s="1"/>
  <c r="T55" i="33" s="1"/>
  <c r="X55" i="3"/>
  <c r="M80" i="33"/>
  <c r="O80" i="33" s="1"/>
  <c r="Q80" i="33" s="1"/>
  <c r="R80" i="33" s="1"/>
  <c r="T80" i="33" s="1"/>
  <c r="M112" i="33"/>
  <c r="O112" i="33" s="1"/>
  <c r="Q112" i="33" s="1"/>
  <c r="R112" i="33" s="1"/>
  <c r="T112" i="33" s="1"/>
  <c r="M93" i="33"/>
  <c r="O93" i="33" s="1"/>
  <c r="Q93" i="33" s="1"/>
  <c r="R93" i="33" s="1"/>
  <c r="T93" i="33" s="1"/>
  <c r="X93" i="3"/>
  <c r="AB93" i="3" s="1"/>
  <c r="AC93" i="3" s="1"/>
  <c r="AE93" i="3" s="1"/>
  <c r="AG93" i="3" s="1"/>
  <c r="AH93" i="3" s="1"/>
  <c r="M104" i="33"/>
  <c r="O104" i="33" s="1"/>
  <c r="Q104" i="33" s="1"/>
  <c r="R104" i="33" s="1"/>
  <c r="T104" i="33" s="1"/>
  <c r="X104" i="3"/>
  <c r="AB104" i="3" s="1"/>
  <c r="AC104" i="3" s="1"/>
  <c r="AE104" i="3" s="1"/>
  <c r="AG104" i="3" s="1"/>
  <c r="AH104" i="3" s="1"/>
  <c r="M58" i="33"/>
  <c r="O58" i="33" s="1"/>
  <c r="Q58" i="33" s="1"/>
  <c r="R58" i="33" s="1"/>
  <c r="T58" i="33" s="1"/>
  <c r="X58" i="3"/>
  <c r="AB58" i="3" s="1"/>
  <c r="M66" i="33"/>
  <c r="O66" i="33" s="1"/>
  <c r="Q66" i="33" s="1"/>
  <c r="R66" i="33" s="1"/>
  <c r="T66" i="33" s="1"/>
  <c r="X66" i="3"/>
  <c r="M117" i="33"/>
  <c r="O117" i="33" s="1"/>
  <c r="Q117" i="33" s="1"/>
  <c r="R117" i="33" s="1"/>
  <c r="T117" i="33" s="1"/>
  <c r="X117" i="3"/>
  <c r="AB117" i="3" s="1"/>
  <c r="M97" i="33"/>
  <c r="O97" i="33" s="1"/>
  <c r="Q97" i="33" s="1"/>
  <c r="R97" i="33" s="1"/>
  <c r="T97" i="33" s="1"/>
  <c r="X97" i="3"/>
  <c r="AB97" i="3" s="1"/>
  <c r="AC97" i="3" s="1"/>
  <c r="AE97" i="3" s="1"/>
  <c r="AG97" i="3" s="1"/>
  <c r="AH97" i="3" s="1"/>
  <c r="M95" i="33"/>
  <c r="O95" i="33" s="1"/>
  <c r="Q95" i="33" s="1"/>
  <c r="R95" i="33" s="1"/>
  <c r="T95" i="33" s="1"/>
  <c r="M107" i="33"/>
  <c r="O107" i="33" s="1"/>
  <c r="Q107" i="33" s="1"/>
  <c r="R107" i="33" s="1"/>
  <c r="T107" i="33" s="1"/>
  <c r="Q98" i="33"/>
  <c r="R98" i="33" s="1"/>
  <c r="T98" i="33" s="1"/>
  <c r="M105" i="33"/>
  <c r="O105" i="33" s="1"/>
  <c r="Q105" i="33" s="1"/>
  <c r="R105" i="33" s="1"/>
  <c r="T105" i="33" s="1"/>
  <c r="X105" i="3"/>
  <c r="AB105" i="3" s="1"/>
  <c r="AC105" i="3" s="1"/>
  <c r="AE105" i="3" s="1"/>
  <c r="AG105" i="3" s="1"/>
  <c r="AH105" i="3" s="1"/>
  <c r="M92" i="33"/>
  <c r="O92" i="33" s="1"/>
  <c r="Q92" i="33" s="1"/>
  <c r="R92" i="33" s="1"/>
  <c r="T92" i="33" s="1"/>
  <c r="X92" i="3"/>
  <c r="AB92" i="3" s="1"/>
  <c r="M54" i="33"/>
  <c r="O54" i="33" s="1"/>
  <c r="Q54" i="33" s="1"/>
  <c r="R54" i="33" s="1"/>
  <c r="T54" i="33" s="1"/>
  <c r="X54" i="3"/>
  <c r="M101" i="33"/>
  <c r="O101" i="33" s="1"/>
  <c r="Q101" i="33" s="1"/>
  <c r="R101" i="33" s="1"/>
  <c r="T101" i="33" s="1"/>
  <c r="X101" i="3"/>
  <c r="AB101" i="3" s="1"/>
  <c r="M77" i="33"/>
  <c r="O77" i="33" s="1"/>
  <c r="Q77" i="33" s="1"/>
  <c r="R77" i="33" s="1"/>
  <c r="T77" i="33" s="1"/>
  <c r="X77" i="3"/>
  <c r="AB77" i="3" s="1"/>
  <c r="M87" i="33"/>
  <c r="O87" i="33" s="1"/>
  <c r="Q87" i="33" s="1"/>
  <c r="R87" i="33" s="1"/>
  <c r="T87" i="33" s="1"/>
  <c r="X87" i="3"/>
  <c r="AB87" i="3" s="1"/>
  <c r="AC87" i="3" s="1"/>
  <c r="AE87" i="3" s="1"/>
  <c r="AG87" i="3" s="1"/>
  <c r="AH87" i="3" s="1"/>
  <c r="M78" i="33"/>
  <c r="O78" i="33" s="1"/>
  <c r="Q78" i="33" s="1"/>
  <c r="R78" i="33" s="1"/>
  <c r="T78" i="33" s="1"/>
  <c r="X78" i="3"/>
  <c r="AB78" i="3" s="1"/>
  <c r="M69" i="33"/>
  <c r="O69" i="33" s="1"/>
  <c r="Q69" i="33" s="1"/>
  <c r="R69" i="33" s="1"/>
  <c r="T69" i="33" s="1"/>
  <c r="X69" i="3"/>
  <c r="AB69" i="3" s="1"/>
  <c r="M63" i="33"/>
  <c r="O63" i="33" s="1"/>
  <c r="Q63" i="33" s="1"/>
  <c r="R63" i="33" s="1"/>
  <c r="T63" i="33" s="1"/>
  <c r="X63" i="3"/>
  <c r="M96" i="33"/>
  <c r="O96" i="33" s="1"/>
  <c r="Q96" i="33" s="1"/>
  <c r="R96" i="33" s="1"/>
  <c r="T96" i="33" s="1"/>
  <c r="M109" i="33"/>
  <c r="O109" i="33" s="1"/>
  <c r="Q109" i="33" s="1"/>
  <c r="R109" i="33" s="1"/>
  <c r="T109" i="33" s="1"/>
  <c r="X109" i="3"/>
  <c r="AB109" i="3" s="1"/>
  <c r="AC109" i="3" s="1"/>
  <c r="AE109" i="3" s="1"/>
  <c r="AG109" i="3" s="1"/>
  <c r="AH109" i="3" s="1"/>
  <c r="M85" i="33"/>
  <c r="O85" i="33" s="1"/>
  <c r="Q85" i="33" s="1"/>
  <c r="R85" i="33" s="1"/>
  <c r="T85" i="33" s="1"/>
  <c r="X85" i="3"/>
  <c r="AB85" i="3" s="1"/>
  <c r="M113" i="33"/>
  <c r="O113" i="33" s="1"/>
  <c r="Q113" i="33" s="1"/>
  <c r="R113" i="33" s="1"/>
  <c r="T113" i="33" s="1"/>
  <c r="X113" i="3"/>
  <c r="AB113" i="3" s="1"/>
  <c r="AC113" i="3" s="1"/>
  <c r="AE113" i="3" s="1"/>
  <c r="AG113" i="3" s="1"/>
  <c r="AH113" i="3" s="1"/>
  <c r="M108" i="33"/>
  <c r="O108" i="33" s="1"/>
  <c r="Q108" i="33" s="1"/>
  <c r="R108" i="33" s="1"/>
  <c r="T108" i="33" s="1"/>
  <c r="X108" i="3"/>
  <c r="AB108" i="3" s="1"/>
  <c r="M102" i="33"/>
  <c r="O102" i="33" s="1"/>
  <c r="Q102" i="33" s="1"/>
  <c r="R102" i="33" s="1"/>
  <c r="T102" i="33" s="1"/>
  <c r="M64" i="33"/>
  <c r="O64" i="33" s="1"/>
  <c r="Q64" i="33" s="1"/>
  <c r="R64" i="33" s="1"/>
  <c r="T64" i="33" s="1"/>
  <c r="Q75" i="33"/>
  <c r="R75" i="33" s="1"/>
  <c r="T75" i="33" s="1"/>
  <c r="Q114" i="33"/>
  <c r="R114" i="33" s="1"/>
  <c r="T114" i="33" s="1"/>
  <c r="M56" i="33"/>
  <c r="O56" i="33" s="1"/>
  <c r="Q56" i="33" s="1"/>
  <c r="R56" i="33" s="1"/>
  <c r="T56" i="33" s="1"/>
  <c r="V56" i="3"/>
  <c r="AB56" i="3" s="1"/>
  <c r="M76" i="33"/>
  <c r="O76" i="33" s="1"/>
  <c r="Q76" i="33" s="1"/>
  <c r="R76" i="33" s="1"/>
  <c r="T76" i="33" s="1"/>
  <c r="V76" i="3"/>
  <c r="M72" i="33"/>
  <c r="O72" i="33" s="1"/>
  <c r="Q72" i="33" s="1"/>
  <c r="R72" i="33" s="1"/>
  <c r="T72" i="33" s="1"/>
  <c r="V72" i="3"/>
  <c r="Q106" i="33"/>
  <c r="R106" i="33" s="1"/>
  <c r="T106" i="33" s="1"/>
  <c r="Q65" i="33"/>
  <c r="R65" i="33" s="1"/>
  <c r="T65" i="33" s="1"/>
  <c r="Q53" i="33"/>
  <c r="R53" i="33" s="1"/>
  <c r="T53" i="33" s="1"/>
  <c r="O100" i="33"/>
  <c r="Q100" i="33" s="1"/>
  <c r="R100" i="33" s="1"/>
  <c r="T100" i="33" s="1"/>
  <c r="V37" i="35"/>
  <c r="F117" i="35"/>
  <c r="G117" i="35"/>
  <c r="H117" i="35"/>
  <c r="I117" i="35"/>
  <c r="J117" i="35"/>
  <c r="K117" i="35"/>
  <c r="L117" i="35"/>
  <c r="M117" i="35"/>
  <c r="O117" i="35"/>
  <c r="P117" i="35"/>
  <c r="Q117" i="35"/>
  <c r="E117" i="35"/>
  <c r="R37" i="35"/>
  <c r="D7" i="33"/>
  <c r="E7" i="33"/>
  <c r="C8" i="33"/>
  <c r="D8" i="33"/>
  <c r="E8" i="33"/>
  <c r="C9" i="33"/>
  <c r="D9" i="33"/>
  <c r="E9" i="33"/>
  <c r="C10" i="33"/>
  <c r="D10" i="33"/>
  <c r="E10" i="33"/>
  <c r="C11" i="33"/>
  <c r="D11" i="33"/>
  <c r="E11" i="33"/>
  <c r="C12" i="33"/>
  <c r="D12" i="33"/>
  <c r="E12" i="33"/>
  <c r="C13" i="33"/>
  <c r="D13" i="33"/>
  <c r="E13" i="33"/>
  <c r="C14" i="33"/>
  <c r="D14" i="33"/>
  <c r="E14" i="33"/>
  <c r="C15" i="33"/>
  <c r="D15" i="33"/>
  <c r="E15" i="33"/>
  <c r="C16" i="33"/>
  <c r="D16" i="33"/>
  <c r="E16" i="33"/>
  <c r="C17" i="33"/>
  <c r="D17" i="33"/>
  <c r="E17" i="33"/>
  <c r="C18" i="33"/>
  <c r="D18" i="33"/>
  <c r="E18" i="33"/>
  <c r="C19" i="33"/>
  <c r="D19" i="33"/>
  <c r="E19" i="33"/>
  <c r="C20" i="33"/>
  <c r="D20" i="33"/>
  <c r="E20" i="33"/>
  <c r="C21" i="33"/>
  <c r="D21" i="33"/>
  <c r="E21" i="33"/>
  <c r="C22" i="33"/>
  <c r="D22" i="33"/>
  <c r="E22" i="33"/>
  <c r="C23" i="33"/>
  <c r="D23" i="33"/>
  <c r="E23" i="33"/>
  <c r="C24" i="33"/>
  <c r="D24" i="33"/>
  <c r="E24" i="33"/>
  <c r="C25" i="33"/>
  <c r="D25" i="33"/>
  <c r="E25" i="33"/>
  <c r="C26" i="33"/>
  <c r="D26" i="33"/>
  <c r="E26" i="33"/>
  <c r="C27" i="33"/>
  <c r="D27" i="33"/>
  <c r="E27" i="33"/>
  <c r="C28" i="33"/>
  <c r="D28" i="33"/>
  <c r="E28" i="33"/>
  <c r="C29" i="33"/>
  <c r="D29" i="33"/>
  <c r="E29" i="33"/>
  <c r="C30" i="33"/>
  <c r="D30" i="33"/>
  <c r="E30" i="33"/>
  <c r="C31" i="33"/>
  <c r="D31" i="33"/>
  <c r="E31" i="33"/>
  <c r="C32" i="33"/>
  <c r="D32" i="33"/>
  <c r="E32" i="33"/>
  <c r="C33" i="33"/>
  <c r="D33" i="33"/>
  <c r="E33" i="33"/>
  <c r="C34" i="33"/>
  <c r="D34" i="33"/>
  <c r="E34" i="33"/>
  <c r="C35" i="33"/>
  <c r="D35" i="33"/>
  <c r="E35" i="33"/>
  <c r="C36" i="33"/>
  <c r="D36" i="33"/>
  <c r="E36" i="33"/>
  <c r="C37" i="33"/>
  <c r="D37" i="33"/>
  <c r="E37" i="33"/>
  <c r="C38" i="33"/>
  <c r="D38" i="33"/>
  <c r="E38" i="33"/>
  <c r="C39" i="33"/>
  <c r="D39" i="33"/>
  <c r="E39" i="33"/>
  <c r="C40" i="33"/>
  <c r="D40" i="33"/>
  <c r="E40" i="33"/>
  <c r="D142" i="33"/>
  <c r="E142" i="33"/>
  <c r="D6" i="33"/>
  <c r="E6" i="33"/>
  <c r="C142" i="33"/>
  <c r="C6" i="33"/>
  <c r="AF39" i="3"/>
  <c r="AF40" i="3"/>
  <c r="J39" i="3"/>
  <c r="J40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146" i="3"/>
  <c r="C6" i="3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121" i="34"/>
  <c r="B5" i="34"/>
  <c r="B122" i="35"/>
  <c r="AL146" i="3" s="1"/>
  <c r="B4" i="35"/>
  <c r="AL7" i="3" s="1"/>
  <c r="B5" i="35"/>
  <c r="AL8" i="3" s="1"/>
  <c r="B6" i="35"/>
  <c r="AL9" i="3" s="1"/>
  <c r="B7" i="35"/>
  <c r="AL10" i="3" s="1"/>
  <c r="B8" i="35"/>
  <c r="AL11" i="3" s="1"/>
  <c r="B9" i="35"/>
  <c r="AL12" i="3" s="1"/>
  <c r="B10" i="35"/>
  <c r="AL13" i="3" s="1"/>
  <c r="B11" i="35"/>
  <c r="AL14" i="3" s="1"/>
  <c r="B12" i="35"/>
  <c r="AL15" i="3" s="1"/>
  <c r="B13" i="35"/>
  <c r="AL16" i="3" s="1"/>
  <c r="B14" i="35"/>
  <c r="AL17" i="3" s="1"/>
  <c r="B15" i="35"/>
  <c r="AL18" i="3" s="1"/>
  <c r="B16" i="35"/>
  <c r="AL19" i="3" s="1"/>
  <c r="B17" i="35"/>
  <c r="AL20" i="3" s="1"/>
  <c r="B18" i="35"/>
  <c r="AL21" i="3" s="1"/>
  <c r="B19" i="35"/>
  <c r="AL22" i="3" s="1"/>
  <c r="B20" i="35"/>
  <c r="AL23" i="3" s="1"/>
  <c r="B21" i="35"/>
  <c r="AL24" i="3" s="1"/>
  <c r="B22" i="35"/>
  <c r="AL25" i="3" s="1"/>
  <c r="B23" i="35"/>
  <c r="AL26" i="3" s="1"/>
  <c r="B24" i="35"/>
  <c r="AL27" i="3" s="1"/>
  <c r="B25" i="35"/>
  <c r="AL28" i="3" s="1"/>
  <c r="B26" i="35"/>
  <c r="AL29" i="3" s="1"/>
  <c r="B27" i="35"/>
  <c r="AL30" i="3" s="1"/>
  <c r="B28" i="35"/>
  <c r="AL31" i="3" s="1"/>
  <c r="B29" i="35"/>
  <c r="AL32" i="3" s="1"/>
  <c r="B30" i="35"/>
  <c r="AL33" i="3" s="1"/>
  <c r="B31" i="35"/>
  <c r="AL34" i="3" s="1"/>
  <c r="B32" i="35"/>
  <c r="AL35" i="3" s="1"/>
  <c r="B33" i="35"/>
  <c r="AL36" i="3" s="1"/>
  <c r="B34" i="35"/>
  <c r="AL37" i="3" s="1"/>
  <c r="B35" i="35"/>
  <c r="AL38" i="3" s="1"/>
  <c r="B36" i="35"/>
  <c r="AL39" i="3" s="1"/>
  <c r="B37" i="35"/>
  <c r="AL40" i="3" s="1"/>
  <c r="B3" i="35"/>
  <c r="AL6" i="3" s="1"/>
  <c r="AI61" i="3" l="1"/>
  <c r="AM61" i="3" s="1"/>
  <c r="AK61" i="3"/>
  <c r="AI102" i="3"/>
  <c r="AM102" i="3" s="1"/>
  <c r="AK102" i="3"/>
  <c r="AI57" i="3"/>
  <c r="AM57" i="3" s="1"/>
  <c r="AK57" i="3"/>
  <c r="AI51" i="3"/>
  <c r="AM51" i="3" s="1"/>
  <c r="AK51" i="3"/>
  <c r="AI116" i="3"/>
  <c r="AM116" i="3" s="1"/>
  <c r="AK116" i="3"/>
  <c r="AI70" i="3"/>
  <c r="AM70" i="3" s="1"/>
  <c r="AK70" i="3"/>
  <c r="AI109" i="3"/>
  <c r="AM109" i="3" s="1"/>
  <c r="AK109" i="3"/>
  <c r="AI97" i="3"/>
  <c r="AM97" i="3" s="1"/>
  <c r="AK97" i="3"/>
  <c r="AI104" i="3"/>
  <c r="AM104" i="3" s="1"/>
  <c r="AK104" i="3"/>
  <c r="AI86" i="3"/>
  <c r="AM86" i="3" s="1"/>
  <c r="AK86" i="3"/>
  <c r="AI112" i="3"/>
  <c r="AM112" i="3" s="1"/>
  <c r="AK112" i="3"/>
  <c r="AI74" i="3"/>
  <c r="AM74" i="3" s="1"/>
  <c r="AK74" i="3"/>
  <c r="AI75" i="3"/>
  <c r="AM75" i="3" s="1"/>
  <c r="AK75" i="3"/>
  <c r="AI84" i="3"/>
  <c r="AM84" i="3" s="1"/>
  <c r="AK84" i="3"/>
  <c r="AI65" i="3"/>
  <c r="AM65" i="3" s="1"/>
  <c r="AK65" i="3"/>
  <c r="AI87" i="3"/>
  <c r="AM87" i="3" s="1"/>
  <c r="AK87" i="3"/>
  <c r="AI48" i="3"/>
  <c r="AM48" i="3" s="1"/>
  <c r="AK48" i="3"/>
  <c r="AI50" i="3"/>
  <c r="AM50" i="3" s="1"/>
  <c r="AK50" i="3"/>
  <c r="AI80" i="3"/>
  <c r="AM80" i="3" s="1"/>
  <c r="AK80" i="3"/>
  <c r="AI113" i="3"/>
  <c r="AM113" i="3" s="1"/>
  <c r="AK113" i="3"/>
  <c r="AI100" i="3"/>
  <c r="AM100" i="3" s="1"/>
  <c r="AK100" i="3"/>
  <c r="AI107" i="3"/>
  <c r="AM107" i="3" s="1"/>
  <c r="AK107" i="3"/>
  <c r="AI49" i="3"/>
  <c r="AM49" i="3" s="1"/>
  <c r="AK49" i="3"/>
  <c r="AI99" i="3"/>
  <c r="AM99" i="3" s="1"/>
  <c r="AK99" i="3"/>
  <c r="AI93" i="3"/>
  <c r="AM93" i="3" s="1"/>
  <c r="AK93" i="3"/>
  <c r="AI94" i="3"/>
  <c r="AM94" i="3" s="1"/>
  <c r="AK94" i="3"/>
  <c r="AI90" i="3"/>
  <c r="AM90" i="3" s="1"/>
  <c r="AK90" i="3"/>
  <c r="AI52" i="3"/>
  <c r="AM52" i="3" s="1"/>
  <c r="AK52" i="3"/>
  <c r="AI98" i="3"/>
  <c r="AM98" i="3" s="1"/>
  <c r="AK98" i="3"/>
  <c r="AI73" i="3"/>
  <c r="AM73" i="3" s="1"/>
  <c r="AK73" i="3"/>
  <c r="AI115" i="3"/>
  <c r="AM115" i="3" s="1"/>
  <c r="AK115" i="3"/>
  <c r="AI60" i="3"/>
  <c r="AM60" i="3" s="1"/>
  <c r="AK60" i="3"/>
  <c r="AI105" i="3"/>
  <c r="AM105" i="3" s="1"/>
  <c r="AK105" i="3"/>
  <c r="AI88" i="3"/>
  <c r="AM88" i="3" s="1"/>
  <c r="AK88" i="3"/>
  <c r="AI95" i="3"/>
  <c r="AM95" i="3" s="1"/>
  <c r="AK95" i="3"/>
  <c r="AI96" i="3"/>
  <c r="AM96" i="3" s="1"/>
  <c r="AK96" i="3"/>
  <c r="AI110" i="3"/>
  <c r="AM110" i="3" s="1"/>
  <c r="AK110" i="3"/>
  <c r="AI82" i="3"/>
  <c r="AM82" i="3" s="1"/>
  <c r="AK82" i="3"/>
  <c r="AI64" i="3"/>
  <c r="AM64" i="3" s="1"/>
  <c r="AK64" i="3"/>
  <c r="AI62" i="3"/>
  <c r="AM62" i="3" s="1"/>
  <c r="AK62" i="3"/>
  <c r="AI53" i="3"/>
  <c r="AM53" i="3" s="1"/>
  <c r="AK53" i="3"/>
  <c r="AI41" i="3"/>
  <c r="AM41" i="3" s="1"/>
  <c r="AK41" i="3"/>
  <c r="AI43" i="3"/>
  <c r="AM43" i="3" s="1"/>
  <c r="AK43" i="3"/>
  <c r="AI42" i="3"/>
  <c r="AM42" i="3" s="1"/>
  <c r="AK42" i="3"/>
  <c r="AI47" i="3"/>
  <c r="AM47" i="3" s="1"/>
  <c r="AK47" i="3"/>
  <c r="AI44" i="3"/>
  <c r="AM44" i="3" s="1"/>
  <c r="AK44" i="3"/>
  <c r="AI46" i="3"/>
  <c r="AM46" i="3" s="1"/>
  <c r="AK46" i="3"/>
  <c r="AI45" i="3"/>
  <c r="AM45" i="3" s="1"/>
  <c r="AK45" i="3"/>
  <c r="AB63" i="3"/>
  <c r="AC63" i="3" s="1"/>
  <c r="AE63" i="3" s="1"/>
  <c r="AG63" i="3" s="1"/>
  <c r="AH63" i="3" s="1"/>
  <c r="AB55" i="3"/>
  <c r="AC55" i="3" s="1"/>
  <c r="AE55" i="3" s="1"/>
  <c r="AG55" i="3" s="1"/>
  <c r="AH55" i="3" s="1"/>
  <c r="AB72" i="3"/>
  <c r="AC72" i="3" s="1"/>
  <c r="AE72" i="3" s="1"/>
  <c r="AG72" i="3" s="1"/>
  <c r="AH72" i="3" s="1"/>
  <c r="AB54" i="3"/>
  <c r="AC54" i="3" s="1"/>
  <c r="AE54" i="3" s="1"/>
  <c r="AG54" i="3" s="1"/>
  <c r="AH54" i="3" s="1"/>
  <c r="AB59" i="3"/>
  <c r="AC59" i="3" s="1"/>
  <c r="AE59" i="3" s="1"/>
  <c r="AG59" i="3" s="1"/>
  <c r="AH59" i="3" s="1"/>
  <c r="AC69" i="3"/>
  <c r="AE69" i="3" s="1"/>
  <c r="AG69" i="3" s="1"/>
  <c r="AH69" i="3" s="1"/>
  <c r="AB66" i="3"/>
  <c r="AC66" i="3" s="1"/>
  <c r="AE66" i="3" s="1"/>
  <c r="AG66" i="3" s="1"/>
  <c r="AH66" i="3" s="1"/>
  <c r="AB147" i="3"/>
  <c r="AC147" i="3" s="1"/>
  <c r="AE147" i="3" s="1"/>
  <c r="AB76" i="3"/>
  <c r="AC76" i="3" s="1"/>
  <c r="AE76" i="3" s="1"/>
  <c r="AG76" i="3" s="1"/>
  <c r="AH76" i="3" s="1"/>
  <c r="AB81" i="3"/>
  <c r="AC81" i="3" s="1"/>
  <c r="AE81" i="3" s="1"/>
  <c r="AG81" i="3" s="1"/>
  <c r="AH81" i="3" s="1"/>
  <c r="AC67" i="3"/>
  <c r="AE67" i="3" s="1"/>
  <c r="AG67" i="3" s="1"/>
  <c r="AH67" i="3" s="1"/>
  <c r="AB71" i="3"/>
  <c r="AC71" i="3" s="1"/>
  <c r="AE71" i="3" s="1"/>
  <c r="AG71" i="3" s="1"/>
  <c r="AH71" i="3" s="1"/>
  <c r="B160" i="34"/>
  <c r="B38" i="36"/>
  <c r="B157" i="36" s="1"/>
  <c r="B34" i="36"/>
  <c r="B153" i="36" s="1"/>
  <c r="B156" i="34"/>
  <c r="B152" i="34"/>
  <c r="B30" i="36"/>
  <c r="B149" i="36" s="1"/>
  <c r="B26" i="36"/>
  <c r="B145" i="36" s="1"/>
  <c r="B148" i="34"/>
  <c r="B144" i="34"/>
  <c r="B22" i="36"/>
  <c r="B141" i="36" s="1"/>
  <c r="B18" i="36"/>
  <c r="B137" i="36" s="1"/>
  <c r="B140" i="34"/>
  <c r="B136" i="34"/>
  <c r="B14" i="36"/>
  <c r="B133" i="36" s="1"/>
  <c r="B10" i="36"/>
  <c r="B129" i="36" s="1"/>
  <c r="B132" i="34"/>
  <c r="B128" i="34"/>
  <c r="B6" i="36"/>
  <c r="B125" i="36" s="1"/>
  <c r="B5" i="36"/>
  <c r="B124" i="36" s="1"/>
  <c r="B127" i="34"/>
  <c r="B37" i="36"/>
  <c r="B156" i="36" s="1"/>
  <c r="B159" i="34"/>
  <c r="B33" i="36"/>
  <c r="B152" i="36" s="1"/>
  <c r="B155" i="34"/>
  <c r="B29" i="36"/>
  <c r="B148" i="36" s="1"/>
  <c r="B151" i="34"/>
  <c r="B25" i="36"/>
  <c r="B144" i="36" s="1"/>
  <c r="B147" i="34"/>
  <c r="B21" i="36"/>
  <c r="B140" i="36" s="1"/>
  <c r="B143" i="34"/>
  <c r="B17" i="36"/>
  <c r="B136" i="36" s="1"/>
  <c r="B139" i="34"/>
  <c r="B13" i="36"/>
  <c r="B132" i="36" s="1"/>
  <c r="B135" i="34"/>
  <c r="B9" i="36"/>
  <c r="B128" i="36" s="1"/>
  <c r="B131" i="34"/>
  <c r="B120" i="36"/>
  <c r="B242" i="36" s="1"/>
  <c r="B243" i="34"/>
  <c r="B36" i="36"/>
  <c r="B155" i="36" s="1"/>
  <c r="B158" i="34"/>
  <c r="B32" i="36"/>
  <c r="B151" i="36" s="1"/>
  <c r="B154" i="34"/>
  <c r="B28" i="36"/>
  <c r="B147" i="36" s="1"/>
  <c r="B150" i="34"/>
  <c r="B24" i="36"/>
  <c r="B143" i="36" s="1"/>
  <c r="B146" i="34"/>
  <c r="B20" i="36"/>
  <c r="B139" i="36" s="1"/>
  <c r="B142" i="34"/>
  <c r="B16" i="36"/>
  <c r="B135" i="36" s="1"/>
  <c r="B138" i="34"/>
  <c r="B12" i="36"/>
  <c r="B131" i="36" s="1"/>
  <c r="B134" i="34"/>
  <c r="B8" i="36"/>
  <c r="B127" i="36" s="1"/>
  <c r="B130" i="34"/>
  <c r="B161" i="34"/>
  <c r="B39" i="36"/>
  <c r="B158" i="36" s="1"/>
  <c r="B157" i="34"/>
  <c r="B35" i="36"/>
  <c r="B154" i="36" s="1"/>
  <c r="B153" i="34"/>
  <c r="B31" i="36"/>
  <c r="B150" i="36" s="1"/>
  <c r="B149" i="34"/>
  <c r="B27" i="36"/>
  <c r="B146" i="36" s="1"/>
  <c r="B145" i="34"/>
  <c r="B23" i="36"/>
  <c r="B142" i="36" s="1"/>
  <c r="B141" i="34"/>
  <c r="B19" i="36"/>
  <c r="B138" i="36" s="1"/>
  <c r="B137" i="34"/>
  <c r="B15" i="36"/>
  <c r="B134" i="36" s="1"/>
  <c r="B133" i="34"/>
  <c r="B11" i="36"/>
  <c r="B130" i="36" s="1"/>
  <c r="B129" i="34"/>
  <c r="B7" i="36"/>
  <c r="B126" i="36" s="1"/>
  <c r="AC108" i="3"/>
  <c r="AE108" i="3" s="1"/>
  <c r="AG108" i="3" s="1"/>
  <c r="AH108" i="3" s="1"/>
  <c r="AC77" i="3"/>
  <c r="AE77" i="3" s="1"/>
  <c r="AG77" i="3" s="1"/>
  <c r="AH77" i="3" s="1"/>
  <c r="AC91" i="3"/>
  <c r="AE91" i="3" s="1"/>
  <c r="AG91" i="3" s="1"/>
  <c r="AH91" i="3" s="1"/>
  <c r="AC89" i="3"/>
  <c r="AE89" i="3" s="1"/>
  <c r="AG89" i="3" s="1"/>
  <c r="AH89" i="3" s="1"/>
  <c r="AC103" i="3"/>
  <c r="AE103" i="3" s="1"/>
  <c r="AG103" i="3" s="1"/>
  <c r="AH103" i="3" s="1"/>
  <c r="AC78" i="3"/>
  <c r="AE78" i="3" s="1"/>
  <c r="AG78" i="3" s="1"/>
  <c r="AH78" i="3" s="1"/>
  <c r="AC111" i="3"/>
  <c r="AE111" i="3" s="1"/>
  <c r="AG111" i="3" s="1"/>
  <c r="AH111" i="3" s="1"/>
  <c r="AC79" i="3"/>
  <c r="AE79" i="3" s="1"/>
  <c r="AG79" i="3" s="1"/>
  <c r="AH79" i="3" s="1"/>
  <c r="AC85" i="3"/>
  <c r="AE85" i="3" s="1"/>
  <c r="AG85" i="3" s="1"/>
  <c r="AH85" i="3" s="1"/>
  <c r="AC56" i="3"/>
  <c r="AE56" i="3" s="1"/>
  <c r="AG56" i="3" s="1"/>
  <c r="AH56" i="3" s="1"/>
  <c r="AC101" i="3"/>
  <c r="AE101" i="3" s="1"/>
  <c r="AG101" i="3" s="1"/>
  <c r="AH101" i="3" s="1"/>
  <c r="AC92" i="3"/>
  <c r="AE92" i="3" s="1"/>
  <c r="AG92" i="3" s="1"/>
  <c r="AH92" i="3" s="1"/>
  <c r="AC117" i="3"/>
  <c r="AE117" i="3" s="1"/>
  <c r="AG117" i="3" s="1"/>
  <c r="AH117" i="3" s="1"/>
  <c r="AC58" i="3"/>
  <c r="AE58" i="3" s="1"/>
  <c r="AG58" i="3" s="1"/>
  <c r="AH58" i="3" s="1"/>
  <c r="AC68" i="3"/>
  <c r="AE68" i="3" s="1"/>
  <c r="AG68" i="3" s="1"/>
  <c r="AH68" i="3" s="1"/>
  <c r="AC83" i="3"/>
  <c r="AE83" i="3" s="1"/>
  <c r="AG83" i="3" s="1"/>
  <c r="AH83" i="3" s="1"/>
  <c r="T37" i="35"/>
  <c r="S6" i="20"/>
  <c r="AI92" i="3" l="1"/>
  <c r="AM92" i="3" s="1"/>
  <c r="AK92" i="3"/>
  <c r="AI66" i="3"/>
  <c r="AM66" i="3" s="1"/>
  <c r="AK66" i="3"/>
  <c r="AI69" i="3"/>
  <c r="AM69" i="3" s="1"/>
  <c r="AK69" i="3"/>
  <c r="AI108" i="3"/>
  <c r="AM108" i="3" s="1"/>
  <c r="AK108" i="3"/>
  <c r="AI83" i="3"/>
  <c r="AM83" i="3" s="1"/>
  <c r="AK83" i="3"/>
  <c r="AI79" i="3"/>
  <c r="AM79" i="3" s="1"/>
  <c r="AK79" i="3"/>
  <c r="AI71" i="3"/>
  <c r="AM71" i="3" s="1"/>
  <c r="AK71" i="3"/>
  <c r="AI54" i="3"/>
  <c r="AM54" i="3" s="1"/>
  <c r="AK54" i="3"/>
  <c r="AI56" i="3"/>
  <c r="AM56" i="3" s="1"/>
  <c r="AK56" i="3"/>
  <c r="AI111" i="3"/>
  <c r="AM111" i="3" s="1"/>
  <c r="AK111" i="3"/>
  <c r="AI89" i="3"/>
  <c r="AM89" i="3" s="1"/>
  <c r="AK89" i="3"/>
  <c r="AI101" i="3"/>
  <c r="AM101" i="3" s="1"/>
  <c r="AK101" i="3"/>
  <c r="AI77" i="3"/>
  <c r="AM77" i="3" s="1"/>
  <c r="AK77" i="3"/>
  <c r="AI59" i="3"/>
  <c r="AM59" i="3" s="1"/>
  <c r="AK59" i="3"/>
  <c r="AI67" i="3"/>
  <c r="AM67" i="3" s="1"/>
  <c r="AK67" i="3"/>
  <c r="AI78" i="3"/>
  <c r="AM78" i="3" s="1"/>
  <c r="AK78" i="3"/>
  <c r="AI81" i="3"/>
  <c r="AM81" i="3" s="1"/>
  <c r="AK81" i="3"/>
  <c r="AI91" i="3"/>
  <c r="AM91" i="3" s="1"/>
  <c r="AK91" i="3"/>
  <c r="AI72" i="3"/>
  <c r="AM72" i="3" s="1"/>
  <c r="AK72" i="3"/>
  <c r="AI58" i="3"/>
  <c r="AM58" i="3" s="1"/>
  <c r="AK58" i="3"/>
  <c r="AI117" i="3"/>
  <c r="AM117" i="3" s="1"/>
  <c r="AK117" i="3"/>
  <c r="AI103" i="3"/>
  <c r="AM103" i="3" s="1"/>
  <c r="AK103" i="3"/>
  <c r="AI76" i="3"/>
  <c r="AM76" i="3" s="1"/>
  <c r="AK76" i="3"/>
  <c r="AI63" i="3"/>
  <c r="AM63" i="3" s="1"/>
  <c r="AK63" i="3"/>
  <c r="AI85" i="3"/>
  <c r="AM85" i="3" s="1"/>
  <c r="AK85" i="3"/>
  <c r="AI68" i="3"/>
  <c r="AM68" i="3" s="1"/>
  <c r="AK68" i="3"/>
  <c r="AI55" i="3"/>
  <c r="AM55" i="3" s="1"/>
  <c r="AK55" i="3"/>
  <c r="V34" i="35"/>
  <c r="V35" i="35"/>
  <c r="V36" i="35"/>
  <c r="R35" i="35"/>
  <c r="R36" i="35"/>
  <c r="T36" i="35" l="1"/>
  <c r="T35" i="35"/>
  <c r="R34" i="35" l="1"/>
  <c r="V33" i="35"/>
  <c r="R33" i="35"/>
  <c r="V32" i="35"/>
  <c r="R32" i="35"/>
  <c r="V31" i="35"/>
  <c r="R31" i="35"/>
  <c r="V30" i="35"/>
  <c r="R30" i="35"/>
  <c r="V29" i="35"/>
  <c r="R29" i="35"/>
  <c r="V28" i="35"/>
  <c r="R28" i="35"/>
  <c r="V27" i="35"/>
  <c r="R27" i="35"/>
  <c r="V26" i="35"/>
  <c r="R26" i="35"/>
  <c r="V25" i="35"/>
  <c r="R25" i="35"/>
  <c r="V24" i="35"/>
  <c r="R24" i="35"/>
  <c r="V23" i="35"/>
  <c r="R23" i="35"/>
  <c r="V22" i="35"/>
  <c r="R22" i="35"/>
  <c r="V21" i="35"/>
  <c r="R21" i="35"/>
  <c r="V20" i="35"/>
  <c r="R20" i="35"/>
  <c r="V19" i="35"/>
  <c r="R19" i="35"/>
  <c r="V18" i="35"/>
  <c r="R18" i="35"/>
  <c r="V17" i="35"/>
  <c r="R17" i="35"/>
  <c r="V16" i="35"/>
  <c r="R16" i="35"/>
  <c r="V15" i="35"/>
  <c r="R15" i="35"/>
  <c r="V14" i="35"/>
  <c r="R14" i="35"/>
  <c r="V13" i="35"/>
  <c r="R13" i="35"/>
  <c r="V12" i="35"/>
  <c r="R12" i="35"/>
  <c r="V11" i="35"/>
  <c r="R11" i="35"/>
  <c r="V10" i="35"/>
  <c r="R10" i="35"/>
  <c r="V9" i="35"/>
  <c r="R9" i="35"/>
  <c r="V8" i="35"/>
  <c r="R8" i="35"/>
  <c r="V7" i="35"/>
  <c r="R7" i="35"/>
  <c r="V6" i="35"/>
  <c r="R6" i="35"/>
  <c r="V5" i="35"/>
  <c r="R5" i="35"/>
  <c r="V4" i="35"/>
  <c r="R4" i="35"/>
  <c r="V122" i="35"/>
  <c r="R122" i="35"/>
  <c r="T122" i="35" s="1"/>
  <c r="V3" i="35"/>
  <c r="R3" i="35"/>
  <c r="R34" i="3"/>
  <c r="R35" i="3"/>
  <c r="AF34" i="3"/>
  <c r="AF35" i="3"/>
  <c r="V116" i="35" l="1"/>
  <c r="R116" i="35"/>
  <c r="T27" i="35"/>
  <c r="T6" i="35"/>
  <c r="T10" i="35"/>
  <c r="T18" i="35"/>
  <c r="T22" i="35"/>
  <c r="T26" i="35"/>
  <c r="T30" i="35"/>
  <c r="T7" i="35"/>
  <c r="T11" i="35"/>
  <c r="T15" i="35"/>
  <c r="T19" i="35"/>
  <c r="T23" i="35"/>
  <c r="T31" i="35"/>
  <c r="T14" i="35"/>
  <c r="T34" i="35"/>
  <c r="T17" i="35"/>
  <c r="T25" i="35"/>
  <c r="T33" i="35"/>
  <c r="T9" i="35"/>
  <c r="T8" i="35"/>
  <c r="T16" i="35"/>
  <c r="T24" i="35"/>
  <c r="T32" i="35"/>
  <c r="T5" i="35"/>
  <c r="T13" i="35"/>
  <c r="T21" i="35"/>
  <c r="T29" i="35"/>
  <c r="T4" i="35"/>
  <c r="T12" i="35"/>
  <c r="T20" i="35"/>
  <c r="T28" i="35"/>
  <c r="AJ146" i="3"/>
  <c r="T3" i="35"/>
  <c r="J35" i="3"/>
  <c r="J34" i="3"/>
  <c r="L7" i="33"/>
  <c r="T7" i="3" s="1"/>
  <c r="L8" i="33"/>
  <c r="T8" i="3" s="1"/>
  <c r="L9" i="33"/>
  <c r="T9" i="3" s="1"/>
  <c r="L10" i="33"/>
  <c r="T10" i="3" s="1"/>
  <c r="L11" i="33"/>
  <c r="T11" i="3" s="1"/>
  <c r="L12" i="33"/>
  <c r="T12" i="3" s="1"/>
  <c r="L13" i="33"/>
  <c r="T13" i="3" s="1"/>
  <c r="L14" i="33"/>
  <c r="T14" i="3" s="1"/>
  <c r="L15" i="33"/>
  <c r="T15" i="3" s="1"/>
  <c r="L16" i="33"/>
  <c r="T16" i="3" s="1"/>
  <c r="L17" i="33"/>
  <c r="T17" i="3" s="1"/>
  <c r="L18" i="33"/>
  <c r="T18" i="3" s="1"/>
  <c r="L19" i="33"/>
  <c r="T19" i="3" s="1"/>
  <c r="L20" i="33"/>
  <c r="T20" i="3" s="1"/>
  <c r="L21" i="33"/>
  <c r="T21" i="3" s="1"/>
  <c r="L22" i="33"/>
  <c r="T22" i="3" s="1"/>
  <c r="L23" i="33"/>
  <c r="T23" i="3" s="1"/>
  <c r="L24" i="33"/>
  <c r="T24" i="3" s="1"/>
  <c r="L25" i="33"/>
  <c r="T25" i="3" s="1"/>
  <c r="L26" i="33"/>
  <c r="T26" i="3" s="1"/>
  <c r="L27" i="33"/>
  <c r="T27" i="3" s="1"/>
  <c r="L28" i="33"/>
  <c r="T28" i="3" s="1"/>
  <c r="L29" i="33"/>
  <c r="T29" i="3" s="1"/>
  <c r="L30" i="33"/>
  <c r="T30" i="3" s="1"/>
  <c r="L31" i="33"/>
  <c r="T31" i="3" s="1"/>
  <c r="L32" i="33"/>
  <c r="T32" i="3" s="1"/>
  <c r="L33" i="33"/>
  <c r="T33" i="3" s="1"/>
  <c r="L34" i="33"/>
  <c r="T34" i="3" s="1"/>
  <c r="L35" i="33"/>
  <c r="T35" i="3" s="1"/>
  <c r="L36" i="33"/>
  <c r="T36" i="3" s="1"/>
  <c r="L37" i="33"/>
  <c r="T37" i="3" s="1"/>
  <c r="L38" i="33"/>
  <c r="T38" i="3" s="1"/>
  <c r="L39" i="33"/>
  <c r="T39" i="3" s="1"/>
  <c r="L40" i="33"/>
  <c r="T40" i="3" s="1"/>
  <c r="L142" i="33"/>
  <c r="T146" i="3" s="1"/>
  <c r="L6" i="33"/>
  <c r="T6" i="3" s="1"/>
  <c r="J7" i="33"/>
  <c r="S7" i="3" s="1"/>
  <c r="J8" i="33"/>
  <c r="S8" i="3" s="1"/>
  <c r="J9" i="33"/>
  <c r="S9" i="3" s="1"/>
  <c r="J10" i="33"/>
  <c r="S10" i="3" s="1"/>
  <c r="J11" i="33"/>
  <c r="S11" i="3" s="1"/>
  <c r="J12" i="33"/>
  <c r="S12" i="3" s="1"/>
  <c r="J13" i="33"/>
  <c r="S13" i="3" s="1"/>
  <c r="J14" i="33"/>
  <c r="S14" i="3" s="1"/>
  <c r="J15" i="33"/>
  <c r="S15" i="3" s="1"/>
  <c r="J16" i="33"/>
  <c r="S16" i="3" s="1"/>
  <c r="J17" i="33"/>
  <c r="S17" i="3" s="1"/>
  <c r="J18" i="33"/>
  <c r="S18" i="3" s="1"/>
  <c r="J19" i="33"/>
  <c r="S19" i="3" s="1"/>
  <c r="J20" i="33"/>
  <c r="S20" i="3" s="1"/>
  <c r="J21" i="33"/>
  <c r="S21" i="3" s="1"/>
  <c r="J22" i="33"/>
  <c r="S22" i="3" s="1"/>
  <c r="J23" i="33"/>
  <c r="S23" i="3" s="1"/>
  <c r="J24" i="33"/>
  <c r="S24" i="3" s="1"/>
  <c r="J25" i="33"/>
  <c r="S25" i="3" s="1"/>
  <c r="J26" i="33"/>
  <c r="S26" i="3" s="1"/>
  <c r="J27" i="33"/>
  <c r="S27" i="3" s="1"/>
  <c r="J28" i="33"/>
  <c r="S28" i="3" s="1"/>
  <c r="J29" i="33"/>
  <c r="S29" i="3" s="1"/>
  <c r="J30" i="33"/>
  <c r="S30" i="3" s="1"/>
  <c r="J31" i="33"/>
  <c r="S31" i="3" s="1"/>
  <c r="J32" i="33"/>
  <c r="S32" i="3" s="1"/>
  <c r="J33" i="33"/>
  <c r="S33" i="3" s="1"/>
  <c r="J34" i="33"/>
  <c r="S34" i="3" s="1"/>
  <c r="J35" i="33"/>
  <c r="S35" i="3" s="1"/>
  <c r="J36" i="33"/>
  <c r="S36" i="3" s="1"/>
  <c r="J37" i="33"/>
  <c r="S37" i="3" s="1"/>
  <c r="J38" i="33"/>
  <c r="S38" i="3" s="1"/>
  <c r="J39" i="33"/>
  <c r="S39" i="3" s="1"/>
  <c r="J40" i="33"/>
  <c r="S40" i="3" s="1"/>
  <c r="J142" i="33"/>
  <c r="S146" i="3" s="1"/>
  <c r="J6" i="33"/>
  <c r="F117" i="34"/>
  <c r="G117" i="34"/>
  <c r="H117" i="34"/>
  <c r="I117" i="34"/>
  <c r="J117" i="34"/>
  <c r="K117" i="34"/>
  <c r="L117" i="34"/>
  <c r="M117" i="34"/>
  <c r="N117" i="34"/>
  <c r="O117" i="34"/>
  <c r="P117" i="34"/>
  <c r="E117" i="34"/>
  <c r="AA40" i="3" l="1"/>
  <c r="AA39" i="3"/>
  <c r="T118" i="3"/>
  <c r="S6" i="3"/>
  <c r="S118" i="3" s="1"/>
  <c r="J118" i="33"/>
  <c r="L118" i="33"/>
  <c r="T116" i="35"/>
  <c r="Q117" i="34"/>
  <c r="AA35" i="3"/>
  <c r="AA34" i="3"/>
  <c r="Q30" i="34"/>
  <c r="H31" i="33" s="1"/>
  <c r="W31" i="33" s="1"/>
  <c r="Q31" i="34"/>
  <c r="H32" i="33" s="1"/>
  <c r="W32" i="33" s="1"/>
  <c r="S32" i="33"/>
  <c r="S31" i="33"/>
  <c r="E31" i="20"/>
  <c r="E32" i="20"/>
  <c r="F32" i="33" s="1"/>
  <c r="F118" i="20"/>
  <c r="G118" i="20"/>
  <c r="H118" i="20"/>
  <c r="I118" i="20"/>
  <c r="J118" i="20"/>
  <c r="K118" i="20"/>
  <c r="L118" i="20"/>
  <c r="M118" i="20"/>
  <c r="N118" i="20"/>
  <c r="O118" i="20"/>
  <c r="P118" i="20"/>
  <c r="Q118" i="20"/>
  <c r="R118" i="20"/>
  <c r="T118" i="20"/>
  <c r="U118" i="20"/>
  <c r="V118" i="20"/>
  <c r="S31" i="20"/>
  <c r="G31" i="33" s="1"/>
  <c r="V31" i="3" s="1"/>
  <c r="S32" i="20"/>
  <c r="G32" i="33" s="1"/>
  <c r="V32" i="3" s="1"/>
  <c r="X32" i="20"/>
  <c r="X31" i="20"/>
  <c r="X32" i="3" l="1"/>
  <c r="W32" i="20"/>
  <c r="W31" i="20"/>
  <c r="F31" i="33"/>
  <c r="M32" i="33" l="1"/>
  <c r="O32" i="33" s="1"/>
  <c r="Q32" i="33" s="1"/>
  <c r="R32" i="33" s="1"/>
  <c r="T32" i="33" s="1"/>
  <c r="M51" i="33"/>
  <c r="O51" i="33" s="1"/>
  <c r="Q51" i="33" s="1"/>
  <c r="R51" i="33" s="1"/>
  <c r="T51" i="33" s="1"/>
  <c r="M50" i="33"/>
  <c r="M49" i="33"/>
  <c r="O49" i="33" s="1"/>
  <c r="Q49" i="33" s="1"/>
  <c r="R49" i="33" s="1"/>
  <c r="T49" i="33" s="1"/>
  <c r="M48" i="33"/>
  <c r="O48" i="33" s="1"/>
  <c r="Q48" i="33" s="1"/>
  <c r="R48" i="33" s="1"/>
  <c r="T48" i="33" s="1"/>
  <c r="M47" i="33"/>
  <c r="O47" i="33" s="1"/>
  <c r="Q47" i="33" s="1"/>
  <c r="R47" i="33" s="1"/>
  <c r="T47" i="33" s="1"/>
  <c r="M46" i="33"/>
  <c r="O46" i="33" s="1"/>
  <c r="Q46" i="33" s="1"/>
  <c r="R46" i="33" s="1"/>
  <c r="T46" i="33" s="1"/>
  <c r="M45" i="33"/>
  <c r="O45" i="33" s="1"/>
  <c r="Q45" i="33" s="1"/>
  <c r="R45" i="33" s="1"/>
  <c r="T45" i="33" s="1"/>
  <c r="M44" i="33"/>
  <c r="O44" i="33" s="1"/>
  <c r="Q44" i="33" s="1"/>
  <c r="R44" i="33" s="1"/>
  <c r="T44" i="33" s="1"/>
  <c r="M43" i="33"/>
  <c r="M42" i="33"/>
  <c r="O42" i="33" s="1"/>
  <c r="Q42" i="33" s="1"/>
  <c r="R42" i="33" s="1"/>
  <c r="T42" i="33" s="1"/>
  <c r="M41" i="33"/>
  <c r="O41" i="33" s="1"/>
  <c r="Q41" i="33" s="1"/>
  <c r="R41" i="33" s="1"/>
  <c r="T41" i="33" s="1"/>
  <c r="Q39" i="34"/>
  <c r="H40" i="33" s="1"/>
  <c r="W40" i="33" s="1"/>
  <c r="Q38" i="34"/>
  <c r="H39" i="33" s="1"/>
  <c r="W39" i="33" s="1"/>
  <c r="Q37" i="34"/>
  <c r="H38" i="33" s="1"/>
  <c r="W38" i="33" s="1"/>
  <c r="Q36" i="34"/>
  <c r="H37" i="33" s="1"/>
  <c r="W37" i="33" s="1"/>
  <c r="Q35" i="34"/>
  <c r="H36" i="33" s="1"/>
  <c r="W36" i="33" s="1"/>
  <c r="Q34" i="34"/>
  <c r="H35" i="33" s="1"/>
  <c r="W35" i="33" s="1"/>
  <c r="Q33" i="34"/>
  <c r="H34" i="33" s="1"/>
  <c r="W34" i="33" s="1"/>
  <c r="Q32" i="34"/>
  <c r="H33" i="33" s="1"/>
  <c r="W33" i="33" s="1"/>
  <c r="Q29" i="34"/>
  <c r="H30" i="33" s="1"/>
  <c r="W30" i="33" s="1"/>
  <c r="Q28" i="34"/>
  <c r="H29" i="33" s="1"/>
  <c r="W29" i="33" s="1"/>
  <c r="Q27" i="34"/>
  <c r="H28" i="33" s="1"/>
  <c r="W28" i="33" s="1"/>
  <c r="Q26" i="34"/>
  <c r="H27" i="33" s="1"/>
  <c r="W27" i="33" s="1"/>
  <c r="Q25" i="34"/>
  <c r="H26" i="33" s="1"/>
  <c r="W26" i="33" s="1"/>
  <c r="Q24" i="34"/>
  <c r="H25" i="33" s="1"/>
  <c r="W25" i="33" s="1"/>
  <c r="Q23" i="34"/>
  <c r="H24" i="33" s="1"/>
  <c r="W24" i="33" s="1"/>
  <c r="Q22" i="34"/>
  <c r="H23" i="33" s="1"/>
  <c r="W23" i="33" s="1"/>
  <c r="R21" i="34"/>
  <c r="Q21" i="34"/>
  <c r="H22" i="33" s="1"/>
  <c r="W22" i="33" s="1"/>
  <c r="R20" i="34"/>
  <c r="Q20" i="34"/>
  <c r="H21" i="33" s="1"/>
  <c r="W21" i="33" s="1"/>
  <c r="R19" i="34"/>
  <c r="Q19" i="34"/>
  <c r="H20" i="33" s="1"/>
  <c r="W20" i="33" s="1"/>
  <c r="Q18" i="34"/>
  <c r="H19" i="33" s="1"/>
  <c r="W19" i="33" s="1"/>
  <c r="R17" i="34"/>
  <c r="Q17" i="34"/>
  <c r="H18" i="33" s="1"/>
  <c r="W18" i="33" s="1"/>
  <c r="R16" i="34"/>
  <c r="Q16" i="34"/>
  <c r="H17" i="33" s="1"/>
  <c r="W17" i="33" s="1"/>
  <c r="Q15" i="34"/>
  <c r="H16" i="33" s="1"/>
  <c r="W16" i="33" s="1"/>
  <c r="R14" i="34"/>
  <c r="Q14" i="34"/>
  <c r="H15" i="33" s="1"/>
  <c r="W15" i="33" s="1"/>
  <c r="R13" i="34"/>
  <c r="Q13" i="34"/>
  <c r="H14" i="33" s="1"/>
  <c r="W14" i="33" s="1"/>
  <c r="R12" i="34"/>
  <c r="Q12" i="34"/>
  <c r="H13" i="33" s="1"/>
  <c r="W13" i="33" s="1"/>
  <c r="R11" i="34"/>
  <c r="Q11" i="34"/>
  <c r="H12" i="33" s="1"/>
  <c r="W12" i="33" s="1"/>
  <c r="R10" i="34"/>
  <c r="Q10" i="34"/>
  <c r="H11" i="33" s="1"/>
  <c r="W11" i="33" s="1"/>
  <c r="R9" i="34"/>
  <c r="Q9" i="34"/>
  <c r="H10" i="33" s="1"/>
  <c r="W10" i="33" s="1"/>
  <c r="R8" i="34"/>
  <c r="Q8" i="34"/>
  <c r="H9" i="33" s="1"/>
  <c r="W9" i="33" s="1"/>
  <c r="R7" i="34"/>
  <c r="Q7" i="34"/>
  <c r="H8" i="33" s="1"/>
  <c r="W8" i="33" s="1"/>
  <c r="R6" i="34"/>
  <c r="Q6" i="34"/>
  <c r="H7" i="33" s="1"/>
  <c r="W7" i="33" s="1"/>
  <c r="R121" i="34"/>
  <c r="Q121" i="34"/>
  <c r="R5" i="34"/>
  <c r="Q5" i="34"/>
  <c r="H6" i="33" s="1"/>
  <c r="L137" i="33"/>
  <c r="J137" i="33"/>
  <c r="H137" i="33"/>
  <c r="G137" i="33"/>
  <c r="F137" i="33"/>
  <c r="E137" i="33"/>
  <c r="S137" i="33" s="1"/>
  <c r="D137" i="33"/>
  <c r="C137" i="33"/>
  <c r="L136" i="33"/>
  <c r="J136" i="33"/>
  <c r="H136" i="33"/>
  <c r="G136" i="33"/>
  <c r="F136" i="33"/>
  <c r="N136" i="33" s="1"/>
  <c r="E136" i="33"/>
  <c r="D136" i="33"/>
  <c r="C136" i="33"/>
  <c r="L135" i="33"/>
  <c r="J135" i="33"/>
  <c r="H135" i="33"/>
  <c r="G135" i="33"/>
  <c r="F135" i="33"/>
  <c r="P135" i="33" s="1"/>
  <c r="E135" i="33"/>
  <c r="S135" i="33" s="1"/>
  <c r="D135" i="33"/>
  <c r="C135" i="33"/>
  <c r="L134" i="33"/>
  <c r="J134" i="33"/>
  <c r="H134" i="33"/>
  <c r="G134" i="33"/>
  <c r="F134" i="33"/>
  <c r="I134" i="33" s="1"/>
  <c r="E134" i="33"/>
  <c r="D134" i="33"/>
  <c r="C134" i="33"/>
  <c r="L133" i="33"/>
  <c r="J133" i="33"/>
  <c r="H133" i="33"/>
  <c r="G133" i="33"/>
  <c r="F133" i="33"/>
  <c r="P133" i="33" s="1"/>
  <c r="E133" i="33"/>
  <c r="S133" i="33" s="1"/>
  <c r="D133" i="33"/>
  <c r="C133" i="33"/>
  <c r="L132" i="33"/>
  <c r="J132" i="33"/>
  <c r="H132" i="33"/>
  <c r="G132" i="33"/>
  <c r="F132" i="33"/>
  <c r="E132" i="33"/>
  <c r="D132" i="33"/>
  <c r="C132" i="33"/>
  <c r="L131" i="33"/>
  <c r="J131" i="33"/>
  <c r="H131" i="33"/>
  <c r="G131" i="33"/>
  <c r="F131" i="33"/>
  <c r="E131" i="33"/>
  <c r="S131" i="33" s="1"/>
  <c r="D131" i="33"/>
  <c r="C131" i="33"/>
  <c r="L130" i="33"/>
  <c r="J130" i="33"/>
  <c r="H130" i="33"/>
  <c r="G130" i="33"/>
  <c r="F130" i="33"/>
  <c r="I130" i="33" s="1"/>
  <c r="E130" i="33"/>
  <c r="D130" i="33"/>
  <c r="C130" i="33"/>
  <c r="L129" i="33"/>
  <c r="J129" i="33"/>
  <c r="H129" i="33"/>
  <c r="G129" i="33"/>
  <c r="F129" i="33"/>
  <c r="E129" i="33"/>
  <c r="D129" i="33"/>
  <c r="C129" i="33"/>
  <c r="L128" i="33"/>
  <c r="J128" i="33"/>
  <c r="H128" i="33"/>
  <c r="G128" i="33"/>
  <c r="F128" i="33"/>
  <c r="I128" i="33" s="1"/>
  <c r="E128" i="33"/>
  <c r="D128" i="33"/>
  <c r="C128" i="33"/>
  <c r="L127" i="33"/>
  <c r="J127" i="33"/>
  <c r="H127" i="33"/>
  <c r="G127" i="33"/>
  <c r="F127" i="33"/>
  <c r="E127" i="33"/>
  <c r="D127" i="33"/>
  <c r="C127" i="33"/>
  <c r="L126" i="33"/>
  <c r="J126" i="33"/>
  <c r="H126" i="33"/>
  <c r="G126" i="33"/>
  <c r="F126" i="33"/>
  <c r="I126" i="33" s="1"/>
  <c r="E126" i="33"/>
  <c r="S126" i="33" s="1"/>
  <c r="D126" i="33"/>
  <c r="C126" i="33"/>
  <c r="L125" i="33"/>
  <c r="J125" i="33"/>
  <c r="H125" i="33"/>
  <c r="G125" i="33"/>
  <c r="F125" i="33"/>
  <c r="E125" i="33"/>
  <c r="D125" i="33"/>
  <c r="C125" i="33"/>
  <c r="L124" i="33"/>
  <c r="J124" i="33"/>
  <c r="H124" i="33"/>
  <c r="G124" i="33"/>
  <c r="F124" i="33"/>
  <c r="E124" i="33"/>
  <c r="S124" i="33" s="1"/>
  <c r="D124" i="33"/>
  <c r="C124" i="33"/>
  <c r="L123" i="33"/>
  <c r="J123" i="33"/>
  <c r="H123" i="33"/>
  <c r="G123" i="33"/>
  <c r="F123" i="33"/>
  <c r="E123" i="33"/>
  <c r="S123" i="33" s="1"/>
  <c r="D123" i="33"/>
  <c r="C123" i="33"/>
  <c r="L122" i="33"/>
  <c r="J122" i="33"/>
  <c r="H122" i="33"/>
  <c r="G122" i="33"/>
  <c r="F122" i="33"/>
  <c r="P122" i="33" s="1"/>
  <c r="E122" i="33"/>
  <c r="D122" i="33"/>
  <c r="C122" i="33"/>
  <c r="L121" i="33"/>
  <c r="J121" i="33"/>
  <c r="H121" i="33"/>
  <c r="G121" i="33"/>
  <c r="F121" i="33"/>
  <c r="P121" i="33" s="1"/>
  <c r="E121" i="33"/>
  <c r="D121" i="33"/>
  <c r="C121" i="33"/>
  <c r="L120" i="33"/>
  <c r="J120" i="33"/>
  <c r="H120" i="33"/>
  <c r="G120" i="33"/>
  <c r="F120" i="33"/>
  <c r="N120" i="33" s="1"/>
  <c r="E120" i="33"/>
  <c r="D120" i="33"/>
  <c r="C120" i="33"/>
  <c r="S10" i="33"/>
  <c r="O43" i="33" l="1"/>
  <c r="Q43" i="33" s="1"/>
  <c r="R43" i="33" s="1"/>
  <c r="T43" i="33" s="1"/>
  <c r="O50" i="33"/>
  <c r="Q50" i="33" s="1"/>
  <c r="R50" i="33" s="1"/>
  <c r="T50" i="33" s="1"/>
  <c r="M52" i="33"/>
  <c r="O52" i="33" s="1"/>
  <c r="Q52" i="33" s="1"/>
  <c r="R52" i="33" s="1"/>
  <c r="T52" i="33" s="1"/>
  <c r="X31" i="3"/>
  <c r="M31" i="33"/>
  <c r="O31" i="33" s="1"/>
  <c r="Q31" i="33" s="1"/>
  <c r="R31" i="33" s="1"/>
  <c r="T31" i="33" s="1"/>
  <c r="H142" i="33"/>
  <c r="W142" i="33" s="1"/>
  <c r="S18" i="33"/>
  <c r="S21" i="33"/>
  <c r="S9" i="33"/>
  <c r="N128" i="33"/>
  <c r="S6" i="33"/>
  <c r="S25" i="33"/>
  <c r="S33" i="33"/>
  <c r="I120" i="33"/>
  <c r="M120" i="33" s="1"/>
  <c r="S14" i="33"/>
  <c r="I121" i="33"/>
  <c r="M121" i="33" s="1"/>
  <c r="O121" i="33" s="1"/>
  <c r="N122" i="33"/>
  <c r="N126" i="33"/>
  <c r="I136" i="33"/>
  <c r="M136" i="33" s="1"/>
  <c r="I122" i="33"/>
  <c r="M122" i="33" s="1"/>
  <c r="S12" i="33"/>
  <c r="S24" i="33"/>
  <c r="S28" i="33"/>
  <c r="S17" i="33"/>
  <c r="S20" i="33"/>
  <c r="S26" i="33"/>
  <c r="S30" i="33"/>
  <c r="S37" i="33"/>
  <c r="S39" i="33"/>
  <c r="N121" i="33"/>
  <c r="P123" i="33"/>
  <c r="S125" i="33"/>
  <c r="S127" i="33"/>
  <c r="S129" i="33"/>
  <c r="S132" i="33"/>
  <c r="S134" i="33"/>
  <c r="S36" i="33"/>
  <c r="S120" i="33"/>
  <c r="U128" i="33"/>
  <c r="P131" i="33"/>
  <c r="S142" i="33"/>
  <c r="S13" i="33"/>
  <c r="S16" i="33"/>
  <c r="S22" i="33"/>
  <c r="S34" i="33"/>
  <c r="P125" i="33"/>
  <c r="P127" i="33"/>
  <c r="P129" i="33"/>
  <c r="N134" i="33"/>
  <c r="S11" i="33"/>
  <c r="S15" i="33"/>
  <c r="S19" i="33"/>
  <c r="S23" i="33"/>
  <c r="S27" i="33"/>
  <c r="S29" i="33"/>
  <c r="S7" i="33"/>
  <c r="S40" i="33"/>
  <c r="S8" i="33"/>
  <c r="S35" i="33"/>
  <c r="S38" i="33"/>
  <c r="P132" i="33"/>
  <c r="I132" i="33"/>
  <c r="U132" i="33" s="1"/>
  <c r="N132" i="33"/>
  <c r="P124" i="33"/>
  <c r="I124" i="33"/>
  <c r="U124" i="33" s="1"/>
  <c r="N124" i="33"/>
  <c r="S121" i="33"/>
  <c r="S130" i="33"/>
  <c r="U126" i="33"/>
  <c r="P130" i="33"/>
  <c r="U134" i="33"/>
  <c r="P120" i="33"/>
  <c r="P128" i="33"/>
  <c r="P136" i="33"/>
  <c r="S122" i="33"/>
  <c r="P126" i="33"/>
  <c r="S128" i="33"/>
  <c r="U130" i="33"/>
  <c r="N130" i="33"/>
  <c r="P134" i="33"/>
  <c r="S136" i="33"/>
  <c r="I123" i="33"/>
  <c r="U123" i="33" s="1"/>
  <c r="N123" i="33"/>
  <c r="I125" i="33"/>
  <c r="M125" i="33" s="1"/>
  <c r="N125" i="33"/>
  <c r="I127" i="33"/>
  <c r="M127" i="33" s="1"/>
  <c r="N127" i="33"/>
  <c r="I129" i="33"/>
  <c r="U129" i="33" s="1"/>
  <c r="N129" i="33"/>
  <c r="I131" i="33"/>
  <c r="U131" i="33" s="1"/>
  <c r="N131" i="33"/>
  <c r="I133" i="33"/>
  <c r="U133" i="33" s="1"/>
  <c r="N133" i="33"/>
  <c r="I135" i="33"/>
  <c r="M135" i="33" s="1"/>
  <c r="N135" i="33"/>
  <c r="P137" i="33"/>
  <c r="M126" i="33"/>
  <c r="M128" i="33"/>
  <c r="M130" i="33"/>
  <c r="M134" i="33"/>
  <c r="N137" i="33"/>
  <c r="I137" i="33"/>
  <c r="M137" i="33" s="1"/>
  <c r="X40" i="20"/>
  <c r="S40" i="20"/>
  <c r="E40" i="20"/>
  <c r="X39" i="20"/>
  <c r="S39" i="20"/>
  <c r="E39" i="20"/>
  <c r="X38" i="20"/>
  <c r="S38" i="20"/>
  <c r="G38" i="33" s="1"/>
  <c r="V38" i="3" s="1"/>
  <c r="E38" i="20"/>
  <c r="X37" i="20"/>
  <c r="S37" i="20"/>
  <c r="E37" i="20"/>
  <c r="X36" i="20"/>
  <c r="S36" i="20"/>
  <c r="E36" i="20"/>
  <c r="X35" i="20"/>
  <c r="S35" i="20"/>
  <c r="E35" i="20"/>
  <c r="F35" i="33" s="1"/>
  <c r="X34" i="20"/>
  <c r="S34" i="20"/>
  <c r="E34" i="20"/>
  <c r="X33" i="20"/>
  <c r="S33" i="20"/>
  <c r="E33" i="20"/>
  <c r="F33" i="33" s="1"/>
  <c r="X30" i="20"/>
  <c r="S30" i="20"/>
  <c r="E30" i="20"/>
  <c r="X29" i="20"/>
  <c r="S29" i="20"/>
  <c r="E29" i="20"/>
  <c r="X28" i="20"/>
  <c r="S28" i="20"/>
  <c r="E28" i="20"/>
  <c r="F28" i="33" s="1"/>
  <c r="X27" i="20"/>
  <c r="S27" i="20"/>
  <c r="E27" i="20"/>
  <c r="X26" i="20"/>
  <c r="S26" i="20"/>
  <c r="E26" i="20"/>
  <c r="X25" i="20"/>
  <c r="S25" i="20"/>
  <c r="E25" i="20"/>
  <c r="X24" i="20"/>
  <c r="S24" i="20"/>
  <c r="E24" i="20"/>
  <c r="X23" i="20"/>
  <c r="S23" i="20"/>
  <c r="E23" i="20"/>
  <c r="X22" i="20"/>
  <c r="S22" i="20"/>
  <c r="E22" i="20"/>
  <c r="X21" i="20"/>
  <c r="S21" i="20"/>
  <c r="E21" i="20"/>
  <c r="X20" i="20"/>
  <c r="S20" i="20"/>
  <c r="E20" i="20"/>
  <c r="X19" i="20"/>
  <c r="S19" i="20"/>
  <c r="W19" i="20" s="1"/>
  <c r="E19" i="20"/>
  <c r="X18" i="20"/>
  <c r="S18" i="20"/>
  <c r="E18" i="20"/>
  <c r="F18" i="33" s="1"/>
  <c r="X17" i="20"/>
  <c r="S17" i="20"/>
  <c r="E17" i="20"/>
  <c r="X16" i="20"/>
  <c r="S16" i="20"/>
  <c r="E16" i="20"/>
  <c r="X15" i="20"/>
  <c r="S15" i="20"/>
  <c r="E15" i="20"/>
  <c r="X14" i="20"/>
  <c r="S14" i="20"/>
  <c r="E14" i="20"/>
  <c r="X13" i="20"/>
  <c r="S13" i="20"/>
  <c r="E13" i="20"/>
  <c r="X12" i="20"/>
  <c r="S12" i="20"/>
  <c r="E12" i="20"/>
  <c r="X11" i="20"/>
  <c r="S11" i="20"/>
  <c r="E11" i="20"/>
  <c r="X10" i="20"/>
  <c r="S10" i="20"/>
  <c r="E10" i="20"/>
  <c r="X9" i="20"/>
  <c r="S9" i="20"/>
  <c r="W9" i="20" s="1"/>
  <c r="E9" i="20"/>
  <c r="X8" i="20"/>
  <c r="S8" i="20"/>
  <c r="E8" i="20"/>
  <c r="F8" i="33" s="1"/>
  <c r="X7" i="20"/>
  <c r="S7" i="20"/>
  <c r="E7" i="20"/>
  <c r="F7" i="33" s="1"/>
  <c r="X122" i="20"/>
  <c r="S122" i="20"/>
  <c r="E122" i="20"/>
  <c r="X6" i="20"/>
  <c r="G6" i="33"/>
  <c r="E6" i="20"/>
  <c r="F6" i="33" s="1"/>
  <c r="S118" i="33" l="1"/>
  <c r="V6" i="3"/>
  <c r="H118" i="33"/>
  <c r="X28" i="3"/>
  <c r="X35" i="3"/>
  <c r="X18" i="3"/>
  <c r="X7" i="3"/>
  <c r="X8" i="3"/>
  <c r="F17" i="33"/>
  <c r="F25" i="33"/>
  <c r="F11" i="33"/>
  <c r="F15" i="33"/>
  <c r="F19" i="33"/>
  <c r="F23" i="33"/>
  <c r="F27" i="33"/>
  <c r="F29" i="33"/>
  <c r="F38" i="33"/>
  <c r="S118" i="20"/>
  <c r="F9" i="33"/>
  <c r="F10" i="33"/>
  <c r="F14" i="33"/>
  <c r="F22" i="33"/>
  <c r="F26" i="33"/>
  <c r="F34" i="33"/>
  <c r="F37" i="33"/>
  <c r="F13" i="33"/>
  <c r="F21" i="33"/>
  <c r="F40" i="33"/>
  <c r="X118" i="20"/>
  <c r="F12" i="33"/>
  <c r="F16" i="33"/>
  <c r="F20" i="33"/>
  <c r="F24" i="33"/>
  <c r="F30" i="33"/>
  <c r="F36" i="33"/>
  <c r="F39" i="33"/>
  <c r="F142" i="33"/>
  <c r="E118" i="20"/>
  <c r="U136" i="33"/>
  <c r="W39" i="20"/>
  <c r="Y39" i="20" s="1"/>
  <c r="G39" i="33"/>
  <c r="V39" i="3" s="1"/>
  <c r="W28" i="20"/>
  <c r="Y28" i="20" s="1"/>
  <c r="G28" i="33"/>
  <c r="V28" i="3" s="1"/>
  <c r="W38" i="20"/>
  <c r="Y38" i="20" s="1"/>
  <c r="W40" i="20"/>
  <c r="Y40" i="20" s="1"/>
  <c r="G40" i="33"/>
  <c r="V40" i="3" s="1"/>
  <c r="Q121" i="33"/>
  <c r="R121" i="33" s="1"/>
  <c r="T121" i="33" s="1"/>
  <c r="W37" i="20"/>
  <c r="Y37" i="20" s="1"/>
  <c r="G37" i="33"/>
  <c r="V37" i="3" s="1"/>
  <c r="Z30" i="20"/>
  <c r="G30" i="33"/>
  <c r="V30" i="3" s="1"/>
  <c r="Z29" i="20"/>
  <c r="G29" i="33"/>
  <c r="V29" i="3" s="1"/>
  <c r="W36" i="20"/>
  <c r="Y36" i="20" s="1"/>
  <c r="G36" i="33"/>
  <c r="V36" i="3" s="1"/>
  <c r="Z35" i="20"/>
  <c r="G35" i="33"/>
  <c r="V35" i="3" s="1"/>
  <c r="W34" i="20"/>
  <c r="Y34" i="20" s="1"/>
  <c r="G34" i="33"/>
  <c r="V34" i="3" s="1"/>
  <c r="W35" i="20"/>
  <c r="Y35" i="20" s="1"/>
  <c r="Z33" i="20"/>
  <c r="G33" i="33"/>
  <c r="V33" i="3" s="1"/>
  <c r="Z27" i="20"/>
  <c r="G27" i="33"/>
  <c r="V27" i="3" s="1"/>
  <c r="W26" i="20"/>
  <c r="Y26" i="20" s="1"/>
  <c r="G26" i="33"/>
  <c r="V26" i="3" s="1"/>
  <c r="W24" i="20"/>
  <c r="Y24" i="20" s="1"/>
  <c r="G24" i="33"/>
  <c r="V24" i="3" s="1"/>
  <c r="Z23" i="20"/>
  <c r="G23" i="33"/>
  <c r="V23" i="3" s="1"/>
  <c r="W22" i="20"/>
  <c r="Y22" i="20" s="1"/>
  <c r="G22" i="33"/>
  <c r="V22" i="3" s="1"/>
  <c r="Z25" i="20"/>
  <c r="G25" i="33"/>
  <c r="V25" i="3" s="1"/>
  <c r="W25" i="20"/>
  <c r="Y25" i="20" s="1"/>
  <c r="W16" i="20"/>
  <c r="Y16" i="20" s="1"/>
  <c r="G16" i="33"/>
  <c r="V16" i="3" s="1"/>
  <c r="Z15" i="20"/>
  <c r="G15" i="33"/>
  <c r="V15" i="3" s="1"/>
  <c r="W20" i="20"/>
  <c r="Y20" i="20" s="1"/>
  <c r="G20" i="33"/>
  <c r="V20" i="3" s="1"/>
  <c r="W18" i="20"/>
  <c r="Y18" i="20" s="1"/>
  <c r="G18" i="33"/>
  <c r="V18" i="3" s="1"/>
  <c r="Z17" i="20"/>
  <c r="G17" i="33"/>
  <c r="V17" i="3" s="1"/>
  <c r="Z21" i="20"/>
  <c r="G21" i="33"/>
  <c r="V21" i="3" s="1"/>
  <c r="Z19" i="20"/>
  <c r="G19" i="33"/>
  <c r="V19" i="3" s="1"/>
  <c r="Z7" i="20"/>
  <c r="G7" i="33"/>
  <c r="W12" i="20"/>
  <c r="Y12" i="20" s="1"/>
  <c r="G12" i="33"/>
  <c r="V12" i="3" s="1"/>
  <c r="Z11" i="20"/>
  <c r="G11" i="33"/>
  <c r="V11" i="3" s="1"/>
  <c r="Z9" i="20"/>
  <c r="G9" i="33"/>
  <c r="V9" i="3" s="1"/>
  <c r="W10" i="20"/>
  <c r="Y10" i="20" s="1"/>
  <c r="G10" i="33"/>
  <c r="V10" i="3" s="1"/>
  <c r="W14" i="20"/>
  <c r="Y14" i="20" s="1"/>
  <c r="G14" i="33"/>
  <c r="V14" i="3" s="1"/>
  <c r="Z122" i="20"/>
  <c r="AB122" i="20" s="1"/>
  <c r="G142" i="33"/>
  <c r="V146" i="3" s="1"/>
  <c r="W8" i="20"/>
  <c r="Y8" i="20" s="1"/>
  <c r="G8" i="33"/>
  <c r="V8" i="3" s="1"/>
  <c r="Z13" i="20"/>
  <c r="G13" i="33"/>
  <c r="V13" i="3" s="1"/>
  <c r="W17" i="20"/>
  <c r="Y17" i="20" s="1"/>
  <c r="W33" i="20"/>
  <c r="Y33" i="20" s="1"/>
  <c r="W11" i="20"/>
  <c r="Y11" i="20" s="1"/>
  <c r="W27" i="20"/>
  <c r="Y27" i="20" s="1"/>
  <c r="Y19" i="20"/>
  <c r="W122" i="20"/>
  <c r="Y9" i="20"/>
  <c r="W23" i="20"/>
  <c r="Y23" i="20" s="1"/>
  <c r="W29" i="20"/>
  <c r="Y29" i="20" s="1"/>
  <c r="W13" i="20"/>
  <c r="Y13" i="20" s="1"/>
  <c r="W21" i="20"/>
  <c r="Y21" i="20" s="1"/>
  <c r="W7" i="20"/>
  <c r="Y7" i="20" s="1"/>
  <c r="W15" i="20"/>
  <c r="Y15" i="20" s="1"/>
  <c r="M124" i="33"/>
  <c r="O124" i="33" s="1"/>
  <c r="Q124" i="33" s="1"/>
  <c r="R124" i="33" s="1"/>
  <c r="T124" i="33" s="1"/>
  <c r="U125" i="33"/>
  <c r="M133" i="33"/>
  <c r="O133" i="33" s="1"/>
  <c r="Q133" i="33" s="1"/>
  <c r="R133" i="33" s="1"/>
  <c r="T133" i="33" s="1"/>
  <c r="O122" i="33"/>
  <c r="Q122" i="33" s="1"/>
  <c r="R122" i="33" s="1"/>
  <c r="T122" i="33" s="1"/>
  <c r="M129" i="33"/>
  <c r="O129" i="33" s="1"/>
  <c r="Q129" i="33" s="1"/>
  <c r="R129" i="33" s="1"/>
  <c r="T129" i="33" s="1"/>
  <c r="U137" i="33"/>
  <c r="M132" i="33"/>
  <c r="O132" i="33" s="1"/>
  <c r="Q132" i="33" s="1"/>
  <c r="R132" i="33" s="1"/>
  <c r="T132" i="33" s="1"/>
  <c r="O137" i="33"/>
  <c r="Q137" i="33" s="1"/>
  <c r="R137" i="33" s="1"/>
  <c r="T137" i="33" s="1"/>
  <c r="O125" i="33"/>
  <c r="Q125" i="33" s="1"/>
  <c r="R125" i="33" s="1"/>
  <c r="T125" i="33" s="1"/>
  <c r="O135" i="33"/>
  <c r="Q135" i="33" s="1"/>
  <c r="R135" i="33" s="1"/>
  <c r="T135" i="33" s="1"/>
  <c r="O127" i="33"/>
  <c r="Q127" i="33" s="1"/>
  <c r="R127" i="33" s="1"/>
  <c r="T127" i="33" s="1"/>
  <c r="O126" i="33"/>
  <c r="Q126" i="33" s="1"/>
  <c r="R126" i="33" s="1"/>
  <c r="T126" i="33" s="1"/>
  <c r="U135" i="33"/>
  <c r="O136" i="33"/>
  <c r="Q136" i="33" s="1"/>
  <c r="R136" i="33" s="1"/>
  <c r="T136" i="33" s="1"/>
  <c r="O128" i="33"/>
  <c r="Q128" i="33" s="1"/>
  <c r="R128" i="33" s="1"/>
  <c r="T128" i="33" s="1"/>
  <c r="O120" i="33"/>
  <c r="Q120" i="33" s="1"/>
  <c r="R120" i="33" s="1"/>
  <c r="T120" i="33" s="1"/>
  <c r="U127" i="33"/>
  <c r="O134" i="33"/>
  <c r="Q134" i="33" s="1"/>
  <c r="R134" i="33" s="1"/>
  <c r="T134" i="33" s="1"/>
  <c r="M123" i="33"/>
  <c r="O130" i="33"/>
  <c r="Q130" i="33" s="1"/>
  <c r="R130" i="33" s="1"/>
  <c r="T130" i="33" s="1"/>
  <c r="M131" i="33"/>
  <c r="Z8" i="20"/>
  <c r="Z10" i="20"/>
  <c r="Z12" i="20"/>
  <c r="Z14" i="20"/>
  <c r="Z16" i="20"/>
  <c r="Z18" i="20"/>
  <c r="Z20" i="20"/>
  <c r="Z22" i="20"/>
  <c r="Z24" i="20"/>
  <c r="Z26" i="20"/>
  <c r="Z28" i="20"/>
  <c r="Z34" i="20"/>
  <c r="Z36" i="20"/>
  <c r="W30" i="20"/>
  <c r="Y30" i="20" s="1"/>
  <c r="W6" i="20"/>
  <c r="Z37" i="20"/>
  <c r="Z6" i="20"/>
  <c r="V118" i="3" l="1"/>
  <c r="AB35" i="3"/>
  <c r="V8" i="33"/>
  <c r="F118" i="33"/>
  <c r="W6" i="33"/>
  <c r="X6" i="3" s="1"/>
  <c r="G118" i="33"/>
  <c r="V33" i="33"/>
  <c r="U38" i="33"/>
  <c r="X39" i="3"/>
  <c r="AB39" i="3" s="1"/>
  <c r="X36" i="3"/>
  <c r="X37" i="3"/>
  <c r="U40" i="33"/>
  <c r="U30" i="33"/>
  <c r="X29" i="3"/>
  <c r="X27" i="3"/>
  <c r="X23" i="3"/>
  <c r="X24" i="3"/>
  <c r="X21" i="3"/>
  <c r="U22" i="33"/>
  <c r="X20" i="3"/>
  <c r="X15" i="3"/>
  <c r="U26" i="33"/>
  <c r="X25" i="3"/>
  <c r="X19" i="3"/>
  <c r="X17" i="3"/>
  <c r="X16" i="3"/>
  <c r="X146" i="3"/>
  <c r="X10" i="3"/>
  <c r="X11" i="3"/>
  <c r="X13" i="3"/>
  <c r="M14" i="33"/>
  <c r="O14" i="33" s="1"/>
  <c r="X12" i="3"/>
  <c r="V6" i="33"/>
  <c r="U116" i="33"/>
  <c r="V18" i="33"/>
  <c r="U18" i="33"/>
  <c r="Y122" i="20"/>
  <c r="W118" i="20"/>
  <c r="U33" i="33"/>
  <c r="X33" i="3"/>
  <c r="M35" i="33"/>
  <c r="O35" i="33" s="1"/>
  <c r="Q35" i="33" s="1"/>
  <c r="R35" i="33" s="1"/>
  <c r="T35" i="33" s="1"/>
  <c r="M6" i="33"/>
  <c r="U6" i="33"/>
  <c r="V7" i="33"/>
  <c r="V28" i="33"/>
  <c r="M28" i="33"/>
  <c r="O28" i="33" s="1"/>
  <c r="Q28" i="33" s="1"/>
  <c r="R28" i="33" s="1"/>
  <c r="T28" i="33" s="1"/>
  <c r="U28" i="33"/>
  <c r="U35" i="33"/>
  <c r="V35" i="33"/>
  <c r="M33" i="33"/>
  <c r="O33" i="33" s="1"/>
  <c r="Q33" i="33" s="1"/>
  <c r="R33" i="33" s="1"/>
  <c r="T33" i="33" s="1"/>
  <c r="M18" i="33"/>
  <c r="O18" i="33" s="1"/>
  <c r="Q18" i="33" s="1"/>
  <c r="R18" i="33" s="1"/>
  <c r="T18" i="33" s="1"/>
  <c r="U8" i="33"/>
  <c r="U7" i="33"/>
  <c r="M8" i="33"/>
  <c r="O8" i="33" s="1"/>
  <c r="Q8" i="33" s="1"/>
  <c r="R8" i="33" s="1"/>
  <c r="T8" i="33" s="1"/>
  <c r="M7" i="33"/>
  <c r="O7" i="33" s="1"/>
  <c r="Q7" i="33" s="1"/>
  <c r="R7" i="33" s="1"/>
  <c r="T7" i="33" s="1"/>
  <c r="O123" i="33"/>
  <c r="Q123" i="33" s="1"/>
  <c r="R123" i="33" s="1"/>
  <c r="T123" i="33" s="1"/>
  <c r="O131" i="33"/>
  <c r="Q131" i="33" s="1"/>
  <c r="R131" i="33" s="1"/>
  <c r="T131" i="33" s="1"/>
  <c r="Y6" i="20"/>
  <c r="I118" i="33" l="1"/>
  <c r="U39" i="33"/>
  <c r="P118" i="33"/>
  <c r="N118" i="33"/>
  <c r="O6" i="33"/>
  <c r="Q6" i="33" s="1"/>
  <c r="V15" i="33"/>
  <c r="X40" i="3"/>
  <c r="V19" i="33"/>
  <c r="V30" i="33"/>
  <c r="V11" i="33"/>
  <c r="V16" i="33"/>
  <c r="V26" i="33"/>
  <c r="V21" i="33"/>
  <c r="V29" i="33"/>
  <c r="U25" i="33"/>
  <c r="V9" i="33"/>
  <c r="V14" i="33"/>
  <c r="V22" i="33"/>
  <c r="M22" i="33"/>
  <c r="O22" i="33" s="1"/>
  <c r="Q22" i="33" s="1"/>
  <c r="R22" i="33" s="1"/>
  <c r="T22" i="33" s="1"/>
  <c r="M40" i="33"/>
  <c r="O40" i="33" s="1"/>
  <c r="Q40" i="33" s="1"/>
  <c r="R40" i="33" s="1"/>
  <c r="T40" i="33" s="1"/>
  <c r="V10" i="33"/>
  <c r="V37" i="33"/>
  <c r="V36" i="33"/>
  <c r="M24" i="33"/>
  <c r="O24" i="33" s="1"/>
  <c r="Q24" i="33" s="1"/>
  <c r="R24" i="33" s="1"/>
  <c r="T24" i="33" s="1"/>
  <c r="U24" i="33"/>
  <c r="V12" i="33"/>
  <c r="V13" i="33"/>
  <c r="V20" i="33"/>
  <c r="M39" i="33"/>
  <c r="O39" i="33" s="1"/>
  <c r="Q39" i="33" s="1"/>
  <c r="R39" i="33" s="1"/>
  <c r="T39" i="33" s="1"/>
  <c r="M25" i="33"/>
  <c r="O25" i="33" s="1"/>
  <c r="Q25" i="33" s="1"/>
  <c r="R25" i="33" s="1"/>
  <c r="T25" i="33" s="1"/>
  <c r="X22" i="3"/>
  <c r="AC39" i="3"/>
  <c r="AE39" i="3" s="1"/>
  <c r="AG39" i="3" s="1"/>
  <c r="AH39" i="3" s="1"/>
  <c r="U36" i="33"/>
  <c r="U15" i="33"/>
  <c r="V25" i="33"/>
  <c r="M34" i="33"/>
  <c r="O34" i="33" s="1"/>
  <c r="Q34" i="33" s="1"/>
  <c r="R34" i="33" s="1"/>
  <c r="T34" i="33" s="1"/>
  <c r="M12" i="33"/>
  <c r="O12" i="33" s="1"/>
  <c r="Q12" i="33" s="1"/>
  <c r="R12" i="33" s="1"/>
  <c r="T12" i="33" s="1"/>
  <c r="U34" i="33"/>
  <c r="U12" i="33"/>
  <c r="Y118" i="20"/>
  <c r="U21" i="33"/>
  <c r="U23" i="33"/>
  <c r="U115" i="33"/>
  <c r="U10" i="33"/>
  <c r="M30" i="33"/>
  <c r="O30" i="33" s="1"/>
  <c r="Q30" i="33" s="1"/>
  <c r="R30" i="33" s="1"/>
  <c r="T30" i="33" s="1"/>
  <c r="X38" i="3"/>
  <c r="V34" i="33"/>
  <c r="V24" i="33"/>
  <c r="M17" i="33"/>
  <c r="O17" i="33" s="1"/>
  <c r="Q17" i="33" s="1"/>
  <c r="R17" i="33" s="1"/>
  <c r="T17" i="33" s="1"/>
  <c r="M21" i="33"/>
  <c r="O21" i="33" s="1"/>
  <c r="Q21" i="33" s="1"/>
  <c r="R21" i="33" s="1"/>
  <c r="T21" i="33" s="1"/>
  <c r="U117" i="33"/>
  <c r="M23" i="33"/>
  <c r="O23" i="33" s="1"/>
  <c r="Q23" i="33" s="1"/>
  <c r="R23" i="33" s="1"/>
  <c r="T23" i="33" s="1"/>
  <c r="U16" i="33"/>
  <c r="X30" i="3"/>
  <c r="M19" i="33"/>
  <c r="O19" i="33" s="1"/>
  <c r="Q19" i="33" s="1"/>
  <c r="R19" i="33" s="1"/>
  <c r="T19" i="33" s="1"/>
  <c r="X14" i="3"/>
  <c r="X34" i="3"/>
  <c r="M10" i="33"/>
  <c r="O10" i="33" s="1"/>
  <c r="Q10" i="33" s="1"/>
  <c r="R10" i="33" s="1"/>
  <c r="T10" i="33" s="1"/>
  <c r="U13" i="33"/>
  <c r="M26" i="33"/>
  <c r="O26" i="33" s="1"/>
  <c r="Q26" i="33" s="1"/>
  <c r="R26" i="33" s="1"/>
  <c r="T26" i="33" s="1"/>
  <c r="M29" i="33"/>
  <c r="O29" i="33" s="1"/>
  <c r="Q29" i="33" s="1"/>
  <c r="R29" i="33" s="1"/>
  <c r="T29" i="33" s="1"/>
  <c r="M27" i="33"/>
  <c r="O27" i="33" s="1"/>
  <c r="Q27" i="33" s="1"/>
  <c r="R27" i="33" s="1"/>
  <c r="T27" i="33" s="1"/>
  <c r="Q14" i="33"/>
  <c r="R14" i="33" s="1"/>
  <c r="T14" i="33" s="1"/>
  <c r="M13" i="33"/>
  <c r="O13" i="33" s="1"/>
  <c r="Q13" i="33" s="1"/>
  <c r="R13" i="33" s="1"/>
  <c r="T13" i="33" s="1"/>
  <c r="M15" i="33"/>
  <c r="O15" i="33" s="1"/>
  <c r="Q15" i="33" s="1"/>
  <c r="R15" i="33" s="1"/>
  <c r="T15" i="33" s="1"/>
  <c r="U19" i="33"/>
  <c r="U29" i="33"/>
  <c r="U27" i="33"/>
  <c r="M36" i="33"/>
  <c r="O36" i="33" s="1"/>
  <c r="Q36" i="33" s="1"/>
  <c r="R36" i="33" s="1"/>
  <c r="T36" i="33" s="1"/>
  <c r="U114" i="33"/>
  <c r="U11" i="33"/>
  <c r="V27" i="33"/>
  <c r="V23" i="33"/>
  <c r="M11" i="33"/>
  <c r="O11" i="33" s="1"/>
  <c r="Q11" i="33" s="1"/>
  <c r="R11" i="33" s="1"/>
  <c r="T11" i="33" s="1"/>
  <c r="X26" i="3"/>
  <c r="V17" i="33"/>
  <c r="M16" i="33"/>
  <c r="O16" i="33" s="1"/>
  <c r="Q16" i="33" s="1"/>
  <c r="R16" i="33" s="1"/>
  <c r="T16" i="33" s="1"/>
  <c r="U17" i="33"/>
  <c r="X9" i="3"/>
  <c r="U9" i="33"/>
  <c r="M142" i="33"/>
  <c r="O142" i="33" s="1"/>
  <c r="Q142" i="33" s="1"/>
  <c r="R142" i="33" s="1"/>
  <c r="T142" i="33" s="1"/>
  <c r="U14" i="33"/>
  <c r="M9" i="33"/>
  <c r="O9" i="33" s="1"/>
  <c r="Q9" i="33" s="1"/>
  <c r="R9" i="33" s="1"/>
  <c r="T9" i="33" s="1"/>
  <c r="U142" i="33"/>
  <c r="U37" i="33"/>
  <c r="M37" i="33"/>
  <c r="O37" i="33" s="1"/>
  <c r="Q37" i="33" s="1"/>
  <c r="R37" i="33" s="1"/>
  <c r="T37" i="33" s="1"/>
  <c r="U20" i="33"/>
  <c r="M20" i="33"/>
  <c r="O20" i="33" s="1"/>
  <c r="Q20" i="33" s="1"/>
  <c r="R20" i="33" s="1"/>
  <c r="T20" i="33" s="1"/>
  <c r="M38" i="33"/>
  <c r="O38" i="33" s="1"/>
  <c r="Q38" i="33" s="1"/>
  <c r="R38" i="33" s="1"/>
  <c r="T38" i="33" s="1"/>
  <c r="V142" i="33"/>
  <c r="AC35" i="3"/>
  <c r="AE35" i="3" s="1"/>
  <c r="AG35" i="3" s="1"/>
  <c r="AI39" i="3" l="1"/>
  <c r="AM39" i="3" s="1"/>
  <c r="AK39" i="3"/>
  <c r="X118" i="3"/>
  <c r="AB34" i="3"/>
  <c r="AC34" i="3" s="1"/>
  <c r="AE34" i="3" s="1"/>
  <c r="AB40" i="3"/>
  <c r="AC40" i="3" s="1"/>
  <c r="AE40" i="3" s="1"/>
  <c r="AG40" i="3" s="1"/>
  <c r="AH40" i="3" s="1"/>
  <c r="M118" i="33"/>
  <c r="Q118" i="33"/>
  <c r="O118" i="33"/>
  <c r="AH35" i="3"/>
  <c r="R6" i="33"/>
  <c r="R118" i="33" s="1"/>
  <c r="AI40" i="3" l="1"/>
  <c r="AM40" i="3" s="1"/>
  <c r="AK40" i="3"/>
  <c r="AG34" i="3"/>
  <c r="AH34" i="3" s="1"/>
  <c r="AK34" i="3" s="1"/>
  <c r="AI35" i="3"/>
  <c r="AM35" i="3" s="1"/>
  <c r="AK35" i="3"/>
  <c r="T6" i="33"/>
  <c r="T118" i="33" s="1"/>
  <c r="AI34" i="3" l="1"/>
  <c r="AM34" i="3" s="1"/>
  <c r="AE10" i="9"/>
  <c r="AL52" i="28" l="1"/>
  <c r="AP37" i="29"/>
  <c r="AP38" i="29"/>
  <c r="AO52" i="28"/>
  <c r="AO53" i="28"/>
  <c r="AO54" i="28"/>
  <c r="AO52" i="27"/>
  <c r="AC7" i="9" l="1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6" i="9"/>
  <c r="J83" i="29" l="1"/>
  <c r="AF52" i="29"/>
  <c r="AC51" i="29"/>
  <c r="AE50" i="29"/>
  <c r="AD50" i="29"/>
  <c r="AC50" i="29"/>
  <c r="AB50" i="29"/>
  <c r="AA50" i="29"/>
  <c r="Z50" i="29"/>
  <c r="Y50" i="29"/>
  <c r="W50" i="29"/>
  <c r="S50" i="29"/>
  <c r="R50" i="29"/>
  <c r="Q50" i="29"/>
  <c r="P50" i="29"/>
  <c r="O50" i="29"/>
  <c r="N50" i="29"/>
  <c r="AM49" i="29"/>
  <c r="AF49" i="29"/>
  <c r="J49" i="29"/>
  <c r="AM48" i="29"/>
  <c r="AF48" i="29"/>
  <c r="J48" i="29"/>
  <c r="AM47" i="29"/>
  <c r="AF47" i="29"/>
  <c r="J47" i="29"/>
  <c r="AM46" i="29"/>
  <c r="AF46" i="29"/>
  <c r="J46" i="29"/>
  <c r="AM45" i="29"/>
  <c r="AF45" i="29"/>
  <c r="J45" i="29"/>
  <c r="AG45" i="29" s="1"/>
  <c r="AM44" i="29"/>
  <c r="AF44" i="29"/>
  <c r="J44" i="29"/>
  <c r="AM43" i="29"/>
  <c r="AN43" i="29" s="1"/>
  <c r="AF43" i="29"/>
  <c r="J43" i="29"/>
  <c r="AG43" i="29" s="1"/>
  <c r="AH43" i="29" s="1"/>
  <c r="AJ43" i="29" s="1"/>
  <c r="AM42" i="29"/>
  <c r="AF42" i="29"/>
  <c r="J42" i="29"/>
  <c r="AM41" i="29"/>
  <c r="AF41" i="29"/>
  <c r="J41" i="29"/>
  <c r="AG41" i="29" s="1"/>
  <c r="AM40" i="29"/>
  <c r="AF40" i="29"/>
  <c r="J40" i="29"/>
  <c r="AM39" i="29"/>
  <c r="AN39" i="29" s="1"/>
  <c r="AF39" i="29"/>
  <c r="J39" i="29"/>
  <c r="AL38" i="29"/>
  <c r="M38" i="29"/>
  <c r="L38" i="29"/>
  <c r="K38" i="29"/>
  <c r="J38" i="29"/>
  <c r="AL37" i="29"/>
  <c r="M37" i="29"/>
  <c r="L37" i="29"/>
  <c r="K37" i="29"/>
  <c r="J37" i="29"/>
  <c r="AL36" i="29"/>
  <c r="X36" i="29"/>
  <c r="V36" i="29"/>
  <c r="U36" i="29"/>
  <c r="T36" i="29"/>
  <c r="M36" i="29"/>
  <c r="L36" i="29"/>
  <c r="K36" i="29"/>
  <c r="J36" i="29"/>
  <c r="AL35" i="29"/>
  <c r="X35" i="29"/>
  <c r="V35" i="29"/>
  <c r="U35" i="29"/>
  <c r="T35" i="29"/>
  <c r="M35" i="29"/>
  <c r="L35" i="29"/>
  <c r="K35" i="29"/>
  <c r="J35" i="29"/>
  <c r="AL34" i="29"/>
  <c r="X34" i="29"/>
  <c r="V34" i="29"/>
  <c r="U34" i="29"/>
  <c r="T34" i="29"/>
  <c r="M34" i="29"/>
  <c r="L34" i="29"/>
  <c r="K34" i="29"/>
  <c r="J34" i="29"/>
  <c r="AL33" i="29"/>
  <c r="X33" i="29"/>
  <c r="V33" i="29"/>
  <c r="U33" i="29"/>
  <c r="T33" i="29"/>
  <c r="M33" i="29"/>
  <c r="L33" i="29"/>
  <c r="K33" i="29"/>
  <c r="J33" i="29"/>
  <c r="AL32" i="29"/>
  <c r="X32" i="29"/>
  <c r="V32" i="29"/>
  <c r="T32" i="29"/>
  <c r="M32" i="29"/>
  <c r="L32" i="29"/>
  <c r="K32" i="29"/>
  <c r="J32" i="29"/>
  <c r="AL31" i="29"/>
  <c r="X31" i="29"/>
  <c r="V31" i="29"/>
  <c r="T31" i="29"/>
  <c r="M31" i="29"/>
  <c r="L31" i="29"/>
  <c r="K31" i="29"/>
  <c r="J31" i="29"/>
  <c r="AL30" i="29"/>
  <c r="X30" i="29"/>
  <c r="V30" i="29"/>
  <c r="T30" i="29"/>
  <c r="M30" i="29"/>
  <c r="L30" i="29"/>
  <c r="K30" i="29"/>
  <c r="J30" i="29"/>
  <c r="AL29" i="29"/>
  <c r="X29" i="29"/>
  <c r="V29" i="29"/>
  <c r="T29" i="29"/>
  <c r="M29" i="29"/>
  <c r="L29" i="29"/>
  <c r="K29" i="29"/>
  <c r="J29" i="29"/>
  <c r="AL28" i="29"/>
  <c r="X28" i="29"/>
  <c r="V28" i="29"/>
  <c r="T28" i="29"/>
  <c r="M28" i="29"/>
  <c r="L28" i="29"/>
  <c r="K28" i="29"/>
  <c r="J28" i="29"/>
  <c r="AL27" i="29"/>
  <c r="X27" i="29"/>
  <c r="V27" i="29"/>
  <c r="T27" i="29"/>
  <c r="M27" i="29"/>
  <c r="L27" i="29"/>
  <c r="K27" i="29"/>
  <c r="J27" i="29"/>
  <c r="AL26" i="29"/>
  <c r="X26" i="29"/>
  <c r="V26" i="29"/>
  <c r="T26" i="29"/>
  <c r="M26" i="29"/>
  <c r="L26" i="29"/>
  <c r="K26" i="29"/>
  <c r="J26" i="29"/>
  <c r="AL25" i="29"/>
  <c r="X25" i="29"/>
  <c r="V25" i="29"/>
  <c r="T25" i="29"/>
  <c r="M25" i="29"/>
  <c r="L25" i="29"/>
  <c r="K25" i="29"/>
  <c r="J25" i="29"/>
  <c r="AL24" i="29"/>
  <c r="X24" i="29"/>
  <c r="V24" i="29"/>
  <c r="T24" i="29"/>
  <c r="M24" i="29"/>
  <c r="L24" i="29"/>
  <c r="K24" i="29"/>
  <c r="J24" i="29"/>
  <c r="AL23" i="29"/>
  <c r="X23" i="29"/>
  <c r="V23" i="29"/>
  <c r="T23" i="29"/>
  <c r="M23" i="29"/>
  <c r="L23" i="29"/>
  <c r="K23" i="29"/>
  <c r="J23" i="29"/>
  <c r="AL22" i="29"/>
  <c r="X22" i="29"/>
  <c r="V22" i="29"/>
  <c r="T22" i="29"/>
  <c r="M22" i="29"/>
  <c r="L22" i="29"/>
  <c r="K22" i="29"/>
  <c r="J22" i="29"/>
  <c r="AL21" i="29"/>
  <c r="X21" i="29"/>
  <c r="V21" i="29"/>
  <c r="T21" i="29"/>
  <c r="M21" i="29"/>
  <c r="L21" i="29"/>
  <c r="K21" i="29"/>
  <c r="J21" i="29"/>
  <c r="AL20" i="29"/>
  <c r="X20" i="29"/>
  <c r="V20" i="29"/>
  <c r="T20" i="29"/>
  <c r="M20" i="29"/>
  <c r="L20" i="29"/>
  <c r="K20" i="29"/>
  <c r="J20" i="29"/>
  <c r="AL19" i="29"/>
  <c r="X19" i="29"/>
  <c r="V19" i="29"/>
  <c r="T19" i="29"/>
  <c r="M19" i="29"/>
  <c r="L19" i="29"/>
  <c r="K19" i="29"/>
  <c r="J19" i="29"/>
  <c r="AL18" i="29"/>
  <c r="X18" i="29"/>
  <c r="V18" i="29"/>
  <c r="T18" i="29"/>
  <c r="M18" i="29"/>
  <c r="L18" i="29"/>
  <c r="K18" i="29"/>
  <c r="J18" i="29"/>
  <c r="AL17" i="29"/>
  <c r="X17" i="29"/>
  <c r="V17" i="29"/>
  <c r="T17" i="29"/>
  <c r="M17" i="29"/>
  <c r="L17" i="29"/>
  <c r="K17" i="29"/>
  <c r="J17" i="29"/>
  <c r="AL16" i="29"/>
  <c r="X16" i="29"/>
  <c r="V16" i="29"/>
  <c r="T16" i="29"/>
  <c r="M16" i="29"/>
  <c r="L16" i="29"/>
  <c r="K16" i="29"/>
  <c r="J16" i="29"/>
  <c r="AL15" i="29"/>
  <c r="X15" i="29"/>
  <c r="V15" i="29"/>
  <c r="T15" i="29"/>
  <c r="M15" i="29"/>
  <c r="L15" i="29"/>
  <c r="K15" i="29"/>
  <c r="J15" i="29"/>
  <c r="AL14" i="29"/>
  <c r="X14" i="29"/>
  <c r="V14" i="29"/>
  <c r="T14" i="29"/>
  <c r="M14" i="29"/>
  <c r="L14" i="29"/>
  <c r="K14" i="29"/>
  <c r="J14" i="29"/>
  <c r="AL13" i="29"/>
  <c r="X13" i="29"/>
  <c r="V13" i="29"/>
  <c r="T13" i="29"/>
  <c r="M13" i="29"/>
  <c r="L13" i="29"/>
  <c r="K13" i="29"/>
  <c r="J13" i="29"/>
  <c r="AL12" i="29"/>
  <c r="X12" i="29"/>
  <c r="V12" i="29"/>
  <c r="T12" i="29"/>
  <c r="M12" i="29"/>
  <c r="L12" i="29"/>
  <c r="K12" i="29"/>
  <c r="J12" i="29"/>
  <c r="AL11" i="29"/>
  <c r="X11" i="29"/>
  <c r="V11" i="29"/>
  <c r="T11" i="29"/>
  <c r="M11" i="29"/>
  <c r="L11" i="29"/>
  <c r="K11" i="29"/>
  <c r="J11" i="29"/>
  <c r="AL10" i="29"/>
  <c r="X10" i="29"/>
  <c r="V10" i="29"/>
  <c r="T10" i="29"/>
  <c r="M10" i="29"/>
  <c r="L10" i="29"/>
  <c r="K10" i="29"/>
  <c r="J10" i="29"/>
  <c r="AL9" i="29"/>
  <c r="X9" i="29"/>
  <c r="V9" i="29"/>
  <c r="T9" i="29"/>
  <c r="M9" i="29"/>
  <c r="L9" i="29"/>
  <c r="K9" i="29"/>
  <c r="J9" i="29"/>
  <c r="AL8" i="29"/>
  <c r="X8" i="29"/>
  <c r="V8" i="29"/>
  <c r="T8" i="29"/>
  <c r="M8" i="29"/>
  <c r="L8" i="29"/>
  <c r="K8" i="29"/>
  <c r="J8" i="29"/>
  <c r="AL7" i="29"/>
  <c r="X7" i="29"/>
  <c r="V7" i="29"/>
  <c r="U7" i="29"/>
  <c r="T7" i="29"/>
  <c r="M7" i="29"/>
  <c r="L7" i="29"/>
  <c r="K7" i="29"/>
  <c r="J7" i="29"/>
  <c r="AL6" i="29"/>
  <c r="X6" i="29"/>
  <c r="V6" i="29"/>
  <c r="U6" i="29"/>
  <c r="T6" i="29"/>
  <c r="M6" i="29"/>
  <c r="L6" i="29"/>
  <c r="J6" i="29"/>
  <c r="AM18" i="29" l="1"/>
  <c r="AM23" i="29"/>
  <c r="AM28" i="29"/>
  <c r="AP25" i="29"/>
  <c r="AP26" i="29"/>
  <c r="AP27" i="29"/>
  <c r="AP28" i="29"/>
  <c r="AP29" i="29"/>
  <c r="AP30" i="29"/>
  <c r="AP31" i="29"/>
  <c r="AP32" i="29"/>
  <c r="AP33" i="29"/>
  <c r="AM35" i="29"/>
  <c r="AM37" i="29"/>
  <c r="AM36" i="29"/>
  <c r="AF37" i="29"/>
  <c r="AO37" i="29" s="1"/>
  <c r="AG44" i="29"/>
  <c r="AH44" i="29" s="1"/>
  <c r="AJ44" i="29" s="1"/>
  <c r="AG48" i="29"/>
  <c r="AH48" i="29" s="1"/>
  <c r="AP6" i="29"/>
  <c r="AM6" i="29"/>
  <c r="AM19" i="29"/>
  <c r="AM24" i="29"/>
  <c r="AM30" i="29"/>
  <c r="AN44" i="29"/>
  <c r="AN47" i="29"/>
  <c r="AP7" i="29"/>
  <c r="AM12" i="29"/>
  <c r="AM15" i="29"/>
  <c r="AF28" i="29"/>
  <c r="AG28" i="29" s="1"/>
  <c r="AP34" i="29"/>
  <c r="AF7" i="29"/>
  <c r="AO7" i="29" s="1"/>
  <c r="AP8" i="29"/>
  <c r="AP9" i="29"/>
  <c r="AP10" i="29"/>
  <c r="AP11" i="29"/>
  <c r="AP12" i="29"/>
  <c r="AP13" i="29"/>
  <c r="AP14" i="29"/>
  <c r="AP15" i="29"/>
  <c r="AP16" i="29"/>
  <c r="AP17" i="29"/>
  <c r="AP18" i="29"/>
  <c r="AP19" i="29"/>
  <c r="AM33" i="29"/>
  <c r="AF34" i="29"/>
  <c r="AO34" i="29" s="1"/>
  <c r="AP35" i="29"/>
  <c r="AM7" i="29"/>
  <c r="AF16" i="29"/>
  <c r="AO16" i="29" s="1"/>
  <c r="AP20" i="29"/>
  <c r="AP21" i="29"/>
  <c r="AP22" i="29"/>
  <c r="AP23" i="29"/>
  <c r="AP24" i="29"/>
  <c r="AM31" i="29"/>
  <c r="AF32" i="29"/>
  <c r="AO32" i="29" s="1"/>
  <c r="AM32" i="29"/>
  <c r="AN32" i="29" s="1"/>
  <c r="AP36" i="29"/>
  <c r="AG46" i="29"/>
  <c r="AH46" i="29" s="1"/>
  <c r="AJ46" i="29" s="1"/>
  <c r="AN41" i="29"/>
  <c r="AG49" i="29"/>
  <c r="AH49" i="29" s="1"/>
  <c r="AN40" i="29"/>
  <c r="AG42" i="29"/>
  <c r="AH42" i="29" s="1"/>
  <c r="AJ42" i="29" s="1"/>
  <c r="AN49" i="29"/>
  <c r="AF10" i="29"/>
  <c r="AM14" i="29"/>
  <c r="AF17" i="29"/>
  <c r="AO17" i="29" s="1"/>
  <c r="AM20" i="29"/>
  <c r="AM25" i="29"/>
  <c r="AF31" i="29"/>
  <c r="AM34" i="29"/>
  <c r="AM38" i="29"/>
  <c r="AG47" i="29"/>
  <c r="AH47" i="29" s="1"/>
  <c r="AJ47" i="29" s="1"/>
  <c r="AF8" i="29"/>
  <c r="AG8" i="29" s="1"/>
  <c r="AH8" i="29" s="1"/>
  <c r="AJ8" i="29" s="1"/>
  <c r="AF9" i="29"/>
  <c r="AG9" i="29" s="1"/>
  <c r="AH9" i="29" s="1"/>
  <c r="AJ9" i="29" s="1"/>
  <c r="AM11" i="29"/>
  <c r="AM16" i="29"/>
  <c r="AN16" i="29" s="1"/>
  <c r="AM17" i="29"/>
  <c r="AF18" i="29"/>
  <c r="AO18" i="29" s="1"/>
  <c r="AF20" i="29"/>
  <c r="AF21" i="29"/>
  <c r="AO21" i="29" s="1"/>
  <c r="AF23" i="29"/>
  <c r="AO23" i="29" s="1"/>
  <c r="AF25" i="29"/>
  <c r="AG25" i="29" s="1"/>
  <c r="AF26" i="29"/>
  <c r="AO26" i="29" s="1"/>
  <c r="AF27" i="29"/>
  <c r="AG27" i="29" s="1"/>
  <c r="AM27" i="29"/>
  <c r="AG39" i="29"/>
  <c r="AH39" i="29" s="1"/>
  <c r="AJ39" i="29" s="1"/>
  <c r="AG40" i="29"/>
  <c r="AH40" i="29" s="1"/>
  <c r="AJ40" i="29" s="1"/>
  <c r="AN45" i="29"/>
  <c r="AN46" i="29"/>
  <c r="AN48" i="29"/>
  <c r="AG31" i="29"/>
  <c r="V50" i="29"/>
  <c r="AF12" i="29"/>
  <c r="AF13" i="29"/>
  <c r="AO13" i="29" s="1"/>
  <c r="AF14" i="29"/>
  <c r="AO14" i="29" s="1"/>
  <c r="AF22" i="29"/>
  <c r="AO22" i="29" s="1"/>
  <c r="AM9" i="29"/>
  <c r="AM10" i="29"/>
  <c r="AF15" i="29"/>
  <c r="AO15" i="29" s="1"/>
  <c r="AF33" i="29"/>
  <c r="AO33" i="29" s="1"/>
  <c r="AF35" i="29"/>
  <c r="AO35" i="29" s="1"/>
  <c r="AF38" i="29"/>
  <c r="AO38" i="29" s="1"/>
  <c r="AN42" i="29"/>
  <c r="AM8" i="29"/>
  <c r="AN8" i="29" s="1"/>
  <c r="AF30" i="29"/>
  <c r="L50" i="29"/>
  <c r="AF6" i="29"/>
  <c r="AN6" i="29" s="1"/>
  <c r="AM13" i="29"/>
  <c r="AF19" i="29"/>
  <c r="AM22" i="29"/>
  <c r="AF29" i="29"/>
  <c r="AG29" i="29" s="1"/>
  <c r="M50" i="29"/>
  <c r="X50" i="29"/>
  <c r="AL50" i="29"/>
  <c r="AG37" i="29"/>
  <c r="AH37" i="29" s="1"/>
  <c r="U50" i="29"/>
  <c r="AM21" i="29"/>
  <c r="AN23" i="29"/>
  <c r="AF11" i="29"/>
  <c r="K50" i="29"/>
  <c r="T50" i="29"/>
  <c r="AM29" i="29"/>
  <c r="AF36" i="29"/>
  <c r="AH41" i="29"/>
  <c r="AJ41" i="29" s="1"/>
  <c r="AH45" i="29"/>
  <c r="AJ45" i="29" s="1"/>
  <c r="AF24" i="29"/>
  <c r="AM26" i="29"/>
  <c r="AN34" i="29" l="1"/>
  <c r="AN37" i="29"/>
  <c r="AG22" i="29"/>
  <c r="AH22" i="29" s="1"/>
  <c r="AJ22" i="29" s="1"/>
  <c r="AG16" i="29"/>
  <c r="AH16" i="29" s="1"/>
  <c r="AJ16" i="29" s="1"/>
  <c r="AG26" i="29"/>
  <c r="AH26" i="29" s="1"/>
  <c r="AJ26" i="29" s="1"/>
  <c r="AN29" i="29"/>
  <c r="AG14" i="29"/>
  <c r="AH14" i="29" s="1"/>
  <c r="AJ14" i="29" s="1"/>
  <c r="AG23" i="29"/>
  <c r="AH23" i="29" s="1"/>
  <c r="AJ23" i="29" s="1"/>
  <c r="AN25" i="29"/>
  <c r="AN22" i="29"/>
  <c r="AN33" i="29"/>
  <c r="AG38" i="29"/>
  <c r="AH38" i="29" s="1"/>
  <c r="AG33" i="29"/>
  <c r="AH33" i="29" s="1"/>
  <c r="AJ33" i="29" s="1"/>
  <c r="AG17" i="29"/>
  <c r="AH17" i="29" s="1"/>
  <c r="AJ17" i="29" s="1"/>
  <c r="AG18" i="29"/>
  <c r="AH18" i="29" s="1"/>
  <c r="AJ18" i="29" s="1"/>
  <c r="AH28" i="29"/>
  <c r="AJ28" i="29" s="1"/>
  <c r="AN18" i="29"/>
  <c r="AO9" i="29"/>
  <c r="AN9" i="29"/>
  <c r="AN7" i="29"/>
  <c r="AN28" i="29"/>
  <c r="AO28" i="29"/>
  <c r="AG32" i="29"/>
  <c r="AH32" i="29" s="1"/>
  <c r="AO10" i="29"/>
  <c r="AG10" i="29"/>
  <c r="AH10" i="29" s="1"/>
  <c r="AJ10" i="29" s="1"/>
  <c r="AN11" i="29"/>
  <c r="AH27" i="29"/>
  <c r="AJ27" i="29" s="1"/>
  <c r="AG21" i="29"/>
  <c r="AH21" i="29" s="1"/>
  <c r="AJ21" i="29" s="1"/>
  <c r="AO27" i="29"/>
  <c r="AN27" i="29"/>
  <c r="AG7" i="29"/>
  <c r="AH7" i="29" s="1"/>
  <c r="AJ7" i="29" s="1"/>
  <c r="AN10" i="29"/>
  <c r="AN17" i="29"/>
  <c r="AN31" i="29"/>
  <c r="AN14" i="29"/>
  <c r="AN35" i="29"/>
  <c r="AG34" i="29"/>
  <c r="AH34" i="29" s="1"/>
  <c r="AJ34" i="29" s="1"/>
  <c r="AO12" i="29"/>
  <c r="AN12" i="29"/>
  <c r="AG15" i="29"/>
  <c r="AH15" i="29" s="1"/>
  <c r="AJ15" i="29" s="1"/>
  <c r="AN21" i="29"/>
  <c r="AN13" i="29"/>
  <c r="AG13" i="29"/>
  <c r="AH13" i="29" s="1"/>
  <c r="AJ13" i="29" s="1"/>
  <c r="AO8" i="29"/>
  <c r="AO20" i="29"/>
  <c r="AN38" i="29"/>
  <c r="AN20" i="29"/>
  <c r="AN26" i="29"/>
  <c r="AO25" i="29"/>
  <c r="AH25" i="29"/>
  <c r="AJ25" i="29" s="1"/>
  <c r="AG20" i="29"/>
  <c r="AH20" i="29" s="1"/>
  <c r="AJ20" i="29" s="1"/>
  <c r="AG35" i="29"/>
  <c r="AH35" i="29" s="1"/>
  <c r="AJ35" i="29" s="1"/>
  <c r="AO31" i="29"/>
  <c r="AH31" i="29"/>
  <c r="AG12" i="29"/>
  <c r="AH12" i="29" s="1"/>
  <c r="AJ12" i="29" s="1"/>
  <c r="AN15" i="29"/>
  <c r="AO19" i="29"/>
  <c r="AN19" i="29"/>
  <c r="AG19" i="29"/>
  <c r="AH19" i="29" s="1"/>
  <c r="AJ19" i="29" s="1"/>
  <c r="AM50" i="29"/>
  <c r="AO30" i="29"/>
  <c r="AN30" i="29"/>
  <c r="AF50" i="29"/>
  <c r="AF51" i="29" s="1"/>
  <c r="AF53" i="29" s="1"/>
  <c r="AO6" i="29"/>
  <c r="AG6" i="29"/>
  <c r="AO24" i="29"/>
  <c r="AN24" i="29"/>
  <c r="AG24" i="29"/>
  <c r="AH24" i="29" s="1"/>
  <c r="AJ24" i="29" s="1"/>
  <c r="AO36" i="29"/>
  <c r="AG36" i="29"/>
  <c r="AH36" i="29"/>
  <c r="AJ36" i="29" s="1"/>
  <c r="AO11" i="29"/>
  <c r="AG11" i="29"/>
  <c r="AH11" i="29" s="1"/>
  <c r="AJ11" i="29" s="1"/>
  <c r="AN36" i="29"/>
  <c r="AH29" i="29"/>
  <c r="AO29" i="29"/>
  <c r="AG30" i="29"/>
  <c r="AH30" i="29" s="1"/>
  <c r="AG50" i="29" l="1"/>
  <c r="AO39" i="29"/>
  <c r="AH6" i="29"/>
  <c r="AH50" i="29" l="1"/>
  <c r="AJ6" i="29"/>
  <c r="J90" i="28" l="1"/>
  <c r="AF61" i="28"/>
  <c r="M61" i="28"/>
  <c r="AH60" i="28"/>
  <c r="AE59" i="28"/>
  <c r="AD59" i="28"/>
  <c r="AC59" i="28"/>
  <c r="AB59" i="28"/>
  <c r="AA59" i="28"/>
  <c r="Z59" i="28"/>
  <c r="Y59" i="28"/>
  <c r="W59" i="28"/>
  <c r="S59" i="28"/>
  <c r="R59" i="28"/>
  <c r="Q59" i="28"/>
  <c r="P59" i="28"/>
  <c r="O59" i="28"/>
  <c r="N59" i="28"/>
  <c r="K59" i="28"/>
  <c r="AM58" i="28"/>
  <c r="AJ58" i="28"/>
  <c r="AM57" i="28"/>
  <c r="AF57" i="28"/>
  <c r="J57" i="28"/>
  <c r="AM56" i="28"/>
  <c r="AF56" i="28"/>
  <c r="J56" i="28"/>
  <c r="AM55" i="28"/>
  <c r="AF55" i="28"/>
  <c r="J55" i="28"/>
  <c r="AG55" i="28" s="1"/>
  <c r="AM54" i="28"/>
  <c r="AF54" i="28"/>
  <c r="AP54" i="28" s="1"/>
  <c r="J54" i="28"/>
  <c r="AL53" i="28"/>
  <c r="M53" i="28"/>
  <c r="L53" i="28"/>
  <c r="J53" i="28"/>
  <c r="M52" i="28"/>
  <c r="L52" i="28"/>
  <c r="J52" i="28"/>
  <c r="AL51" i="28"/>
  <c r="X51" i="28"/>
  <c r="T51" i="28"/>
  <c r="M51" i="28"/>
  <c r="L51" i="28"/>
  <c r="J51" i="28"/>
  <c r="AL50" i="28"/>
  <c r="X50" i="28"/>
  <c r="T50" i="28"/>
  <c r="M50" i="28"/>
  <c r="L50" i="28"/>
  <c r="J50" i="28"/>
  <c r="AL49" i="28"/>
  <c r="X49" i="28"/>
  <c r="T49" i="28"/>
  <c r="M49" i="28"/>
  <c r="L49" i="28"/>
  <c r="J49" i="28"/>
  <c r="AL48" i="28"/>
  <c r="X48" i="28"/>
  <c r="T48" i="28"/>
  <c r="M48" i="28"/>
  <c r="L48" i="28"/>
  <c r="J48" i="28"/>
  <c r="AL47" i="28"/>
  <c r="X47" i="28"/>
  <c r="T47" i="28"/>
  <c r="M47" i="28"/>
  <c r="L47" i="28"/>
  <c r="J47" i="28"/>
  <c r="AL46" i="28"/>
  <c r="X46" i="28"/>
  <c r="V46" i="28"/>
  <c r="U46" i="28"/>
  <c r="T46" i="28"/>
  <c r="M46" i="28"/>
  <c r="L46" i="28"/>
  <c r="J46" i="28"/>
  <c r="AL45" i="28"/>
  <c r="X45" i="28"/>
  <c r="V45" i="28"/>
  <c r="U45" i="28"/>
  <c r="T45" i="28"/>
  <c r="M45" i="28"/>
  <c r="L45" i="28"/>
  <c r="J45" i="28"/>
  <c r="AL44" i="28"/>
  <c r="X44" i="28"/>
  <c r="V44" i="28"/>
  <c r="U44" i="28"/>
  <c r="T44" i="28"/>
  <c r="M44" i="28"/>
  <c r="L44" i="28"/>
  <c r="J44" i="28"/>
  <c r="AL43" i="28"/>
  <c r="X43" i="28"/>
  <c r="V43" i="28"/>
  <c r="U43" i="28"/>
  <c r="T43" i="28"/>
  <c r="M43" i="28"/>
  <c r="L43" i="28"/>
  <c r="J43" i="28"/>
  <c r="AL42" i="28"/>
  <c r="X42" i="28"/>
  <c r="V42" i="28"/>
  <c r="T42" i="28"/>
  <c r="M42" i="28"/>
  <c r="L42" i="28"/>
  <c r="J42" i="28"/>
  <c r="AL41" i="28"/>
  <c r="X41" i="28"/>
  <c r="V41" i="28"/>
  <c r="T41" i="28"/>
  <c r="M41" i="28"/>
  <c r="L41" i="28"/>
  <c r="J41" i="28"/>
  <c r="AL40" i="28"/>
  <c r="X40" i="28"/>
  <c r="V40" i="28"/>
  <c r="T40" i="28"/>
  <c r="M40" i="28"/>
  <c r="L40" i="28"/>
  <c r="J40" i="28"/>
  <c r="AL39" i="28"/>
  <c r="X39" i="28"/>
  <c r="V39" i="28"/>
  <c r="T39" i="28"/>
  <c r="M39" i="28"/>
  <c r="AM39" i="28" s="1"/>
  <c r="L39" i="28"/>
  <c r="J39" i="28"/>
  <c r="AL38" i="28"/>
  <c r="X38" i="28"/>
  <c r="V38" i="28"/>
  <c r="T38" i="28"/>
  <c r="M38" i="28"/>
  <c r="L38" i="28"/>
  <c r="J38" i="28"/>
  <c r="AL37" i="28"/>
  <c r="X37" i="28"/>
  <c r="V37" i="28"/>
  <c r="T37" i="28"/>
  <c r="M37" i="28"/>
  <c r="L37" i="28"/>
  <c r="J37" i="28"/>
  <c r="AL36" i="28"/>
  <c r="X36" i="28"/>
  <c r="V36" i="28"/>
  <c r="T36" i="28"/>
  <c r="M36" i="28"/>
  <c r="L36" i="28"/>
  <c r="J36" i="28"/>
  <c r="AL35" i="28"/>
  <c r="X35" i="28"/>
  <c r="V35" i="28"/>
  <c r="T35" i="28"/>
  <c r="M35" i="28"/>
  <c r="L35" i="28"/>
  <c r="J35" i="28"/>
  <c r="AL34" i="28"/>
  <c r="X34" i="28"/>
  <c r="V34" i="28"/>
  <c r="T34" i="28"/>
  <c r="M34" i="28"/>
  <c r="L34" i="28"/>
  <c r="J34" i="28"/>
  <c r="AL33" i="28"/>
  <c r="X33" i="28"/>
  <c r="V33" i="28"/>
  <c r="T33" i="28"/>
  <c r="M33" i="28"/>
  <c r="L33" i="28"/>
  <c r="J33" i="28"/>
  <c r="AL32" i="28"/>
  <c r="X32" i="28"/>
  <c r="V32" i="28"/>
  <c r="T32" i="28"/>
  <c r="M32" i="28"/>
  <c r="L32" i="28"/>
  <c r="J32" i="28"/>
  <c r="AL31" i="28"/>
  <c r="X31" i="28"/>
  <c r="V31" i="28"/>
  <c r="T31" i="28"/>
  <c r="M31" i="28"/>
  <c r="L31" i="28"/>
  <c r="J31" i="28"/>
  <c r="AL30" i="28"/>
  <c r="X30" i="28"/>
  <c r="V30" i="28"/>
  <c r="T30" i="28"/>
  <c r="M30" i="28"/>
  <c r="L30" i="28"/>
  <c r="J30" i="28"/>
  <c r="AL29" i="28"/>
  <c r="X29" i="28"/>
  <c r="V29" i="28"/>
  <c r="T29" i="28"/>
  <c r="M29" i="28"/>
  <c r="L29" i="28"/>
  <c r="J29" i="28"/>
  <c r="AL28" i="28"/>
  <c r="X28" i="28"/>
  <c r="V28" i="28"/>
  <c r="T28" i="28"/>
  <c r="M28" i="28"/>
  <c r="L28" i="28"/>
  <c r="J28" i="28"/>
  <c r="AL27" i="28"/>
  <c r="X27" i="28"/>
  <c r="V27" i="28"/>
  <c r="T27" i="28"/>
  <c r="M27" i="28"/>
  <c r="L27" i="28"/>
  <c r="J27" i="28"/>
  <c r="AL26" i="28"/>
  <c r="X26" i="28"/>
  <c r="V26" i="28"/>
  <c r="T26" i="28"/>
  <c r="M26" i="28"/>
  <c r="L26" i="28"/>
  <c r="J26" i="28"/>
  <c r="AL25" i="28"/>
  <c r="X25" i="28"/>
  <c r="V25" i="28"/>
  <c r="T25" i="28"/>
  <c r="M25" i="28"/>
  <c r="L25" i="28"/>
  <c r="J25" i="28"/>
  <c r="AL24" i="28"/>
  <c r="X24" i="28"/>
  <c r="V24" i="28"/>
  <c r="T24" i="28"/>
  <c r="M24" i="28"/>
  <c r="L24" i="28"/>
  <c r="J24" i="28"/>
  <c r="AL23" i="28"/>
  <c r="X23" i="28"/>
  <c r="V23" i="28"/>
  <c r="T23" i="28"/>
  <c r="M23" i="28"/>
  <c r="L23" i="28"/>
  <c r="J23" i="28"/>
  <c r="AL22" i="28"/>
  <c r="X22" i="28"/>
  <c r="V22" i="28"/>
  <c r="T22" i="28"/>
  <c r="M22" i="28"/>
  <c r="L22" i="28"/>
  <c r="J22" i="28"/>
  <c r="AL21" i="28"/>
  <c r="X21" i="28"/>
  <c r="V21" i="28"/>
  <c r="T21" i="28"/>
  <c r="M21" i="28"/>
  <c r="L21" i="28"/>
  <c r="J21" i="28"/>
  <c r="AL20" i="28"/>
  <c r="X20" i="28"/>
  <c r="V20" i="28"/>
  <c r="T20" i="28"/>
  <c r="M20" i="28"/>
  <c r="L20" i="28"/>
  <c r="J20" i="28"/>
  <c r="AL19" i="28"/>
  <c r="X19" i="28"/>
  <c r="V19" i="28"/>
  <c r="T19" i="28"/>
  <c r="M19" i="28"/>
  <c r="L19" i="28"/>
  <c r="J19" i="28"/>
  <c r="AL18" i="28"/>
  <c r="X18" i="28"/>
  <c r="V18" i="28"/>
  <c r="T18" i="28"/>
  <c r="M18" i="28"/>
  <c r="L18" i="28"/>
  <c r="J18" i="28"/>
  <c r="AL17" i="28"/>
  <c r="X17" i="28"/>
  <c r="V17" i="28"/>
  <c r="T17" i="28"/>
  <c r="M17" i="28"/>
  <c r="L17" i="28"/>
  <c r="J17" i="28"/>
  <c r="AL16" i="28"/>
  <c r="X16" i="28"/>
  <c r="V16" i="28"/>
  <c r="T16" i="28"/>
  <c r="M16" i="28"/>
  <c r="L16" i="28"/>
  <c r="J16" i="28"/>
  <c r="AL15" i="28"/>
  <c r="X15" i="28"/>
  <c r="V15" i="28"/>
  <c r="T15" i="28"/>
  <c r="M15" i="28"/>
  <c r="L15" i="28"/>
  <c r="J15" i="28"/>
  <c r="AL14" i="28"/>
  <c r="X14" i="28"/>
  <c r="V14" i="28"/>
  <c r="T14" i="28"/>
  <c r="M14" i="28"/>
  <c r="L14" i="28"/>
  <c r="J14" i="28"/>
  <c r="AL13" i="28"/>
  <c r="X13" i="28"/>
  <c r="V13" i="28"/>
  <c r="T13" i="28"/>
  <c r="M13" i="28"/>
  <c r="L13" i="28"/>
  <c r="J13" i="28"/>
  <c r="AL12" i="28"/>
  <c r="X12" i="28"/>
  <c r="V12" i="28"/>
  <c r="T12" i="28"/>
  <c r="M12" i="28"/>
  <c r="L12" i="28"/>
  <c r="J12" i="28"/>
  <c r="AL11" i="28"/>
  <c r="X11" i="28"/>
  <c r="V11" i="28"/>
  <c r="T11" i="28"/>
  <c r="M11" i="28"/>
  <c r="L11" i="28"/>
  <c r="J11" i="28"/>
  <c r="AL10" i="28"/>
  <c r="X10" i="28"/>
  <c r="V10" i="28"/>
  <c r="T10" i="28"/>
  <c r="M10" i="28"/>
  <c r="L10" i="28"/>
  <c r="J10" i="28"/>
  <c r="AR9" i="28"/>
  <c r="AL9" i="28"/>
  <c r="X9" i="28"/>
  <c r="V9" i="28"/>
  <c r="T9" i="28"/>
  <c r="M9" i="28"/>
  <c r="L9" i="28"/>
  <c r="J9" i="28"/>
  <c r="AL8" i="28"/>
  <c r="X8" i="28"/>
  <c r="V8" i="28"/>
  <c r="T8" i="28"/>
  <c r="M8" i="28"/>
  <c r="L8" i="28"/>
  <c r="J8" i="28"/>
  <c r="AL7" i="28"/>
  <c r="X7" i="28"/>
  <c r="V7" i="28"/>
  <c r="U7" i="28"/>
  <c r="T7" i="28"/>
  <c r="M7" i="28"/>
  <c r="L7" i="28"/>
  <c r="J7" i="28"/>
  <c r="AL6" i="28"/>
  <c r="X6" i="28"/>
  <c r="V6" i="28"/>
  <c r="U6" i="28"/>
  <c r="T6" i="28"/>
  <c r="M6" i="28"/>
  <c r="L6" i="28"/>
  <c r="J6" i="28"/>
  <c r="AM13" i="28" l="1"/>
  <c r="AO14" i="28"/>
  <c r="AO18" i="28"/>
  <c r="AO22" i="28"/>
  <c r="AO8" i="28"/>
  <c r="AO13" i="28"/>
  <c r="AO6" i="28"/>
  <c r="AF11" i="28"/>
  <c r="AP11" i="28" s="1"/>
  <c r="AF17" i="28"/>
  <c r="AP17" i="28" s="1"/>
  <c r="AM47" i="28"/>
  <c r="AO7" i="28"/>
  <c r="AO28" i="28"/>
  <c r="AO32" i="28"/>
  <c r="AO36" i="28"/>
  <c r="AO40" i="28"/>
  <c r="AO27" i="28"/>
  <c r="AO31" i="28"/>
  <c r="AO35" i="28"/>
  <c r="AM38" i="28"/>
  <c r="AO39" i="28"/>
  <c r="AM42" i="28"/>
  <c r="AM43" i="28"/>
  <c r="AO47" i="28"/>
  <c r="AO49" i="28"/>
  <c r="AO51" i="28"/>
  <c r="AF52" i="28"/>
  <c r="AP52" i="28" s="1"/>
  <c r="AM52" i="28"/>
  <c r="AN52" i="28" s="1"/>
  <c r="AG56" i="28"/>
  <c r="AH56" i="28" s="1"/>
  <c r="AJ56" i="28" s="1"/>
  <c r="AG57" i="28"/>
  <c r="AM25" i="28"/>
  <c r="AO12" i="28"/>
  <c r="AO17" i="28"/>
  <c r="AO21" i="28"/>
  <c r="AM24" i="28"/>
  <c r="AG54" i="28"/>
  <c r="AH54" i="28" s="1"/>
  <c r="AJ54" i="28" s="1"/>
  <c r="AM17" i="28"/>
  <c r="AM21" i="28"/>
  <c r="AF34" i="28"/>
  <c r="AP34" i="28" s="1"/>
  <c r="AF43" i="28"/>
  <c r="AP43" i="28" s="1"/>
  <c r="AO43" i="28"/>
  <c r="AO44" i="28"/>
  <c r="AO45" i="28"/>
  <c r="AO46" i="28"/>
  <c r="AO11" i="28"/>
  <c r="AO16" i="28"/>
  <c r="AO20" i="28"/>
  <c r="AO24" i="28"/>
  <c r="AO25" i="28"/>
  <c r="AO26" i="28"/>
  <c r="AO30" i="28"/>
  <c r="AM33" i="28"/>
  <c r="AO34" i="28"/>
  <c r="AO38" i="28"/>
  <c r="AO42" i="28"/>
  <c r="AO9" i="28"/>
  <c r="AO10" i="28"/>
  <c r="AO15" i="28"/>
  <c r="AF18" i="28"/>
  <c r="AP18" i="28" s="1"/>
  <c r="AO19" i="28"/>
  <c r="AO23" i="28"/>
  <c r="AO29" i="28"/>
  <c r="AO33" i="28"/>
  <c r="AO37" i="28"/>
  <c r="AO41" i="28"/>
  <c r="AO48" i="28"/>
  <c r="AO50" i="28"/>
  <c r="AM34" i="28"/>
  <c r="AN34" i="28" s="1"/>
  <c r="AF8" i="28"/>
  <c r="AP8" i="28" s="1"/>
  <c r="AF15" i="28"/>
  <c r="AF21" i="28"/>
  <c r="AM22" i="28"/>
  <c r="AM7" i="28"/>
  <c r="AF10" i="28"/>
  <c r="AM10" i="28"/>
  <c r="AF30" i="28"/>
  <c r="AP30" i="28" s="1"/>
  <c r="AF35" i="28"/>
  <c r="AM40" i="28"/>
  <c r="AM48" i="28"/>
  <c r="AF53" i="28"/>
  <c r="AP53" i="28" s="1"/>
  <c r="AM18" i="28"/>
  <c r="AM29" i="28"/>
  <c r="X59" i="28"/>
  <c r="AF22" i="28"/>
  <c r="AP22" i="28" s="1"/>
  <c r="AF31" i="28"/>
  <c r="AG31" i="28" s="1"/>
  <c r="AM37" i="28"/>
  <c r="AM41" i="28"/>
  <c r="AF45" i="28"/>
  <c r="AP45" i="28" s="1"/>
  <c r="AM45" i="28"/>
  <c r="AF48" i="28"/>
  <c r="AN48" i="28" s="1"/>
  <c r="AF50" i="28"/>
  <c r="AP50" i="28" s="1"/>
  <c r="U59" i="28"/>
  <c r="AF13" i="28"/>
  <c r="AP13" i="28" s="1"/>
  <c r="AF14" i="28"/>
  <c r="AP14" i="28" s="1"/>
  <c r="AM14" i="28"/>
  <c r="AF23" i="28"/>
  <c r="AP23" i="28" s="1"/>
  <c r="AF25" i="28"/>
  <c r="AG25" i="28" s="1"/>
  <c r="AH25" i="28" s="1"/>
  <c r="AJ25" i="28" s="1"/>
  <c r="AF26" i="28"/>
  <c r="AP26" i="28" s="1"/>
  <c r="AM30" i="28"/>
  <c r="AM49" i="28"/>
  <c r="AG13" i="28"/>
  <c r="AH13" i="28" s="1"/>
  <c r="AJ13" i="28" s="1"/>
  <c r="AG17" i="28"/>
  <c r="AH17" i="28" s="1"/>
  <c r="AJ17" i="28" s="1"/>
  <c r="AF19" i="28"/>
  <c r="AP19" i="28" s="1"/>
  <c r="AM9" i="28"/>
  <c r="AF9" i="28"/>
  <c r="AM6" i="28"/>
  <c r="L59" i="28"/>
  <c r="AF6" i="28"/>
  <c r="V59" i="28"/>
  <c r="AM36" i="28"/>
  <c r="AF36" i="28"/>
  <c r="AP36" i="28" s="1"/>
  <c r="M59" i="28"/>
  <c r="AM11" i="28"/>
  <c r="AM15" i="28"/>
  <c r="AM19" i="28"/>
  <c r="AN19" i="28" s="1"/>
  <c r="AM26" i="28"/>
  <c r="AF29" i="28"/>
  <c r="AP29" i="28" s="1"/>
  <c r="AF33" i="28"/>
  <c r="AP33" i="28" s="1"/>
  <c r="AM51" i="28"/>
  <c r="AF51" i="28"/>
  <c r="AP51" i="28" s="1"/>
  <c r="AG52" i="28"/>
  <c r="AH52" i="28" s="1"/>
  <c r="AM12" i="28"/>
  <c r="AF12" i="28"/>
  <c r="AP12" i="28" s="1"/>
  <c r="AM16" i="28"/>
  <c r="AF16" i="28"/>
  <c r="AP16" i="28" s="1"/>
  <c r="AM20" i="28"/>
  <c r="AF20" i="28"/>
  <c r="AP20" i="28" s="1"/>
  <c r="AM46" i="28"/>
  <c r="AF46" i="28"/>
  <c r="AP46" i="28" s="1"/>
  <c r="AF49" i="28"/>
  <c r="AP49" i="28" s="1"/>
  <c r="AM50" i="28"/>
  <c r="AN50" i="28" s="1"/>
  <c r="T59" i="28"/>
  <c r="AF7" i="28"/>
  <c r="AP7" i="28" s="1"/>
  <c r="AM8" i="28"/>
  <c r="AQ9" i="28"/>
  <c r="AM23" i="28"/>
  <c r="AF27" i="28"/>
  <c r="AP27" i="28" s="1"/>
  <c r="AF28" i="28"/>
  <c r="AP28" i="28" s="1"/>
  <c r="AM28" i="28"/>
  <c r="AM32" i="28"/>
  <c r="AF32" i="28"/>
  <c r="AP32" i="28" s="1"/>
  <c r="AL59" i="28"/>
  <c r="AM27" i="28"/>
  <c r="AM44" i="28"/>
  <c r="AF44" i="28"/>
  <c r="AH55" i="28"/>
  <c r="AJ55" i="28" s="1"/>
  <c r="AF24" i="28"/>
  <c r="AM31" i="28"/>
  <c r="AM35" i="28"/>
  <c r="AF47" i="28"/>
  <c r="AP47" i="28" s="1"/>
  <c r="AG50" i="28"/>
  <c r="AH50" i="28" s="1"/>
  <c r="AM53" i="28"/>
  <c r="AN53" i="28" s="1"/>
  <c r="AN54" i="28"/>
  <c r="AH57" i="28"/>
  <c r="AJ57" i="28" s="1"/>
  <c r="AF37" i="28"/>
  <c r="AP37" i="28" s="1"/>
  <c r="AF38" i="28"/>
  <c r="AP38" i="28" s="1"/>
  <c r="AF39" i="28"/>
  <c r="AP39" i="28" s="1"/>
  <c r="AF40" i="28"/>
  <c r="AP40" i="28" s="1"/>
  <c r="AF41" i="28"/>
  <c r="AP41" i="28" s="1"/>
  <c r="AF42" i="28"/>
  <c r="AP42" i="28" s="1"/>
  <c r="AN8" i="28" l="1"/>
  <c r="AN35" i="28"/>
  <c r="AN11" i="28"/>
  <c r="AN17" i="28"/>
  <c r="AG11" i="28"/>
  <c r="AH11" i="28" s="1"/>
  <c r="AJ11" i="28" s="1"/>
  <c r="AG8" i="28"/>
  <c r="AH8" i="28" s="1"/>
  <c r="AJ8" i="28" s="1"/>
  <c r="AN13" i="28"/>
  <c r="AN22" i="28"/>
  <c r="AG53" i="28"/>
  <c r="AH53" i="28" s="1"/>
  <c r="AG26" i="28"/>
  <c r="AH26" i="28" s="1"/>
  <c r="AJ26" i="28" s="1"/>
  <c r="AN14" i="28"/>
  <c r="AG9" i="28"/>
  <c r="AH9" i="28" s="1"/>
  <c r="AP9" i="28"/>
  <c r="AG44" i="28"/>
  <c r="AH44" i="28" s="1"/>
  <c r="AJ44" i="28" s="1"/>
  <c r="AP44" i="28"/>
  <c r="AG19" i="28"/>
  <c r="AH19" i="28" s="1"/>
  <c r="AJ19" i="28" s="1"/>
  <c r="AN43" i="28"/>
  <c r="AG21" i="28"/>
  <c r="AP21" i="28"/>
  <c r="AN24" i="28"/>
  <c r="AP24" i="28"/>
  <c r="AG45" i="28"/>
  <c r="AH45" i="28" s="1"/>
  <c r="AJ45" i="28" s="1"/>
  <c r="AG30" i="28"/>
  <c r="AH30" i="28" s="1"/>
  <c r="AJ30" i="28" s="1"/>
  <c r="AN23" i="28"/>
  <c r="AG6" i="28"/>
  <c r="AH6" i="28" s="1"/>
  <c r="AP6" i="28"/>
  <c r="AG18" i="28"/>
  <c r="AH18" i="28" s="1"/>
  <c r="AJ18" i="28" s="1"/>
  <c r="AN21" i="28"/>
  <c r="AG48" i="28"/>
  <c r="AH48" i="28" s="1"/>
  <c r="AJ48" i="28" s="1"/>
  <c r="AP48" i="28"/>
  <c r="AN37" i="28"/>
  <c r="AN29" i="28"/>
  <c r="AN10" i="28"/>
  <c r="AP10" i="28"/>
  <c r="AP15" i="28"/>
  <c r="AG23" i="28"/>
  <c r="AH23" i="28" s="1"/>
  <c r="AJ23" i="28" s="1"/>
  <c r="AG34" i="28"/>
  <c r="AH34" i="28" s="1"/>
  <c r="AJ34" i="28" s="1"/>
  <c r="AG43" i="28"/>
  <c r="AH43" i="28" s="1"/>
  <c r="AJ43" i="28" s="1"/>
  <c r="AN26" i="28"/>
  <c r="AG15" i="28"/>
  <c r="AH15" i="28" s="1"/>
  <c r="AJ15" i="28" s="1"/>
  <c r="AG14" i="28"/>
  <c r="AH14" i="28" s="1"/>
  <c r="AJ14" i="28" s="1"/>
  <c r="AH21" i="28"/>
  <c r="AJ21" i="28" s="1"/>
  <c r="AG22" i="28"/>
  <c r="AH22" i="28" s="1"/>
  <c r="AJ22" i="28" s="1"/>
  <c r="AN25" i="28"/>
  <c r="AP25" i="28"/>
  <c r="AN45" i="28"/>
  <c r="AH31" i="28"/>
  <c r="AJ31" i="28" s="1"/>
  <c r="AP31" i="28"/>
  <c r="AN18" i="28"/>
  <c r="AG35" i="28"/>
  <c r="AH35" i="28" s="1"/>
  <c r="AJ35" i="28" s="1"/>
  <c r="AP35" i="28"/>
  <c r="AN44" i="28"/>
  <c r="AN32" i="28"/>
  <c r="AG10" i="28"/>
  <c r="AH10" i="28" s="1"/>
  <c r="AJ10" i="28" s="1"/>
  <c r="AN27" i="28"/>
  <c r="AN31" i="28"/>
  <c r="AN15" i="28"/>
  <c r="AN30" i="28"/>
  <c r="AN42" i="28"/>
  <c r="AN38" i="28"/>
  <c r="AG49" i="28"/>
  <c r="AH49" i="28" s="1"/>
  <c r="AG41" i="28"/>
  <c r="AH41" i="28" s="1"/>
  <c r="AG37" i="28"/>
  <c r="AH37" i="28" s="1"/>
  <c r="AN49" i="28"/>
  <c r="AN20" i="28"/>
  <c r="AN12" i="28"/>
  <c r="AG51" i="28"/>
  <c r="AH51" i="28" s="1"/>
  <c r="AN33" i="28"/>
  <c r="AG33" i="28"/>
  <c r="AH33" i="28" s="1"/>
  <c r="AJ33" i="28" s="1"/>
  <c r="AN36" i="28"/>
  <c r="AF59" i="28"/>
  <c r="AF60" i="28" s="1"/>
  <c r="AF62" i="28" s="1"/>
  <c r="AG27" i="28"/>
  <c r="AH27" i="28" s="1"/>
  <c r="AJ27" i="28" s="1"/>
  <c r="AG12" i="28"/>
  <c r="AH12" i="28" s="1"/>
  <c r="AJ12" i="28" s="1"/>
  <c r="AN40" i="28"/>
  <c r="AG46" i="28"/>
  <c r="AH46" i="28" s="1"/>
  <c r="AJ46" i="28" s="1"/>
  <c r="AG47" i="28"/>
  <c r="AH47" i="28" s="1"/>
  <c r="AJ47" i="28" s="1"/>
  <c r="AN46" i="28"/>
  <c r="AN51" i="28"/>
  <c r="AG42" i="28"/>
  <c r="AH42" i="28" s="1"/>
  <c r="AG29" i="28"/>
  <c r="AH29" i="28" s="1"/>
  <c r="AJ29" i="28" s="1"/>
  <c r="AN41" i="28"/>
  <c r="AG16" i="28"/>
  <c r="AH16" i="28" s="1"/>
  <c r="AJ16" i="28" s="1"/>
  <c r="AG39" i="28"/>
  <c r="AH39" i="28" s="1"/>
  <c r="AG24" i="28"/>
  <c r="AH24" i="28" s="1"/>
  <c r="AJ24" i="28" s="1"/>
  <c r="AG40" i="28"/>
  <c r="AH40" i="28" s="1"/>
  <c r="AN28" i="28"/>
  <c r="AG32" i="28"/>
  <c r="AH32" i="28" s="1"/>
  <c r="AJ32" i="28" s="1"/>
  <c r="AN16" i="28"/>
  <c r="AN47" i="28"/>
  <c r="AN39" i="28"/>
  <c r="AG38" i="28"/>
  <c r="AH38" i="28" s="1"/>
  <c r="AG28" i="28"/>
  <c r="AH28" i="28" s="1"/>
  <c r="AJ28" i="28" s="1"/>
  <c r="AM59" i="28"/>
  <c r="AN6" i="28"/>
  <c r="AG36" i="28"/>
  <c r="AH36" i="28" s="1"/>
  <c r="AJ36" i="28" s="1"/>
  <c r="AN9" i="28"/>
  <c r="AG20" i="28"/>
  <c r="AH20" i="28" s="1"/>
  <c r="AJ20" i="28" s="1"/>
  <c r="AN7" i="28"/>
  <c r="AG7" i="28"/>
  <c r="AG59" i="28" l="1"/>
  <c r="AH7" i="28"/>
  <c r="AJ7" i="28" s="1"/>
  <c r="AJ9" i="28"/>
  <c r="AS9" i="28"/>
  <c r="AN59" i="28"/>
  <c r="AJ6" i="28"/>
  <c r="AH59" i="28" l="1"/>
  <c r="J97" i="27"/>
  <c r="AF71" i="27"/>
  <c r="AH70" i="27"/>
  <c r="M70" i="27"/>
  <c r="AL57" i="27"/>
  <c r="AE57" i="27"/>
  <c r="AD57" i="27"/>
  <c r="AC57" i="27"/>
  <c r="AB57" i="27"/>
  <c r="AA57" i="27"/>
  <c r="Z57" i="27"/>
  <c r="Y57" i="27"/>
  <c r="W57" i="27"/>
  <c r="V57" i="27"/>
  <c r="S57" i="27"/>
  <c r="R57" i="27"/>
  <c r="Q57" i="27"/>
  <c r="P57" i="27"/>
  <c r="O57" i="27"/>
  <c r="N57" i="27"/>
  <c r="K57" i="27"/>
  <c r="AM56" i="27"/>
  <c r="AJ56" i="27"/>
  <c r="AM55" i="27"/>
  <c r="AF55" i="27"/>
  <c r="J55" i="27"/>
  <c r="AM54" i="27"/>
  <c r="AF54" i="27"/>
  <c r="J54" i="27"/>
  <c r="AM53" i="27"/>
  <c r="AF53" i="27"/>
  <c r="J53" i="27"/>
  <c r="M52" i="27"/>
  <c r="L52" i="27"/>
  <c r="J52" i="27"/>
  <c r="X51" i="27"/>
  <c r="T51" i="27"/>
  <c r="M51" i="27"/>
  <c r="L51" i="27"/>
  <c r="J51" i="27"/>
  <c r="X50" i="27"/>
  <c r="T50" i="27"/>
  <c r="M50" i="27"/>
  <c r="L50" i="27"/>
  <c r="J50" i="27"/>
  <c r="X49" i="27"/>
  <c r="T49" i="27"/>
  <c r="M49" i="27"/>
  <c r="L49" i="27"/>
  <c r="J49" i="27"/>
  <c r="X48" i="27"/>
  <c r="T48" i="27"/>
  <c r="M48" i="27"/>
  <c r="L48" i="27"/>
  <c r="J48" i="27"/>
  <c r="X47" i="27"/>
  <c r="T47" i="27"/>
  <c r="M47" i="27"/>
  <c r="L47" i="27"/>
  <c r="J47" i="27"/>
  <c r="X46" i="27"/>
  <c r="U46" i="27"/>
  <c r="T46" i="27"/>
  <c r="M46" i="27"/>
  <c r="L46" i="27"/>
  <c r="J46" i="27"/>
  <c r="X45" i="27"/>
  <c r="U45" i="27"/>
  <c r="T45" i="27"/>
  <c r="M45" i="27"/>
  <c r="L45" i="27"/>
  <c r="J45" i="27"/>
  <c r="X44" i="27"/>
  <c r="U44" i="27"/>
  <c r="T44" i="27"/>
  <c r="M44" i="27"/>
  <c r="L44" i="27"/>
  <c r="J44" i="27"/>
  <c r="X43" i="27"/>
  <c r="U43" i="27"/>
  <c r="T43" i="27"/>
  <c r="M43" i="27"/>
  <c r="L43" i="27"/>
  <c r="J43" i="27"/>
  <c r="X42" i="27"/>
  <c r="T42" i="27"/>
  <c r="M42" i="27"/>
  <c r="L42" i="27"/>
  <c r="J42" i="27"/>
  <c r="X41" i="27"/>
  <c r="T41" i="27"/>
  <c r="M41" i="27"/>
  <c r="L41" i="27"/>
  <c r="J41" i="27"/>
  <c r="X40" i="27"/>
  <c r="T40" i="27"/>
  <c r="M40" i="27"/>
  <c r="L40" i="27"/>
  <c r="J40" i="27"/>
  <c r="X39" i="27"/>
  <c r="T39" i="27"/>
  <c r="M39" i="27"/>
  <c r="L39" i="27"/>
  <c r="J39" i="27"/>
  <c r="X38" i="27"/>
  <c r="T38" i="27"/>
  <c r="M38" i="27"/>
  <c r="L38" i="27"/>
  <c r="J38" i="27"/>
  <c r="X37" i="27"/>
  <c r="T37" i="27"/>
  <c r="M37" i="27"/>
  <c r="L37" i="27"/>
  <c r="J37" i="27"/>
  <c r="X36" i="27"/>
  <c r="T36" i="27"/>
  <c r="M36" i="27"/>
  <c r="L36" i="27"/>
  <c r="AM36" i="27" s="1"/>
  <c r="J36" i="27"/>
  <c r="X35" i="27"/>
  <c r="T35" i="27"/>
  <c r="M35" i="27"/>
  <c r="L35" i="27"/>
  <c r="J35" i="27"/>
  <c r="X34" i="27"/>
  <c r="T34" i="27"/>
  <c r="AO34" i="27" s="1"/>
  <c r="M34" i="27"/>
  <c r="L34" i="27"/>
  <c r="J34" i="27"/>
  <c r="X33" i="27"/>
  <c r="T33" i="27"/>
  <c r="M33" i="27"/>
  <c r="L33" i="27"/>
  <c r="J33" i="27"/>
  <c r="X32" i="27"/>
  <c r="T32" i="27"/>
  <c r="M32" i="27"/>
  <c r="L32" i="27"/>
  <c r="J32" i="27"/>
  <c r="X31" i="27"/>
  <c r="T31" i="27"/>
  <c r="M31" i="27"/>
  <c r="L31" i="27"/>
  <c r="J31" i="27"/>
  <c r="X30" i="27"/>
  <c r="T30" i="27"/>
  <c r="AO30" i="27" s="1"/>
  <c r="M30" i="27"/>
  <c r="L30" i="27"/>
  <c r="J30" i="27"/>
  <c r="X29" i="27"/>
  <c r="T29" i="27"/>
  <c r="M29" i="27"/>
  <c r="L29" i="27"/>
  <c r="J29" i="27"/>
  <c r="X28" i="27"/>
  <c r="T28" i="27"/>
  <c r="M28" i="27"/>
  <c r="L28" i="27"/>
  <c r="J28" i="27"/>
  <c r="X27" i="27"/>
  <c r="T27" i="27"/>
  <c r="M27" i="27"/>
  <c r="L27" i="27"/>
  <c r="J27" i="27"/>
  <c r="X26" i="27"/>
  <c r="T26" i="27"/>
  <c r="AO26" i="27" s="1"/>
  <c r="M26" i="27"/>
  <c r="L26" i="27"/>
  <c r="J26" i="27"/>
  <c r="X25" i="27"/>
  <c r="T25" i="27"/>
  <c r="M25" i="27"/>
  <c r="L25" i="27"/>
  <c r="J25" i="27"/>
  <c r="X24" i="27"/>
  <c r="T24" i="27"/>
  <c r="M24" i="27"/>
  <c r="L24" i="27"/>
  <c r="AM24" i="27" s="1"/>
  <c r="J24" i="27"/>
  <c r="X23" i="27"/>
  <c r="T23" i="27"/>
  <c r="M23" i="27"/>
  <c r="L23" i="27"/>
  <c r="J23" i="27"/>
  <c r="X22" i="27"/>
  <c r="T22" i="27"/>
  <c r="AO22" i="27" s="1"/>
  <c r="M22" i="27"/>
  <c r="L22" i="27"/>
  <c r="J22" i="27"/>
  <c r="X21" i="27"/>
  <c r="T21" i="27"/>
  <c r="M21" i="27"/>
  <c r="L21" i="27"/>
  <c r="J21" i="27"/>
  <c r="X20" i="27"/>
  <c r="T20" i="27"/>
  <c r="M20" i="27"/>
  <c r="L20" i="27"/>
  <c r="J20" i="27"/>
  <c r="X19" i="27"/>
  <c r="T19" i="27"/>
  <c r="M19" i="27"/>
  <c r="L19" i="27"/>
  <c r="J19" i="27"/>
  <c r="X18" i="27"/>
  <c r="T18" i="27"/>
  <c r="AO18" i="27" s="1"/>
  <c r="M18" i="27"/>
  <c r="L18" i="27"/>
  <c r="J18" i="27"/>
  <c r="X17" i="27"/>
  <c r="T17" i="27"/>
  <c r="M17" i="27"/>
  <c r="L17" i="27"/>
  <c r="J17" i="27"/>
  <c r="X16" i="27"/>
  <c r="T16" i="27"/>
  <c r="M16" i="27"/>
  <c r="L16" i="27"/>
  <c r="J16" i="27"/>
  <c r="X15" i="27"/>
  <c r="T15" i="27"/>
  <c r="M15" i="27"/>
  <c r="L15" i="27"/>
  <c r="J15" i="27"/>
  <c r="X14" i="27"/>
  <c r="T14" i="27"/>
  <c r="AO14" i="27" s="1"/>
  <c r="M14" i="27"/>
  <c r="L14" i="27"/>
  <c r="J14" i="27"/>
  <c r="X13" i="27"/>
  <c r="T13" i="27"/>
  <c r="M13" i="27"/>
  <c r="L13" i="27"/>
  <c r="J13" i="27"/>
  <c r="X12" i="27"/>
  <c r="T12" i="27"/>
  <c r="M12" i="27"/>
  <c r="L12" i="27"/>
  <c r="J12" i="27"/>
  <c r="X11" i="27"/>
  <c r="T11" i="27"/>
  <c r="M11" i="27"/>
  <c r="AM11" i="27" s="1"/>
  <c r="L11" i="27"/>
  <c r="J11" i="27"/>
  <c r="X10" i="27"/>
  <c r="T10" i="27"/>
  <c r="M10" i="27"/>
  <c r="L10" i="27"/>
  <c r="J10" i="27"/>
  <c r="X9" i="27"/>
  <c r="T9" i="27"/>
  <c r="M9" i="27"/>
  <c r="L9" i="27"/>
  <c r="J9" i="27"/>
  <c r="X8" i="27"/>
  <c r="T8" i="27"/>
  <c r="M8" i="27"/>
  <c r="L8" i="27"/>
  <c r="J8" i="27"/>
  <c r="X7" i="27"/>
  <c r="U7" i="27"/>
  <c r="T7" i="27"/>
  <c r="M7" i="27"/>
  <c r="L7" i="27"/>
  <c r="J7" i="27"/>
  <c r="X6" i="27"/>
  <c r="U6" i="27"/>
  <c r="T6" i="27"/>
  <c r="M6" i="27"/>
  <c r="L6" i="27"/>
  <c r="J6" i="27"/>
  <c r="AO8" i="27" l="1"/>
  <c r="AM10" i="27"/>
  <c r="AO37" i="27"/>
  <c r="AM38" i="27"/>
  <c r="AM39" i="27"/>
  <c r="AO41" i="27"/>
  <c r="AM45" i="27"/>
  <c r="AM47" i="27"/>
  <c r="AO49" i="27"/>
  <c r="AM50" i="27"/>
  <c r="AO6" i="27"/>
  <c r="AM7" i="27"/>
  <c r="AF20" i="27"/>
  <c r="AG20" i="27" s="1"/>
  <c r="AH20" i="27" s="1"/>
  <c r="AJ20" i="27" s="1"/>
  <c r="AO44" i="27"/>
  <c r="AO46" i="27"/>
  <c r="AF51" i="27"/>
  <c r="AG51" i="27" s="1"/>
  <c r="AH51" i="27" s="1"/>
  <c r="AO11" i="27"/>
  <c r="AO15" i="27"/>
  <c r="AO19" i="27"/>
  <c r="AM21" i="27"/>
  <c r="AO23" i="27"/>
  <c r="AO27" i="27"/>
  <c r="AO31" i="27"/>
  <c r="AO35" i="27"/>
  <c r="AO38" i="27"/>
  <c r="AO42" i="27"/>
  <c r="AO50" i="27"/>
  <c r="AM46" i="27"/>
  <c r="AF13" i="27"/>
  <c r="AF17" i="27"/>
  <c r="AG17" i="27" s="1"/>
  <c r="AH17" i="27" s="1"/>
  <c r="AJ17" i="27" s="1"/>
  <c r="AF33" i="27"/>
  <c r="AG33" i="27" s="1"/>
  <c r="AH33" i="27" s="1"/>
  <c r="AJ33" i="27" s="1"/>
  <c r="AF43" i="27"/>
  <c r="AG43" i="27" s="1"/>
  <c r="AH43" i="27" s="1"/>
  <c r="AJ43" i="27" s="1"/>
  <c r="AO9" i="27"/>
  <c r="AO12" i="27"/>
  <c r="AO16" i="27"/>
  <c r="AM18" i="27"/>
  <c r="AO20" i="27"/>
  <c r="AO24" i="27"/>
  <c r="AO28" i="27"/>
  <c r="AO32" i="27"/>
  <c r="AO36" i="27"/>
  <c r="AO39" i="27"/>
  <c r="AO43" i="27"/>
  <c r="AM44" i="27"/>
  <c r="AO45" i="27"/>
  <c r="AO47" i="27"/>
  <c r="AM49" i="27"/>
  <c r="AO51" i="27"/>
  <c r="AO7" i="27"/>
  <c r="AO10" i="27"/>
  <c r="AO13" i="27"/>
  <c r="AO17" i="27"/>
  <c r="AM19" i="27"/>
  <c r="AO21" i="27"/>
  <c r="AO25" i="27"/>
  <c r="AO29" i="27"/>
  <c r="AO33" i="27"/>
  <c r="AO40" i="27"/>
  <c r="AM42" i="27"/>
  <c r="AO48" i="27"/>
  <c r="AM33" i="27"/>
  <c r="AF11" i="27"/>
  <c r="AN11" i="27" s="1"/>
  <c r="AF40" i="27"/>
  <c r="AG40" i="27" s="1"/>
  <c r="AH40" i="27" s="1"/>
  <c r="AM40" i="27"/>
  <c r="AN40" i="27" s="1"/>
  <c r="AF45" i="27"/>
  <c r="AN45" i="27" s="1"/>
  <c r="AM51" i="27"/>
  <c r="AN53" i="27"/>
  <c r="AM8" i="27"/>
  <c r="AM15" i="27"/>
  <c r="AM26" i="27"/>
  <c r="AM29" i="27"/>
  <c r="AF32" i="27"/>
  <c r="AG32" i="27" s="1"/>
  <c r="AH32" i="27" s="1"/>
  <c r="AJ32" i="27" s="1"/>
  <c r="AM32" i="27"/>
  <c r="AM34" i="27"/>
  <c r="AM37" i="27"/>
  <c r="AF44" i="27"/>
  <c r="AG44" i="27" s="1"/>
  <c r="AH44" i="27" s="1"/>
  <c r="AJ44" i="27" s="1"/>
  <c r="AG54" i="27"/>
  <c r="AH54" i="27" s="1"/>
  <c r="AJ54" i="27" s="1"/>
  <c r="M57" i="27"/>
  <c r="AM16" i="27"/>
  <c r="AM23" i="27"/>
  <c r="AF24" i="27"/>
  <c r="AN24" i="27" s="1"/>
  <c r="AF27" i="27"/>
  <c r="AM27" i="27"/>
  <c r="AF30" i="27"/>
  <c r="AM30" i="27"/>
  <c r="AM35" i="27"/>
  <c r="AF41" i="27"/>
  <c r="AM41" i="27"/>
  <c r="AF48" i="27"/>
  <c r="AG48" i="27" s="1"/>
  <c r="AH48" i="27" s="1"/>
  <c r="AJ48" i="27" s="1"/>
  <c r="AM48" i="27"/>
  <c r="AG53" i="27"/>
  <c r="AH53" i="27" s="1"/>
  <c r="AJ53" i="27" s="1"/>
  <c r="Q58" i="27"/>
  <c r="AG13" i="27"/>
  <c r="AH13" i="27" s="1"/>
  <c r="AJ13" i="27" s="1"/>
  <c r="AF16" i="27"/>
  <c r="AG16" i="27" s="1"/>
  <c r="AF7" i="27"/>
  <c r="AF8" i="27"/>
  <c r="AG24" i="27"/>
  <c r="AH24" i="27" s="1"/>
  <c r="AJ24" i="27" s="1"/>
  <c r="AF39" i="27"/>
  <c r="AF52" i="27"/>
  <c r="AM52" i="27"/>
  <c r="AN52" i="27" s="1"/>
  <c r="AM6" i="27"/>
  <c r="AF19" i="27"/>
  <c r="AF25" i="27"/>
  <c r="AF34" i="27"/>
  <c r="AF46" i="27"/>
  <c r="AG46" i="27" s="1"/>
  <c r="L57" i="27"/>
  <c r="X57" i="27"/>
  <c r="AG11" i="27"/>
  <c r="AH11" i="27" s="1"/>
  <c r="AJ11" i="27" s="1"/>
  <c r="AF12" i="27"/>
  <c r="AM13" i="27"/>
  <c r="AF23" i="27"/>
  <c r="AG27" i="27"/>
  <c r="AF28" i="27"/>
  <c r="AF6" i="27"/>
  <c r="AG6" i="27" s="1"/>
  <c r="AF21" i="27"/>
  <c r="AG30" i="27"/>
  <c r="AH30" i="27" s="1"/>
  <c r="AJ30" i="27" s="1"/>
  <c r="AF15" i="27"/>
  <c r="AG55" i="27"/>
  <c r="AH55" i="27" s="1"/>
  <c r="AJ55" i="27" s="1"/>
  <c r="U57" i="27"/>
  <c r="AF9" i="27"/>
  <c r="AF36" i="27"/>
  <c r="AF38" i="27"/>
  <c r="T57" i="27"/>
  <c r="AM9" i="27"/>
  <c r="AM12" i="27"/>
  <c r="AM17" i="27"/>
  <c r="AM20" i="27"/>
  <c r="AM25" i="27"/>
  <c r="AM28" i="27"/>
  <c r="AM43" i="27"/>
  <c r="AF47" i="27"/>
  <c r="AF50" i="27"/>
  <c r="AF29" i="27"/>
  <c r="AF37" i="27"/>
  <c r="AM14" i="27"/>
  <c r="AM22" i="27"/>
  <c r="AM31" i="27"/>
  <c r="AF10" i="27"/>
  <c r="AF14" i="27"/>
  <c r="AF18" i="27"/>
  <c r="AF22" i="27"/>
  <c r="AF26" i="27"/>
  <c r="AN26" i="27" s="1"/>
  <c r="AF42" i="27"/>
  <c r="AF49" i="27"/>
  <c r="AF31" i="27"/>
  <c r="AF35" i="27"/>
  <c r="AG35" i="27" s="1"/>
  <c r="AN30" i="27" l="1"/>
  <c r="AN7" i="27"/>
  <c r="AN28" i="27"/>
  <c r="AN12" i="27"/>
  <c r="AN13" i="27"/>
  <c r="AN19" i="27"/>
  <c r="AN48" i="27"/>
  <c r="AN27" i="27"/>
  <c r="AN51" i="27"/>
  <c r="AG45" i="27"/>
  <c r="AH45" i="27" s="1"/>
  <c r="AJ45" i="27" s="1"/>
  <c r="AN20" i="27"/>
  <c r="AN38" i="27"/>
  <c r="AN21" i="27"/>
  <c r="AN17" i="27"/>
  <c r="AN41" i="27"/>
  <c r="AN16" i="27"/>
  <c r="AN43" i="27"/>
  <c r="AN9" i="27"/>
  <c r="AH27" i="27"/>
  <c r="AJ27" i="27" s="1"/>
  <c r="AN31" i="27"/>
  <c r="AG41" i="27"/>
  <c r="AH41" i="27" s="1"/>
  <c r="AN22" i="27"/>
  <c r="AN33" i="27"/>
  <c r="AN44" i="27"/>
  <c r="AN32" i="27"/>
  <c r="AN25" i="27"/>
  <c r="AN14" i="27"/>
  <c r="AN18" i="27"/>
  <c r="AG29" i="27"/>
  <c r="AH29" i="27" s="1"/>
  <c r="AJ29" i="27" s="1"/>
  <c r="AN29" i="27"/>
  <c r="AM57" i="27"/>
  <c r="AN6" i="27"/>
  <c r="AN49" i="27"/>
  <c r="AN15" i="27"/>
  <c r="AH35" i="27"/>
  <c r="AJ35" i="27" s="1"/>
  <c r="AG14" i="27"/>
  <c r="AH14" i="27" s="1"/>
  <c r="AJ14" i="27" s="1"/>
  <c r="AG23" i="27"/>
  <c r="AH23" i="27" s="1"/>
  <c r="AJ23" i="27" s="1"/>
  <c r="AN47" i="27"/>
  <c r="AG47" i="27"/>
  <c r="AH47" i="27" s="1"/>
  <c r="AJ47" i="27" s="1"/>
  <c r="AN23" i="27"/>
  <c r="AG12" i="27"/>
  <c r="AH12" i="27" s="1"/>
  <c r="AJ12" i="27" s="1"/>
  <c r="AG34" i="27"/>
  <c r="AH34" i="27" s="1"/>
  <c r="AJ34" i="27" s="1"/>
  <c r="AG8" i="27"/>
  <c r="AH8" i="27" s="1"/>
  <c r="AJ8" i="27" s="1"/>
  <c r="AG31" i="27"/>
  <c r="AH31" i="27" s="1"/>
  <c r="AJ31" i="27" s="1"/>
  <c r="AG37" i="27"/>
  <c r="AH37" i="27" s="1"/>
  <c r="AG50" i="27"/>
  <c r="AH50" i="27" s="1"/>
  <c r="AN34" i="27"/>
  <c r="AN42" i="27"/>
  <c r="AG21" i="27"/>
  <c r="AH21" i="27" s="1"/>
  <c r="AJ21" i="27" s="1"/>
  <c r="AG38" i="27"/>
  <c r="AH38" i="27" s="1"/>
  <c r="AG28" i="27"/>
  <c r="AH28" i="27" s="1"/>
  <c r="AJ28" i="27" s="1"/>
  <c r="AH46" i="27"/>
  <c r="AJ46" i="27" s="1"/>
  <c r="AG25" i="27"/>
  <c r="AH25" i="27" s="1"/>
  <c r="AJ25" i="27" s="1"/>
  <c r="AG39" i="27"/>
  <c r="AH39" i="27" s="1"/>
  <c r="AN50" i="27"/>
  <c r="AN8" i="27"/>
  <c r="AG22" i="27"/>
  <c r="AH22" i="27" s="1"/>
  <c r="AJ22" i="27" s="1"/>
  <c r="AN36" i="27"/>
  <c r="AG15" i="27"/>
  <c r="AH15" i="27" s="1"/>
  <c r="AJ15" i="27" s="1"/>
  <c r="AG49" i="27"/>
  <c r="AH49" i="27" s="1"/>
  <c r="AG42" i="27"/>
  <c r="AH42" i="27" s="1"/>
  <c r="AG9" i="27"/>
  <c r="AH9" i="27" s="1"/>
  <c r="AJ9" i="27" s="1"/>
  <c r="AG36" i="27"/>
  <c r="AH36" i="27" s="1"/>
  <c r="AJ36" i="27" s="1"/>
  <c r="AF57" i="27"/>
  <c r="AF70" i="27" s="1"/>
  <c r="AF72" i="27" s="1"/>
  <c r="AH6" i="27"/>
  <c r="AN46" i="27"/>
  <c r="AN37" i="27"/>
  <c r="AG7" i="27"/>
  <c r="AG52" i="27"/>
  <c r="AH52" i="27" s="1"/>
  <c r="AN39" i="27"/>
  <c r="AG19" i="27"/>
  <c r="AH19" i="27" s="1"/>
  <c r="AJ19" i="27" s="1"/>
  <c r="AN35" i="27"/>
  <c r="AH16" i="27"/>
  <c r="AJ16" i="27" s="1"/>
  <c r="AG18" i="27"/>
  <c r="AH18" i="27" s="1"/>
  <c r="AJ18" i="27" s="1"/>
  <c r="AN10" i="27"/>
  <c r="AG10" i="27"/>
  <c r="AH10" i="27" s="1"/>
  <c r="AJ10" i="27" s="1"/>
  <c r="AG26" i="27"/>
  <c r="AH26" i="27" s="1"/>
  <c r="AJ26" i="27" s="1"/>
  <c r="AG57" i="27" l="1"/>
  <c r="AJ6" i="27"/>
  <c r="AH7" i="27"/>
  <c r="AJ7" i="27" s="1"/>
  <c r="AN57" i="27"/>
  <c r="AH57" i="27" l="1"/>
  <c r="J99" i="26" l="1"/>
  <c r="AF67" i="26"/>
  <c r="AH66" i="26"/>
  <c r="M66" i="26"/>
  <c r="AL50" i="26"/>
  <c r="AE50" i="26"/>
  <c r="AD50" i="26"/>
  <c r="AC50" i="26"/>
  <c r="AB50" i="26"/>
  <c r="AA50" i="26"/>
  <c r="Z50" i="26"/>
  <c r="Y50" i="26"/>
  <c r="W50" i="26"/>
  <c r="V50" i="26"/>
  <c r="U50" i="26"/>
  <c r="S50" i="26"/>
  <c r="R50" i="26"/>
  <c r="Q50" i="26"/>
  <c r="P50" i="26"/>
  <c r="O50" i="26"/>
  <c r="N50" i="26"/>
  <c r="K50" i="26"/>
  <c r="AM49" i="26"/>
  <c r="AF49" i="26"/>
  <c r="J49" i="26"/>
  <c r="X48" i="26"/>
  <c r="T48" i="26"/>
  <c r="M48" i="26"/>
  <c r="L48" i="26"/>
  <c r="J48" i="26"/>
  <c r="X47" i="26"/>
  <c r="T47" i="26"/>
  <c r="AO47" i="26" s="1"/>
  <c r="M47" i="26"/>
  <c r="L47" i="26"/>
  <c r="J47" i="26"/>
  <c r="X46" i="26"/>
  <c r="T46" i="26"/>
  <c r="M46" i="26"/>
  <c r="L46" i="26"/>
  <c r="J46" i="26"/>
  <c r="X45" i="26"/>
  <c r="T45" i="26"/>
  <c r="M45" i="26"/>
  <c r="L45" i="26"/>
  <c r="AF45" i="26" s="1"/>
  <c r="J45" i="26"/>
  <c r="X44" i="26"/>
  <c r="T44" i="26"/>
  <c r="M44" i="26"/>
  <c r="L44" i="26"/>
  <c r="J44" i="26"/>
  <c r="X43" i="26"/>
  <c r="T43" i="26"/>
  <c r="AO43" i="26" s="1"/>
  <c r="M43" i="26"/>
  <c r="L43" i="26"/>
  <c r="J43" i="26"/>
  <c r="X42" i="26"/>
  <c r="T42" i="26"/>
  <c r="M42" i="26"/>
  <c r="L42" i="26"/>
  <c r="J42" i="26"/>
  <c r="X41" i="26"/>
  <c r="T41" i="26"/>
  <c r="M41" i="26"/>
  <c r="L41" i="26"/>
  <c r="AM41" i="26" s="1"/>
  <c r="J41" i="26"/>
  <c r="X40" i="26"/>
  <c r="T40" i="26"/>
  <c r="M40" i="26"/>
  <c r="L40" i="26"/>
  <c r="J40" i="26"/>
  <c r="X39" i="26"/>
  <c r="T39" i="26"/>
  <c r="AO39" i="26" s="1"/>
  <c r="M39" i="26"/>
  <c r="L39" i="26"/>
  <c r="J39" i="26"/>
  <c r="X38" i="26"/>
  <c r="T38" i="26"/>
  <c r="M38" i="26"/>
  <c r="L38" i="26"/>
  <c r="J38" i="26"/>
  <c r="X37" i="26"/>
  <c r="T37" i="26"/>
  <c r="M37" i="26"/>
  <c r="L37" i="26"/>
  <c r="AM37" i="26" s="1"/>
  <c r="J37" i="26"/>
  <c r="X36" i="26"/>
  <c r="T36" i="26"/>
  <c r="M36" i="26"/>
  <c r="L36" i="26"/>
  <c r="J36" i="26"/>
  <c r="X35" i="26"/>
  <c r="T35" i="26"/>
  <c r="AO35" i="26" s="1"/>
  <c r="M35" i="26"/>
  <c r="L35" i="26"/>
  <c r="J35" i="26"/>
  <c r="X34" i="26"/>
  <c r="T34" i="26"/>
  <c r="M34" i="26"/>
  <c r="L34" i="26"/>
  <c r="J34" i="26"/>
  <c r="X33" i="26"/>
  <c r="T33" i="26"/>
  <c r="M33" i="26"/>
  <c r="L33" i="26"/>
  <c r="AM33" i="26" s="1"/>
  <c r="J33" i="26"/>
  <c r="X32" i="26"/>
  <c r="T32" i="26"/>
  <c r="M32" i="26"/>
  <c r="L32" i="26"/>
  <c r="J32" i="26"/>
  <c r="X31" i="26"/>
  <c r="T31" i="26"/>
  <c r="AO31" i="26" s="1"/>
  <c r="M31" i="26"/>
  <c r="L31" i="26"/>
  <c r="J31" i="26"/>
  <c r="X30" i="26"/>
  <c r="T30" i="26"/>
  <c r="M30" i="26"/>
  <c r="L30" i="26"/>
  <c r="J30" i="26"/>
  <c r="X29" i="26"/>
  <c r="T29" i="26"/>
  <c r="M29" i="26"/>
  <c r="L29" i="26"/>
  <c r="AM29" i="26" s="1"/>
  <c r="J29" i="26"/>
  <c r="X28" i="26"/>
  <c r="T28" i="26"/>
  <c r="M28" i="26"/>
  <c r="L28" i="26"/>
  <c r="J28" i="26"/>
  <c r="X27" i="26"/>
  <c r="T27" i="26"/>
  <c r="M27" i="26"/>
  <c r="L27" i="26"/>
  <c r="J27" i="26"/>
  <c r="X26" i="26"/>
  <c r="T26" i="26"/>
  <c r="M26" i="26"/>
  <c r="L26" i="26"/>
  <c r="AM26" i="26" s="1"/>
  <c r="J26" i="26"/>
  <c r="X25" i="26"/>
  <c r="T25" i="26"/>
  <c r="M25" i="26"/>
  <c r="L25" i="26"/>
  <c r="J25" i="26"/>
  <c r="X24" i="26"/>
  <c r="T24" i="26"/>
  <c r="AO24" i="26" s="1"/>
  <c r="M24" i="26"/>
  <c r="L24" i="26"/>
  <c r="J24" i="26"/>
  <c r="X23" i="26"/>
  <c r="T23" i="26"/>
  <c r="M23" i="26"/>
  <c r="L23" i="26"/>
  <c r="J23" i="26"/>
  <c r="X22" i="26"/>
  <c r="T22" i="26"/>
  <c r="M22" i="26"/>
  <c r="L22" i="26"/>
  <c r="J22" i="26"/>
  <c r="X21" i="26"/>
  <c r="T21" i="26"/>
  <c r="M21" i="26"/>
  <c r="L21" i="26"/>
  <c r="J21" i="26"/>
  <c r="X20" i="26"/>
  <c r="T20" i="26"/>
  <c r="AO20" i="26" s="1"/>
  <c r="M20" i="26"/>
  <c r="L20" i="26"/>
  <c r="J20" i="26"/>
  <c r="X19" i="26"/>
  <c r="T19" i="26"/>
  <c r="M19" i="26"/>
  <c r="L19" i="26"/>
  <c r="J19" i="26"/>
  <c r="X18" i="26"/>
  <c r="T18" i="26"/>
  <c r="M18" i="26"/>
  <c r="L18" i="26"/>
  <c r="AM18" i="26" s="1"/>
  <c r="J18" i="26"/>
  <c r="X17" i="26"/>
  <c r="T17" i="26"/>
  <c r="M17" i="26"/>
  <c r="L17" i="26"/>
  <c r="J17" i="26"/>
  <c r="X16" i="26"/>
  <c r="T16" i="26"/>
  <c r="AO16" i="26" s="1"/>
  <c r="M16" i="26"/>
  <c r="L16" i="26"/>
  <c r="J16" i="26"/>
  <c r="X15" i="26"/>
  <c r="T15" i="26"/>
  <c r="M15" i="26"/>
  <c r="L15" i="26"/>
  <c r="J15" i="26"/>
  <c r="X14" i="26"/>
  <c r="T14" i="26"/>
  <c r="M14" i="26"/>
  <c r="L14" i="26"/>
  <c r="J14" i="26"/>
  <c r="X13" i="26"/>
  <c r="T13" i="26"/>
  <c r="M13" i="26"/>
  <c r="L13" i="26"/>
  <c r="J13" i="26"/>
  <c r="X12" i="26"/>
  <c r="T12" i="26"/>
  <c r="M12" i="26"/>
  <c r="L12" i="26"/>
  <c r="J12" i="26"/>
  <c r="X11" i="26"/>
  <c r="T11" i="26"/>
  <c r="M11" i="26"/>
  <c r="L11" i="26"/>
  <c r="J11" i="26"/>
  <c r="X10" i="26"/>
  <c r="T10" i="26"/>
  <c r="M10" i="26"/>
  <c r="L10" i="26"/>
  <c r="J10" i="26"/>
  <c r="X9" i="26"/>
  <c r="T9" i="26"/>
  <c r="M9" i="26"/>
  <c r="L9" i="26"/>
  <c r="J9" i="26"/>
  <c r="X8" i="26"/>
  <c r="T8" i="26"/>
  <c r="M8" i="26"/>
  <c r="L8" i="26"/>
  <c r="J8" i="26"/>
  <c r="X7" i="26"/>
  <c r="T7" i="26"/>
  <c r="M7" i="26"/>
  <c r="AM7" i="26" s="1"/>
  <c r="L7" i="26"/>
  <c r="J7" i="26"/>
  <c r="X6" i="26"/>
  <c r="T6" i="26"/>
  <c r="M6" i="26"/>
  <c r="L6" i="26"/>
  <c r="J6" i="26"/>
  <c r="AM27" i="26" l="1"/>
  <c r="AO29" i="26"/>
  <c r="AO33" i="26"/>
  <c r="AO37" i="26"/>
  <c r="AM39" i="26"/>
  <c r="AO41" i="26"/>
  <c r="AM43" i="26"/>
  <c r="AO45" i="26"/>
  <c r="AM47" i="26"/>
  <c r="AO6" i="26"/>
  <c r="AO10" i="26"/>
  <c r="AO14" i="26"/>
  <c r="AO18" i="26"/>
  <c r="AO22" i="26"/>
  <c r="AO26" i="26"/>
  <c r="AO9" i="26"/>
  <c r="AF11" i="26"/>
  <c r="AG11" i="26" s="1"/>
  <c r="AH11" i="26" s="1"/>
  <c r="AJ11" i="26" s="1"/>
  <c r="AO13" i="26"/>
  <c r="AM14" i="26"/>
  <c r="AO17" i="26"/>
  <c r="AO21" i="26"/>
  <c r="AM23" i="26"/>
  <c r="AO25" i="26"/>
  <c r="AO28" i="26"/>
  <c r="AM30" i="26"/>
  <c r="AN30" i="26" s="1"/>
  <c r="AO32" i="26"/>
  <c r="AM34" i="26"/>
  <c r="AO36" i="26"/>
  <c r="AM38" i="26"/>
  <c r="AO40" i="26"/>
  <c r="AM42" i="26"/>
  <c r="AO44" i="26"/>
  <c r="AM46" i="26"/>
  <c r="AO48" i="26"/>
  <c r="AO7" i="26"/>
  <c r="AO11" i="26"/>
  <c r="AG49" i="26"/>
  <c r="AH49" i="26" s="1"/>
  <c r="AJ49" i="26" s="1"/>
  <c r="Q51" i="26"/>
  <c r="AF8" i="26"/>
  <c r="X50" i="26"/>
  <c r="AM6" i="26"/>
  <c r="AO8" i="26"/>
  <c r="AO12" i="26"/>
  <c r="AF14" i="26"/>
  <c r="AG14" i="26" s="1"/>
  <c r="AH14" i="26" s="1"/>
  <c r="AJ14" i="26" s="1"/>
  <c r="AO15" i="26"/>
  <c r="AO19" i="26"/>
  <c r="AO23" i="26"/>
  <c r="AM25" i="26"/>
  <c r="AO27" i="26"/>
  <c r="AO30" i="26"/>
  <c r="AO34" i="26"/>
  <c r="AO38" i="26"/>
  <c r="AM40" i="26"/>
  <c r="AO42" i="26"/>
  <c r="AO46" i="26"/>
  <c r="AM8" i="26"/>
  <c r="AN8" i="26" s="1"/>
  <c r="AM11" i="26"/>
  <c r="AN11" i="26" s="1"/>
  <c r="AF27" i="26"/>
  <c r="AG27" i="26" s="1"/>
  <c r="AH27" i="26" s="1"/>
  <c r="AJ27" i="26" s="1"/>
  <c r="AF35" i="26"/>
  <c r="AM35" i="26"/>
  <c r="AM45" i="26"/>
  <c r="AN45" i="26" s="1"/>
  <c r="AF7" i="26"/>
  <c r="AG7" i="26" s="1"/>
  <c r="AH7" i="26" s="1"/>
  <c r="AJ7" i="26" s="1"/>
  <c r="AM10" i="26"/>
  <c r="AM12" i="26"/>
  <c r="AM13" i="26"/>
  <c r="AM15" i="26"/>
  <c r="AF16" i="26"/>
  <c r="AG16" i="26" s="1"/>
  <c r="AM16" i="26"/>
  <c r="AF19" i="26"/>
  <c r="AG19" i="26" s="1"/>
  <c r="AH19" i="26" s="1"/>
  <c r="AJ19" i="26" s="1"/>
  <c r="AM19" i="26"/>
  <c r="AF31" i="26"/>
  <c r="AM31" i="26"/>
  <c r="AF48" i="26"/>
  <c r="AG48" i="26" s="1"/>
  <c r="AM48" i="26"/>
  <c r="AN49" i="26"/>
  <c r="AF20" i="26"/>
  <c r="AG20" i="26" s="1"/>
  <c r="AN27" i="26"/>
  <c r="AF30" i="26"/>
  <c r="M50" i="26"/>
  <c r="AF12" i="26"/>
  <c r="AG12" i="26" s="1"/>
  <c r="AH12" i="26" s="1"/>
  <c r="AJ12" i="26" s="1"/>
  <c r="AF15" i="26"/>
  <c r="AN15" i="26" s="1"/>
  <c r="AM20" i="26"/>
  <c r="AM21" i="26"/>
  <c r="AF44" i="26"/>
  <c r="AG44" i="26" s="1"/>
  <c r="AH44" i="26" s="1"/>
  <c r="AJ44" i="26" s="1"/>
  <c r="AM44" i="26"/>
  <c r="AG8" i="26"/>
  <c r="AH8" i="26" s="1"/>
  <c r="AJ8" i="26" s="1"/>
  <c r="AF10" i="26"/>
  <c r="AG10" i="26" s="1"/>
  <c r="AF18" i="26"/>
  <c r="AG18" i="26" s="1"/>
  <c r="AF40" i="26"/>
  <c r="L50" i="26"/>
  <c r="AF23" i="26"/>
  <c r="AN23" i="26" s="1"/>
  <c r="AF22" i="26"/>
  <c r="AG22" i="26" s="1"/>
  <c r="AM22" i="26"/>
  <c r="AG31" i="26"/>
  <c r="AM9" i="26"/>
  <c r="AM17" i="26"/>
  <c r="AG30" i="26"/>
  <c r="AH30" i="26" s="1"/>
  <c r="AJ30" i="26" s="1"/>
  <c r="AG35" i="26"/>
  <c r="AH35" i="26" s="1"/>
  <c r="AJ35" i="26" s="1"/>
  <c r="AF6" i="26"/>
  <c r="AG6" i="26" s="1"/>
  <c r="AF42" i="26"/>
  <c r="AN42" i="26" s="1"/>
  <c r="AF26" i="26"/>
  <c r="AF34" i="26"/>
  <c r="AF41" i="26"/>
  <c r="AN41" i="26" s="1"/>
  <c r="AG45" i="26"/>
  <c r="AH45" i="26" s="1"/>
  <c r="AJ45" i="26" s="1"/>
  <c r="T50" i="26"/>
  <c r="AF9" i="26"/>
  <c r="AF13" i="26"/>
  <c r="AG13" i="26" s="1"/>
  <c r="AF17" i="26"/>
  <c r="AF21" i="26"/>
  <c r="AM24" i="26"/>
  <c r="AM28" i="26"/>
  <c r="AM32" i="26"/>
  <c r="AM36" i="26"/>
  <c r="AF37" i="26"/>
  <c r="AG37" i="26" s="1"/>
  <c r="AF38" i="26"/>
  <c r="AF39" i="26"/>
  <c r="AN39" i="26" s="1"/>
  <c r="AF24" i="26"/>
  <c r="AF28" i="26"/>
  <c r="AF32" i="26"/>
  <c r="AF36" i="26"/>
  <c r="AF46" i="26"/>
  <c r="AF25" i="26"/>
  <c r="AG25" i="26" s="1"/>
  <c r="AF29" i="26"/>
  <c r="AN29" i="26" s="1"/>
  <c r="AF33" i="26"/>
  <c r="AF43" i="26"/>
  <c r="AF47" i="26"/>
  <c r="AN47" i="26" s="1"/>
  <c r="AN46" i="26" l="1"/>
  <c r="AG15" i="26"/>
  <c r="AN32" i="26"/>
  <c r="AN16" i="26"/>
  <c r="AN35" i="26"/>
  <c r="AG47" i="26"/>
  <c r="AH47" i="26" s="1"/>
  <c r="AJ47" i="26" s="1"/>
  <c r="AN22" i="26"/>
  <c r="AN14" i="26"/>
  <c r="AH16" i="26"/>
  <c r="AJ16" i="26" s="1"/>
  <c r="AN31" i="26"/>
  <c r="AN12" i="26"/>
  <c r="AN28" i="26"/>
  <c r="AH31" i="26"/>
  <c r="AJ31" i="26" s="1"/>
  <c r="AH15" i="26"/>
  <c r="AJ15" i="26" s="1"/>
  <c r="AN7" i="26"/>
  <c r="AN6" i="26"/>
  <c r="AH20" i="26"/>
  <c r="AJ20" i="26" s="1"/>
  <c r="AN20" i="26"/>
  <c r="AH48" i="26"/>
  <c r="AJ48" i="26" s="1"/>
  <c r="AN19" i="26"/>
  <c r="AN44" i="26"/>
  <c r="AN48" i="26"/>
  <c r="AN17" i="26"/>
  <c r="AN24" i="26"/>
  <c r="AG34" i="26"/>
  <c r="AH34" i="26" s="1"/>
  <c r="AJ34" i="26" s="1"/>
  <c r="AG24" i="26"/>
  <c r="AH24" i="26" s="1"/>
  <c r="AJ24" i="26" s="1"/>
  <c r="AG36" i="26"/>
  <c r="AH36" i="26" s="1"/>
  <c r="AJ36" i="26" s="1"/>
  <c r="AG33" i="26"/>
  <c r="AH33" i="26" s="1"/>
  <c r="AJ33" i="26" s="1"/>
  <c r="AH37" i="26"/>
  <c r="AN21" i="26"/>
  <c r="AN43" i="26"/>
  <c r="AN26" i="26"/>
  <c r="AG29" i="26"/>
  <c r="AH29" i="26" s="1"/>
  <c r="AJ29" i="26" s="1"/>
  <c r="AG42" i="26"/>
  <c r="AH42" i="26" s="1"/>
  <c r="AN34" i="26"/>
  <c r="AG39" i="26"/>
  <c r="AH39" i="26" s="1"/>
  <c r="AH25" i="26"/>
  <c r="AJ25" i="26" s="1"/>
  <c r="AG28" i="26"/>
  <c r="AH28" i="26" s="1"/>
  <c r="AJ28" i="26" s="1"/>
  <c r="AG38" i="26"/>
  <c r="AH38" i="26" s="1"/>
  <c r="AN38" i="26"/>
  <c r="AG43" i="26"/>
  <c r="AH43" i="26" s="1"/>
  <c r="AJ43" i="26" s="1"/>
  <c r="AN33" i="26"/>
  <c r="AN25" i="26"/>
  <c r="AH13" i="26"/>
  <c r="AJ13" i="26" s="1"/>
  <c r="AN13" i="26"/>
  <c r="AG41" i="26"/>
  <c r="AH41" i="26" s="1"/>
  <c r="AF50" i="26"/>
  <c r="AF66" i="26" s="1"/>
  <c r="AF68" i="26" s="1"/>
  <c r="AH6" i="26"/>
  <c r="AN9" i="26"/>
  <c r="AH22" i="26"/>
  <c r="AJ22" i="26" s="1"/>
  <c r="AG23" i="26"/>
  <c r="AH23" i="26" s="1"/>
  <c r="AJ23" i="26" s="1"/>
  <c r="AH10" i="26"/>
  <c r="AJ10" i="26" s="1"/>
  <c r="AN10" i="26"/>
  <c r="AG46" i="26"/>
  <c r="AH46" i="26" s="1"/>
  <c r="AJ46" i="26" s="1"/>
  <c r="AG40" i="26"/>
  <c r="AH40" i="26" s="1"/>
  <c r="AM50" i="26"/>
  <c r="AG9" i="26"/>
  <c r="AH9" i="26" s="1"/>
  <c r="AJ9" i="26" s="1"/>
  <c r="AG26" i="26"/>
  <c r="AH26" i="26" s="1"/>
  <c r="AJ26" i="26" s="1"/>
  <c r="AN37" i="26"/>
  <c r="AN40" i="26"/>
  <c r="AG21" i="26"/>
  <c r="AH21" i="26" s="1"/>
  <c r="AJ21" i="26" s="1"/>
  <c r="AG32" i="26"/>
  <c r="AH32" i="26" s="1"/>
  <c r="AJ32" i="26" s="1"/>
  <c r="AN36" i="26"/>
  <c r="AH18" i="26"/>
  <c r="AJ18" i="26" s="1"/>
  <c r="AN18" i="26"/>
  <c r="AG17" i="26"/>
  <c r="AH17" i="26" s="1"/>
  <c r="AJ17" i="26" s="1"/>
  <c r="AH50" i="26" l="1"/>
  <c r="AJ6" i="26"/>
  <c r="AG50" i="26"/>
  <c r="AF62" i="24" l="1"/>
  <c r="AH61" i="24"/>
  <c r="M61" i="24"/>
  <c r="AL45" i="24"/>
  <c r="AE45" i="24"/>
  <c r="AD45" i="24"/>
  <c r="AC45" i="24"/>
  <c r="AB45" i="24"/>
  <c r="AA45" i="24"/>
  <c r="Z45" i="24"/>
  <c r="Y45" i="24"/>
  <c r="W45" i="24"/>
  <c r="V45" i="24"/>
  <c r="U45" i="24"/>
  <c r="S45" i="24"/>
  <c r="R45" i="24"/>
  <c r="Q45" i="24"/>
  <c r="P45" i="24"/>
  <c r="O45" i="24"/>
  <c r="N45" i="24"/>
  <c r="K45" i="24"/>
  <c r="AM44" i="24"/>
  <c r="AJ44" i="24"/>
  <c r="X43" i="24"/>
  <c r="T43" i="24"/>
  <c r="M43" i="24"/>
  <c r="L43" i="24"/>
  <c r="J43" i="24"/>
  <c r="X42" i="24"/>
  <c r="T42" i="24"/>
  <c r="M42" i="24"/>
  <c r="L42" i="24"/>
  <c r="J42" i="24"/>
  <c r="X41" i="24"/>
  <c r="T41" i="24"/>
  <c r="M41" i="24"/>
  <c r="L41" i="24"/>
  <c r="J41" i="24"/>
  <c r="X40" i="24"/>
  <c r="T40" i="24"/>
  <c r="M40" i="24"/>
  <c r="L40" i="24"/>
  <c r="J40" i="24"/>
  <c r="X39" i="24"/>
  <c r="T39" i="24"/>
  <c r="M39" i="24"/>
  <c r="L39" i="24"/>
  <c r="J39" i="24"/>
  <c r="X38" i="24"/>
  <c r="T38" i="24"/>
  <c r="M38" i="24"/>
  <c r="L38" i="24"/>
  <c r="J38" i="24"/>
  <c r="X37" i="24"/>
  <c r="T37" i="24"/>
  <c r="M37" i="24"/>
  <c r="L37" i="24"/>
  <c r="J37" i="24"/>
  <c r="X36" i="24"/>
  <c r="T36" i="24"/>
  <c r="M36" i="24"/>
  <c r="L36" i="24"/>
  <c r="AM36" i="24" s="1"/>
  <c r="J36" i="24"/>
  <c r="X35" i="24"/>
  <c r="T35" i="24"/>
  <c r="M35" i="24"/>
  <c r="L35" i="24"/>
  <c r="J35" i="24"/>
  <c r="X34" i="24"/>
  <c r="T34" i="24"/>
  <c r="M34" i="24"/>
  <c r="L34" i="24"/>
  <c r="J34" i="24"/>
  <c r="X33" i="24"/>
  <c r="T33" i="24"/>
  <c r="M33" i="24"/>
  <c r="L33" i="24"/>
  <c r="J33" i="24"/>
  <c r="X32" i="24"/>
  <c r="T32" i="24"/>
  <c r="M32" i="24"/>
  <c r="L32" i="24"/>
  <c r="J32" i="24"/>
  <c r="X31" i="24"/>
  <c r="T31" i="24"/>
  <c r="M31" i="24"/>
  <c r="L31" i="24"/>
  <c r="J31" i="24"/>
  <c r="X30" i="24"/>
  <c r="T30" i="24"/>
  <c r="M30" i="24"/>
  <c r="L30" i="24"/>
  <c r="J30" i="24"/>
  <c r="X29" i="24"/>
  <c r="T29" i="24"/>
  <c r="M29" i="24"/>
  <c r="L29" i="24"/>
  <c r="J29" i="24"/>
  <c r="X28" i="24"/>
  <c r="T28" i="24"/>
  <c r="M28" i="24"/>
  <c r="L28" i="24"/>
  <c r="AM28" i="24" s="1"/>
  <c r="J28" i="24"/>
  <c r="X27" i="24"/>
  <c r="T27" i="24"/>
  <c r="M27" i="24"/>
  <c r="L27" i="24"/>
  <c r="J27" i="24"/>
  <c r="X26" i="24"/>
  <c r="T26" i="24"/>
  <c r="M26" i="24"/>
  <c r="L26" i="24"/>
  <c r="J26" i="24"/>
  <c r="X25" i="24"/>
  <c r="T25" i="24"/>
  <c r="M25" i="24"/>
  <c r="L25" i="24"/>
  <c r="J25" i="24"/>
  <c r="X24" i="24"/>
  <c r="T24" i="24"/>
  <c r="M24" i="24"/>
  <c r="L24" i="24"/>
  <c r="J24" i="24"/>
  <c r="X23" i="24"/>
  <c r="T23" i="24"/>
  <c r="M23" i="24"/>
  <c r="L23" i="24"/>
  <c r="J23" i="24"/>
  <c r="X22" i="24"/>
  <c r="T22" i="24"/>
  <c r="M22" i="24"/>
  <c r="L22" i="24"/>
  <c r="J22" i="24"/>
  <c r="X21" i="24"/>
  <c r="T21" i="24"/>
  <c r="M21" i="24"/>
  <c r="L21" i="24"/>
  <c r="J21" i="24"/>
  <c r="X20" i="24"/>
  <c r="T20" i="24"/>
  <c r="M20" i="24"/>
  <c r="L20" i="24"/>
  <c r="AM20" i="24" s="1"/>
  <c r="J20" i="24"/>
  <c r="X19" i="24"/>
  <c r="T19" i="24"/>
  <c r="M19" i="24"/>
  <c r="L19" i="24"/>
  <c r="J19" i="24"/>
  <c r="X18" i="24"/>
  <c r="T18" i="24"/>
  <c r="M18" i="24"/>
  <c r="L18" i="24"/>
  <c r="J18" i="24"/>
  <c r="X17" i="24"/>
  <c r="T17" i="24"/>
  <c r="M17" i="24"/>
  <c r="L17" i="24"/>
  <c r="J17" i="24"/>
  <c r="X16" i="24"/>
  <c r="T16" i="24"/>
  <c r="M16" i="24"/>
  <c r="L16" i="24"/>
  <c r="AM16" i="24" s="1"/>
  <c r="J16" i="24"/>
  <c r="X15" i="24"/>
  <c r="T15" i="24"/>
  <c r="M15" i="24"/>
  <c r="L15" i="24"/>
  <c r="J15" i="24"/>
  <c r="X14" i="24"/>
  <c r="T14" i="24"/>
  <c r="M14" i="24"/>
  <c r="L14" i="24"/>
  <c r="J14" i="24"/>
  <c r="X13" i="24"/>
  <c r="T13" i="24"/>
  <c r="M13" i="24"/>
  <c r="L13" i="24"/>
  <c r="J13" i="24"/>
  <c r="X12" i="24"/>
  <c r="T12" i="24"/>
  <c r="M12" i="24"/>
  <c r="L12" i="24"/>
  <c r="AM12" i="24" s="1"/>
  <c r="J12" i="24"/>
  <c r="X11" i="24"/>
  <c r="T11" i="24"/>
  <c r="M11" i="24"/>
  <c r="L11" i="24"/>
  <c r="J11" i="24"/>
  <c r="X10" i="24"/>
  <c r="T10" i="24"/>
  <c r="M10" i="24"/>
  <c r="L10" i="24"/>
  <c r="J10" i="24"/>
  <c r="X9" i="24"/>
  <c r="T9" i="24"/>
  <c r="M9" i="24"/>
  <c r="L9" i="24"/>
  <c r="J9" i="24"/>
  <c r="X8" i="24"/>
  <c r="T8" i="24"/>
  <c r="M8" i="24"/>
  <c r="L8" i="24"/>
  <c r="J8" i="24"/>
  <c r="X7" i="24"/>
  <c r="T7" i="24"/>
  <c r="M7" i="24"/>
  <c r="L7" i="24"/>
  <c r="J7" i="24"/>
  <c r="X6" i="24"/>
  <c r="T6" i="24"/>
  <c r="M6" i="24"/>
  <c r="L6" i="24"/>
  <c r="J6" i="24"/>
  <c r="AQ8" i="24" l="1"/>
  <c r="AM10" i="24"/>
  <c r="AQ12" i="24"/>
  <c r="AQ16" i="24"/>
  <c r="AM18" i="24"/>
  <c r="AQ20" i="24"/>
  <c r="AM22" i="24"/>
  <c r="AQ24" i="24"/>
  <c r="AM26" i="24"/>
  <c r="AQ28" i="24"/>
  <c r="AF30" i="24"/>
  <c r="AO30" i="24" s="1"/>
  <c r="AQ32" i="24"/>
  <c r="AQ36" i="24"/>
  <c r="AF38" i="24"/>
  <c r="AO38" i="24" s="1"/>
  <c r="AQ40" i="24"/>
  <c r="AM7" i="24"/>
  <c r="AQ9" i="24"/>
  <c r="AQ13" i="24"/>
  <c r="AM15" i="24"/>
  <c r="AQ17" i="24"/>
  <c r="AM19" i="24"/>
  <c r="AQ21" i="24"/>
  <c r="AM23" i="24"/>
  <c r="AQ25" i="24"/>
  <c r="AM27" i="24"/>
  <c r="AQ29" i="24"/>
  <c r="AM31" i="24"/>
  <c r="AQ33" i="24"/>
  <c r="AM35" i="24"/>
  <c r="AQ37" i="24"/>
  <c r="AM39" i="24"/>
  <c r="AQ41" i="24"/>
  <c r="AM43" i="24"/>
  <c r="AF9" i="24"/>
  <c r="AG9" i="24" s="1"/>
  <c r="AH9" i="24" s="1"/>
  <c r="AJ9" i="24" s="1"/>
  <c r="AM13" i="24"/>
  <c r="AN13" i="24" s="1"/>
  <c r="AQ6" i="24"/>
  <c r="AQ10" i="24"/>
  <c r="AQ14" i="24"/>
  <c r="AQ18" i="24"/>
  <c r="AQ22" i="24"/>
  <c r="AQ26" i="24"/>
  <c r="AQ30" i="24"/>
  <c r="AQ34" i="24"/>
  <c r="AQ38" i="24"/>
  <c r="AQ42" i="24"/>
  <c r="AQ7" i="24"/>
  <c r="AQ11" i="24"/>
  <c r="AQ15" i="24"/>
  <c r="AQ19" i="24"/>
  <c r="AQ23" i="24"/>
  <c r="AF25" i="24"/>
  <c r="AQ27" i="24"/>
  <c r="AQ31" i="24"/>
  <c r="AF33" i="24"/>
  <c r="AP33" i="24" s="1"/>
  <c r="AQ35" i="24"/>
  <c r="AQ39" i="24"/>
  <c r="AF41" i="24"/>
  <c r="AO41" i="24" s="1"/>
  <c r="AQ43" i="24"/>
  <c r="AM25" i="24"/>
  <c r="AM30" i="24"/>
  <c r="AM33" i="24"/>
  <c r="AM38" i="24"/>
  <c r="AN38" i="24" s="1"/>
  <c r="AM41" i="24"/>
  <c r="T45" i="24"/>
  <c r="AM8" i="24"/>
  <c r="AM11" i="24"/>
  <c r="AM14" i="24"/>
  <c r="AF21" i="24"/>
  <c r="AP21" i="24" s="1"/>
  <c r="AM21" i="24"/>
  <c r="AM24" i="24"/>
  <c r="AM32" i="24"/>
  <c r="AM40" i="24"/>
  <c r="AM9" i="24"/>
  <c r="AF13" i="24"/>
  <c r="AP13" i="24" s="1"/>
  <c r="AF17" i="24"/>
  <c r="AO17" i="24" s="1"/>
  <c r="AM17" i="24"/>
  <c r="AF29" i="24"/>
  <c r="AP29" i="24" s="1"/>
  <c r="AM29" i="24"/>
  <c r="AF34" i="24"/>
  <c r="AO34" i="24" s="1"/>
  <c r="AM34" i="24"/>
  <c r="AF37" i="24"/>
  <c r="AP37" i="24" s="1"/>
  <c r="AM37" i="24"/>
  <c r="AF42" i="24"/>
  <c r="AG42" i="24" s="1"/>
  <c r="AH42" i="24" s="1"/>
  <c r="AJ42" i="24" s="1"/>
  <c r="AM42" i="24"/>
  <c r="AP9" i="24"/>
  <c r="AO13" i="24"/>
  <c r="AG33" i="24"/>
  <c r="AH33" i="24" s="1"/>
  <c r="AJ33" i="24" s="1"/>
  <c r="AG41" i="24"/>
  <c r="AH41" i="24" s="1"/>
  <c r="AJ41" i="24" s="1"/>
  <c r="AF8" i="24"/>
  <c r="AF12" i="24"/>
  <c r="AG13" i="24"/>
  <c r="AH13" i="24" s="1"/>
  <c r="AJ13" i="24" s="1"/>
  <c r="AF16" i="24"/>
  <c r="AF20" i="24"/>
  <c r="AN20" i="24" s="1"/>
  <c r="AF24" i="24"/>
  <c r="X45" i="24"/>
  <c r="L45" i="24"/>
  <c r="AF26" i="24"/>
  <c r="AN26" i="24" s="1"/>
  <c r="AP30" i="24"/>
  <c r="AF6" i="24"/>
  <c r="AR6" i="24" s="1"/>
  <c r="AM6" i="24"/>
  <c r="AF10" i="24"/>
  <c r="AG10" i="24" s="1"/>
  <c r="AF14" i="24"/>
  <c r="AF18" i="24"/>
  <c r="AN18" i="24" s="1"/>
  <c r="AF22" i="24"/>
  <c r="M45" i="24"/>
  <c r="AF7" i="24"/>
  <c r="AF11" i="24"/>
  <c r="AF15" i="24"/>
  <c r="AF19" i="24"/>
  <c r="AF23" i="24"/>
  <c r="AN23" i="24" s="1"/>
  <c r="Q46" i="24"/>
  <c r="AF27" i="24"/>
  <c r="AN27" i="24" s="1"/>
  <c r="AF31" i="24"/>
  <c r="AF35" i="24"/>
  <c r="AG35" i="24" s="1"/>
  <c r="AF39" i="24"/>
  <c r="AF43" i="24"/>
  <c r="AN43" i="24" s="1"/>
  <c r="AF28" i="24"/>
  <c r="AF32" i="24"/>
  <c r="AF36" i="24"/>
  <c r="AN36" i="24" s="1"/>
  <c r="AF40" i="24"/>
  <c r="AG38" i="24" l="1"/>
  <c r="AH38" i="24" s="1"/>
  <c r="AJ38" i="24" s="1"/>
  <c r="AP38" i="24"/>
  <c r="AO33" i="24"/>
  <c r="AO9" i="24"/>
  <c r="AN39" i="24"/>
  <c r="AG30" i="24"/>
  <c r="AH30" i="24" s="1"/>
  <c r="AJ30" i="24" s="1"/>
  <c r="AG26" i="24"/>
  <c r="AN30" i="24"/>
  <c r="AN9" i="24"/>
  <c r="AG21" i="24"/>
  <c r="AH21" i="24" s="1"/>
  <c r="AJ21" i="24" s="1"/>
  <c r="AN32" i="24"/>
  <c r="AN40" i="24"/>
  <c r="AN15" i="24"/>
  <c r="AN14" i="24"/>
  <c r="AN35" i="24"/>
  <c r="AP41" i="24"/>
  <c r="AN41" i="24"/>
  <c r="AN25" i="24"/>
  <c r="AN31" i="24"/>
  <c r="AN19" i="24"/>
  <c r="AO37" i="24"/>
  <c r="AP25" i="24"/>
  <c r="AG25" i="24"/>
  <c r="AH25" i="24" s="1"/>
  <c r="AJ25" i="24" s="1"/>
  <c r="AG17" i="24"/>
  <c r="AH17" i="24" s="1"/>
  <c r="AJ17" i="24" s="1"/>
  <c r="AP17" i="24"/>
  <c r="AO25" i="24"/>
  <c r="AG34" i="24"/>
  <c r="AH34" i="24" s="1"/>
  <c r="AJ34" i="24" s="1"/>
  <c r="AP42" i="24"/>
  <c r="AP34" i="24"/>
  <c r="AN21" i="24"/>
  <c r="AN33" i="24"/>
  <c r="AO42" i="24"/>
  <c r="AN42" i="24"/>
  <c r="AN34" i="24"/>
  <c r="AN17" i="24"/>
  <c r="AG29" i="24"/>
  <c r="AH29" i="24" s="1"/>
  <c r="AJ29" i="24" s="1"/>
  <c r="AO29" i="24"/>
  <c r="AG39" i="24"/>
  <c r="AH39" i="24" s="1"/>
  <c r="AJ39" i="24" s="1"/>
  <c r="AG37" i="24"/>
  <c r="AH37" i="24" s="1"/>
  <c r="AJ37" i="24" s="1"/>
  <c r="AO21" i="24"/>
  <c r="AN37" i="24"/>
  <c r="AN29" i="24"/>
  <c r="AP28" i="24"/>
  <c r="AO28" i="24"/>
  <c r="AG28" i="24"/>
  <c r="AH28" i="24" s="1"/>
  <c r="AJ28" i="24" s="1"/>
  <c r="AP7" i="24"/>
  <c r="AO7" i="24"/>
  <c r="AG7" i="24"/>
  <c r="AH7" i="24" s="1"/>
  <c r="AJ7" i="24" s="1"/>
  <c r="AP24" i="24"/>
  <c r="AO24" i="24"/>
  <c r="AG24" i="24"/>
  <c r="AH24" i="24" s="1"/>
  <c r="AJ24" i="24" s="1"/>
  <c r="AP8" i="24"/>
  <c r="AO8" i="24"/>
  <c r="AG8" i="24"/>
  <c r="AH8" i="24" s="1"/>
  <c r="AJ8" i="24" s="1"/>
  <c r="AP43" i="24"/>
  <c r="AO43" i="24"/>
  <c r="AP27" i="24"/>
  <c r="AO27" i="24"/>
  <c r="AP36" i="24"/>
  <c r="AO36" i="24"/>
  <c r="AG36" i="24"/>
  <c r="AH36" i="24" s="1"/>
  <c r="AJ36" i="24" s="1"/>
  <c r="AG31" i="24"/>
  <c r="AH31" i="24" s="1"/>
  <c r="AJ31" i="24" s="1"/>
  <c r="AP15" i="24"/>
  <c r="AO15" i="24"/>
  <c r="AG15" i="24"/>
  <c r="AH15" i="24" s="1"/>
  <c r="AJ15" i="24" s="1"/>
  <c r="AP22" i="24"/>
  <c r="AO22" i="24"/>
  <c r="AP32" i="24"/>
  <c r="AO32" i="24"/>
  <c r="AG32" i="24"/>
  <c r="AH32" i="24" s="1"/>
  <c r="AJ32" i="24" s="1"/>
  <c r="AP35" i="24"/>
  <c r="AO35" i="24"/>
  <c r="AH35" i="24"/>
  <c r="AJ35" i="24" s="1"/>
  <c r="AG43" i="24"/>
  <c r="AH43" i="24" s="1"/>
  <c r="AJ43" i="24" s="1"/>
  <c r="AG27" i="24"/>
  <c r="AH27" i="24" s="1"/>
  <c r="AJ27" i="24" s="1"/>
  <c r="AP11" i="24"/>
  <c r="AO11" i="24"/>
  <c r="AG11" i="24"/>
  <c r="AH11" i="24" s="1"/>
  <c r="AJ11" i="24" s="1"/>
  <c r="AP18" i="24"/>
  <c r="AO18" i="24"/>
  <c r="AF45" i="24"/>
  <c r="AF61" i="24" s="1"/>
  <c r="AF63" i="24" s="1"/>
  <c r="AP6" i="24"/>
  <c r="AO6" i="24"/>
  <c r="AN22" i="24"/>
  <c r="AG18" i="24"/>
  <c r="AH18" i="24" s="1"/>
  <c r="AJ18" i="24" s="1"/>
  <c r="AG6" i="24"/>
  <c r="AH6" i="24" s="1"/>
  <c r="AN8" i="24"/>
  <c r="AP31" i="24"/>
  <c r="AO31" i="24"/>
  <c r="AP23" i="24"/>
  <c r="AO23" i="24"/>
  <c r="AG23" i="24"/>
  <c r="AH23" i="24" s="1"/>
  <c r="AJ23" i="24" s="1"/>
  <c r="AP14" i="24"/>
  <c r="AO14" i="24"/>
  <c r="AG14" i="24"/>
  <c r="AH14" i="24" s="1"/>
  <c r="AJ14" i="24" s="1"/>
  <c r="AP16" i="24"/>
  <c r="AO16" i="24"/>
  <c r="AG16" i="24"/>
  <c r="AH16" i="24" s="1"/>
  <c r="AJ16" i="24" s="1"/>
  <c r="AP40" i="24"/>
  <c r="AO40" i="24"/>
  <c r="AG40" i="24"/>
  <c r="AH40" i="24" s="1"/>
  <c r="AJ40" i="24" s="1"/>
  <c r="AP19" i="24"/>
  <c r="AO19" i="24"/>
  <c r="AG19" i="24"/>
  <c r="AH19" i="24" s="1"/>
  <c r="AJ19" i="24" s="1"/>
  <c r="AH10" i="24"/>
  <c r="AJ10" i="24" s="1"/>
  <c r="AP10" i="24"/>
  <c r="AO10" i="24"/>
  <c r="AP39" i="24"/>
  <c r="AO39" i="24"/>
  <c r="AM45" i="24"/>
  <c r="AN6" i="24"/>
  <c r="AO26" i="24"/>
  <c r="AH26" i="24"/>
  <c r="AJ26" i="24" s="1"/>
  <c r="AP26" i="24"/>
  <c r="AN10" i="24"/>
  <c r="AG22" i="24"/>
  <c r="AH22" i="24" s="1"/>
  <c r="AJ22" i="24" s="1"/>
  <c r="AN28" i="24"/>
  <c r="AP20" i="24"/>
  <c r="AO20" i="24"/>
  <c r="AG20" i="24"/>
  <c r="AH20" i="24" s="1"/>
  <c r="AJ20" i="24" s="1"/>
  <c r="AP12" i="24"/>
  <c r="AO12" i="24"/>
  <c r="AG12" i="24"/>
  <c r="AH12" i="24" s="1"/>
  <c r="AJ12" i="24" s="1"/>
  <c r="AN16" i="24"/>
  <c r="AN12" i="24"/>
  <c r="AN24" i="24"/>
  <c r="AN11" i="24"/>
  <c r="AN7" i="24"/>
  <c r="AH45" i="24" l="1"/>
  <c r="AJ6" i="24"/>
  <c r="AG45" i="24"/>
  <c r="V62" i="25" l="1"/>
  <c r="M62" i="25"/>
  <c r="AF46" i="25"/>
  <c r="AL45" i="25"/>
  <c r="AE45" i="25"/>
  <c r="AD45" i="25"/>
  <c r="AC45" i="25"/>
  <c r="AB45" i="25"/>
  <c r="AA45" i="25"/>
  <c r="Z45" i="25"/>
  <c r="Y45" i="25"/>
  <c r="W45" i="25"/>
  <c r="V45" i="25"/>
  <c r="U45" i="25"/>
  <c r="S45" i="25"/>
  <c r="R45" i="25"/>
  <c r="Q45" i="25"/>
  <c r="P45" i="25"/>
  <c r="O45" i="25"/>
  <c r="N45" i="25"/>
  <c r="K45" i="25"/>
  <c r="AO44" i="25"/>
  <c r="AM44" i="25"/>
  <c r="AJ44" i="25"/>
  <c r="X43" i="25"/>
  <c r="T43" i="25"/>
  <c r="AP43" i="25" s="1"/>
  <c r="M43" i="25"/>
  <c r="L43" i="25"/>
  <c r="J43" i="25"/>
  <c r="X42" i="25"/>
  <c r="T42" i="25"/>
  <c r="M42" i="25"/>
  <c r="L42" i="25"/>
  <c r="J42" i="25"/>
  <c r="X41" i="25"/>
  <c r="T41" i="25"/>
  <c r="M41" i="25"/>
  <c r="L41" i="25"/>
  <c r="J41" i="25"/>
  <c r="X40" i="25"/>
  <c r="T40" i="25"/>
  <c r="M40" i="25"/>
  <c r="L40" i="25"/>
  <c r="J40" i="25"/>
  <c r="X39" i="25"/>
  <c r="T39" i="25"/>
  <c r="AP39" i="25" s="1"/>
  <c r="M39" i="25"/>
  <c r="L39" i="25"/>
  <c r="J39" i="25"/>
  <c r="X38" i="25"/>
  <c r="T38" i="25"/>
  <c r="M38" i="25"/>
  <c r="L38" i="25"/>
  <c r="J38" i="25"/>
  <c r="X37" i="25"/>
  <c r="T37" i="25"/>
  <c r="M37" i="25"/>
  <c r="L37" i="25"/>
  <c r="J37" i="25"/>
  <c r="X36" i="25"/>
  <c r="T36" i="25"/>
  <c r="M36" i="25"/>
  <c r="L36" i="25"/>
  <c r="J36" i="25"/>
  <c r="X35" i="25"/>
  <c r="T35" i="25"/>
  <c r="AP35" i="25" s="1"/>
  <c r="M35" i="25"/>
  <c r="L35" i="25"/>
  <c r="J35" i="25"/>
  <c r="X34" i="25"/>
  <c r="T34" i="25"/>
  <c r="M34" i="25"/>
  <c r="L34" i="25"/>
  <c r="J34" i="25"/>
  <c r="X33" i="25"/>
  <c r="T33" i="25"/>
  <c r="M33" i="25"/>
  <c r="L33" i="25"/>
  <c r="J33" i="25"/>
  <c r="X32" i="25"/>
  <c r="T32" i="25"/>
  <c r="M32" i="25"/>
  <c r="L32" i="25"/>
  <c r="J32" i="25"/>
  <c r="X31" i="25"/>
  <c r="T31" i="25"/>
  <c r="AP31" i="25" s="1"/>
  <c r="M31" i="25"/>
  <c r="L31" i="25"/>
  <c r="J31" i="25"/>
  <c r="X30" i="25"/>
  <c r="T30" i="25"/>
  <c r="M30" i="25"/>
  <c r="L30" i="25"/>
  <c r="J30" i="25"/>
  <c r="X29" i="25"/>
  <c r="T29" i="25"/>
  <c r="M29" i="25"/>
  <c r="L29" i="25"/>
  <c r="J29" i="25"/>
  <c r="X28" i="25"/>
  <c r="T28" i="25"/>
  <c r="M28" i="25"/>
  <c r="L28" i="25"/>
  <c r="J28" i="25"/>
  <c r="X27" i="25"/>
  <c r="T27" i="25"/>
  <c r="AP27" i="25" s="1"/>
  <c r="M27" i="25"/>
  <c r="L27" i="25"/>
  <c r="J27" i="25"/>
  <c r="X26" i="25"/>
  <c r="T26" i="25"/>
  <c r="M26" i="25"/>
  <c r="L26" i="25"/>
  <c r="J26" i="25"/>
  <c r="X25" i="25"/>
  <c r="T25" i="25"/>
  <c r="M25" i="25"/>
  <c r="L25" i="25"/>
  <c r="AM25" i="25" s="1"/>
  <c r="J25" i="25"/>
  <c r="X24" i="25"/>
  <c r="T24" i="25"/>
  <c r="M24" i="25"/>
  <c r="L24" i="25"/>
  <c r="J24" i="25"/>
  <c r="X23" i="25"/>
  <c r="T23" i="25"/>
  <c r="AP23" i="25" s="1"/>
  <c r="M23" i="25"/>
  <c r="L23" i="25"/>
  <c r="J23" i="25"/>
  <c r="X22" i="25"/>
  <c r="T22" i="25"/>
  <c r="M22" i="25"/>
  <c r="L22" i="25"/>
  <c r="J22" i="25"/>
  <c r="X21" i="25"/>
  <c r="T21" i="25"/>
  <c r="M21" i="25"/>
  <c r="L21" i="25"/>
  <c r="J21" i="25"/>
  <c r="X20" i="25"/>
  <c r="T20" i="25"/>
  <c r="M20" i="25"/>
  <c r="L20" i="25"/>
  <c r="J20" i="25"/>
  <c r="X19" i="25"/>
  <c r="T19" i="25"/>
  <c r="AP19" i="25" s="1"/>
  <c r="M19" i="25"/>
  <c r="L19" i="25"/>
  <c r="J19" i="25"/>
  <c r="X18" i="25"/>
  <c r="T18" i="25"/>
  <c r="M18" i="25"/>
  <c r="L18" i="25"/>
  <c r="J18" i="25"/>
  <c r="X17" i="25"/>
  <c r="T17" i="25"/>
  <c r="M17" i="25"/>
  <c r="L17" i="25"/>
  <c r="J17" i="25"/>
  <c r="X16" i="25"/>
  <c r="T16" i="25"/>
  <c r="M16" i="25"/>
  <c r="L16" i="25"/>
  <c r="J16" i="25"/>
  <c r="X15" i="25"/>
  <c r="T15" i="25"/>
  <c r="AP15" i="25" s="1"/>
  <c r="M15" i="25"/>
  <c r="L15" i="25"/>
  <c r="J15" i="25"/>
  <c r="X14" i="25"/>
  <c r="T14" i="25"/>
  <c r="M14" i="25"/>
  <c r="L14" i="25"/>
  <c r="J14" i="25"/>
  <c r="X13" i="25"/>
  <c r="T13" i="25"/>
  <c r="M13" i="25"/>
  <c r="L13" i="25"/>
  <c r="J13" i="25"/>
  <c r="X12" i="25"/>
  <c r="T12" i="25"/>
  <c r="M12" i="25"/>
  <c r="L12" i="25"/>
  <c r="J12" i="25"/>
  <c r="X11" i="25"/>
  <c r="T11" i="25"/>
  <c r="AP11" i="25" s="1"/>
  <c r="M11" i="25"/>
  <c r="L11" i="25"/>
  <c r="J11" i="25"/>
  <c r="X10" i="25"/>
  <c r="T10" i="25"/>
  <c r="M10" i="25"/>
  <c r="L10" i="25"/>
  <c r="J10" i="25"/>
  <c r="X9" i="25"/>
  <c r="T9" i="25"/>
  <c r="M9" i="25"/>
  <c r="L9" i="25"/>
  <c r="J9" i="25"/>
  <c r="X8" i="25"/>
  <c r="T8" i="25"/>
  <c r="M8" i="25"/>
  <c r="L8" i="25"/>
  <c r="J8" i="25"/>
  <c r="X7" i="25"/>
  <c r="T7" i="25"/>
  <c r="AP7" i="25" s="1"/>
  <c r="M7" i="25"/>
  <c r="L7" i="25"/>
  <c r="J7" i="25"/>
  <c r="X6" i="25"/>
  <c r="T6" i="25"/>
  <c r="M6" i="25"/>
  <c r="L6" i="25"/>
  <c r="J6" i="25"/>
  <c r="AF9" i="25" l="1"/>
  <c r="AM12" i="25"/>
  <c r="AF41" i="25"/>
  <c r="AO41" i="25" s="1"/>
  <c r="AP9" i="25"/>
  <c r="AM11" i="25"/>
  <c r="AP13" i="25"/>
  <c r="AP17" i="25"/>
  <c r="AP21" i="25"/>
  <c r="AP25" i="25"/>
  <c r="AM26" i="25"/>
  <c r="AM27" i="25"/>
  <c r="AN27" i="25" s="1"/>
  <c r="AP29" i="25"/>
  <c r="AM31" i="25"/>
  <c r="AP33" i="25"/>
  <c r="AP37" i="25"/>
  <c r="AM39" i="25"/>
  <c r="AP41" i="25"/>
  <c r="X45" i="25"/>
  <c r="AF13" i="25"/>
  <c r="AG13" i="25" s="1"/>
  <c r="AH13" i="25" s="1"/>
  <c r="AJ13" i="25" s="1"/>
  <c r="AM33" i="25"/>
  <c r="AM37" i="25"/>
  <c r="AP6" i="25"/>
  <c r="AP10" i="25"/>
  <c r="AP14" i="25"/>
  <c r="AP18" i="25"/>
  <c r="AF20" i="25"/>
  <c r="AG20" i="25" s="1"/>
  <c r="AP22" i="25"/>
  <c r="AP26" i="25"/>
  <c r="AP30" i="25"/>
  <c r="AP34" i="25"/>
  <c r="AP38" i="25"/>
  <c r="AP42" i="25"/>
  <c r="AP8" i="25"/>
  <c r="AM10" i="25"/>
  <c r="AP12" i="25"/>
  <c r="AP16" i="25"/>
  <c r="AP20" i="25"/>
  <c r="AP24" i="25"/>
  <c r="AP28" i="25"/>
  <c r="AM30" i="25"/>
  <c r="AP32" i="25"/>
  <c r="AP36" i="25"/>
  <c r="AF38" i="25"/>
  <c r="AO38" i="25" s="1"/>
  <c r="AP40" i="25"/>
  <c r="AM38" i="25"/>
  <c r="AF11" i="25"/>
  <c r="AN11" i="25" s="1"/>
  <c r="AF14" i="25"/>
  <c r="AG14" i="25" s="1"/>
  <c r="AH14" i="25" s="1"/>
  <c r="AJ14" i="25" s="1"/>
  <c r="AM20" i="25"/>
  <c r="AF21" i="25"/>
  <c r="AG21" i="25" s="1"/>
  <c r="AH21" i="25" s="1"/>
  <c r="AJ21" i="25" s="1"/>
  <c r="AF25" i="25"/>
  <c r="AN25" i="25" s="1"/>
  <c r="AF28" i="25"/>
  <c r="AO28" i="25" s="1"/>
  <c r="AF34" i="25"/>
  <c r="AM34" i="25"/>
  <c r="AF42" i="25"/>
  <c r="AG42" i="25" s="1"/>
  <c r="AM42" i="25"/>
  <c r="AF15" i="25"/>
  <c r="AO15" i="25" s="1"/>
  <c r="AF18" i="25"/>
  <c r="AG18" i="25" s="1"/>
  <c r="AH18" i="25" s="1"/>
  <c r="AJ18" i="25" s="1"/>
  <c r="T45" i="25"/>
  <c r="AM8" i="25"/>
  <c r="AF12" i="25"/>
  <c r="AG12" i="25" s="1"/>
  <c r="AH12" i="25" s="1"/>
  <c r="AJ12" i="25" s="1"/>
  <c r="AM18" i="25"/>
  <c r="AN18" i="25" s="1"/>
  <c r="AM19" i="25"/>
  <c r="AM22" i="25"/>
  <c r="AF23" i="25"/>
  <c r="AO23" i="25" s="1"/>
  <c r="AM23" i="25"/>
  <c r="AF26" i="25"/>
  <c r="AG26" i="25" s="1"/>
  <c r="AH26" i="25" s="1"/>
  <c r="AJ26" i="25" s="1"/>
  <c r="AF33" i="25"/>
  <c r="AO33" i="25" s="1"/>
  <c r="AM35" i="25"/>
  <c r="AF35" i="25"/>
  <c r="AG35" i="25" s="1"/>
  <c r="AF37" i="25"/>
  <c r="AG37" i="25" s="1"/>
  <c r="AF40" i="25"/>
  <c r="AG40" i="25" s="1"/>
  <c r="AH40" i="25" s="1"/>
  <c r="AJ40" i="25" s="1"/>
  <c r="AM43" i="25"/>
  <c r="AM16" i="25"/>
  <c r="AF17" i="25"/>
  <c r="AO17" i="25" s="1"/>
  <c r="AM28" i="25"/>
  <c r="AN28" i="25" s="1"/>
  <c r="AM41" i="25"/>
  <c r="AF7" i="25"/>
  <c r="AO7" i="25" s="1"/>
  <c r="AF8" i="25"/>
  <c r="AO8" i="25" s="1"/>
  <c r="AM14" i="25"/>
  <c r="AN14" i="25" s="1"/>
  <c r="AM15" i="25"/>
  <c r="AN15" i="25" s="1"/>
  <c r="AF22" i="25"/>
  <c r="AO22" i="25" s="1"/>
  <c r="AM24" i="25"/>
  <c r="AF32" i="25"/>
  <c r="AO32" i="25" s="1"/>
  <c r="AF36" i="25"/>
  <c r="AO36" i="25" s="1"/>
  <c r="AO9" i="25"/>
  <c r="AO13" i="25"/>
  <c r="AG9" i="25"/>
  <c r="AH9" i="25" s="1"/>
  <c r="AJ9" i="25" s="1"/>
  <c r="L45" i="25"/>
  <c r="AF10" i="25"/>
  <c r="AM13" i="25"/>
  <c r="AF19" i="25"/>
  <c r="AM21" i="25"/>
  <c r="AF27" i="25"/>
  <c r="AF31" i="25"/>
  <c r="AN31" i="25" s="1"/>
  <c r="AF30" i="25"/>
  <c r="AM6" i="25"/>
  <c r="AM7" i="25"/>
  <c r="AM9" i="25"/>
  <c r="AN9" i="25" s="1"/>
  <c r="AF16" i="25"/>
  <c r="AM17" i="25"/>
  <c r="AF24" i="25"/>
  <c r="AN26" i="25"/>
  <c r="AG8" i="25"/>
  <c r="AH8" i="25" s="1"/>
  <c r="AJ8" i="25" s="1"/>
  <c r="AF6" i="25"/>
  <c r="AG17" i="25"/>
  <c r="AH17" i="25" s="1"/>
  <c r="AJ17" i="25" s="1"/>
  <c r="AH20" i="25"/>
  <c r="AJ20" i="25" s="1"/>
  <c r="AG15" i="25"/>
  <c r="AH15" i="25" s="1"/>
  <c r="AJ15" i="25" s="1"/>
  <c r="AM29" i="25"/>
  <c r="AF29" i="25"/>
  <c r="AM32" i="25"/>
  <c r="AM36" i="25"/>
  <c r="AM40" i="25"/>
  <c r="M45" i="25"/>
  <c r="AF39" i="25"/>
  <c r="AF43" i="25"/>
  <c r="AG41" i="25" l="1"/>
  <c r="AH41" i="25" s="1"/>
  <c r="AJ41" i="25" s="1"/>
  <c r="AG33" i="25"/>
  <c r="AH33" i="25" s="1"/>
  <c r="AJ33" i="25" s="1"/>
  <c r="AG38" i="25"/>
  <c r="AH38" i="25" s="1"/>
  <c r="AJ38" i="25" s="1"/>
  <c r="AH35" i="25"/>
  <c r="AJ35" i="25" s="1"/>
  <c r="AG22" i="25"/>
  <c r="AH22" i="25" s="1"/>
  <c r="AJ22" i="25" s="1"/>
  <c r="AN33" i="25"/>
  <c r="AO14" i="25"/>
  <c r="AO42" i="25"/>
  <c r="AO26" i="25"/>
  <c r="AN38" i="25"/>
  <c r="AN13" i="25"/>
  <c r="AN17" i="25"/>
  <c r="AO40" i="25"/>
  <c r="AN41" i="25"/>
  <c r="AN7" i="25"/>
  <c r="AN36" i="25"/>
  <c r="AN22" i="25"/>
  <c r="AN21" i="25"/>
  <c r="AO21" i="25"/>
  <c r="AN37" i="25"/>
  <c r="AO20" i="25"/>
  <c r="AN34" i="25"/>
  <c r="AN20" i="25"/>
  <c r="AN29" i="25"/>
  <c r="AN8" i="25"/>
  <c r="AG34" i="25"/>
  <c r="AH34" i="25" s="1"/>
  <c r="AJ34" i="25" s="1"/>
  <c r="AG23" i="25"/>
  <c r="AH23" i="25" s="1"/>
  <c r="AJ23" i="25" s="1"/>
  <c r="AN23" i="25"/>
  <c r="AG36" i="25"/>
  <c r="AH36" i="25" s="1"/>
  <c r="AJ36" i="25" s="1"/>
  <c r="AO34" i="25"/>
  <c r="AG28" i="25"/>
  <c r="AH28" i="25" s="1"/>
  <c r="AJ28" i="25" s="1"/>
  <c r="AN12" i="25"/>
  <c r="AO12" i="25"/>
  <c r="AG6" i="25"/>
  <c r="AH6" i="25" s="1"/>
  <c r="AQ6" i="25"/>
  <c r="AN40" i="25"/>
  <c r="AN30" i="25"/>
  <c r="AN16" i="25"/>
  <c r="AG11" i="25"/>
  <c r="AH11" i="25" s="1"/>
  <c r="AJ11" i="25" s="1"/>
  <c r="AN42" i="25"/>
  <c r="AN19" i="25"/>
  <c r="AO35" i="25"/>
  <c r="AH37" i="25"/>
  <c r="AJ37" i="25" s="1"/>
  <c r="AO37" i="25"/>
  <c r="AH42" i="25"/>
  <c r="AJ42" i="25" s="1"/>
  <c r="AO18" i="25"/>
  <c r="AG25" i="25"/>
  <c r="AH25" i="25" s="1"/>
  <c r="AJ25" i="25" s="1"/>
  <c r="AO25" i="25"/>
  <c r="AG32" i="25"/>
  <c r="AH32" i="25" s="1"/>
  <c r="AJ32" i="25" s="1"/>
  <c r="AG7" i="25"/>
  <c r="AH7" i="25" s="1"/>
  <c r="AJ7" i="25" s="1"/>
  <c r="AN32" i="25"/>
  <c r="AG19" i="25"/>
  <c r="AO11" i="25"/>
  <c r="AN35" i="25"/>
  <c r="AO16" i="25"/>
  <c r="AG16" i="25"/>
  <c r="AH16" i="25" s="1"/>
  <c r="AJ16" i="25" s="1"/>
  <c r="AO10" i="25"/>
  <c r="AG10" i="25"/>
  <c r="AO43" i="25"/>
  <c r="AG43" i="25"/>
  <c r="AH43" i="25" s="1"/>
  <c r="AJ43" i="25" s="1"/>
  <c r="AN43" i="25"/>
  <c r="AO29" i="25"/>
  <c r="AG29" i="25"/>
  <c r="AH29" i="25" s="1"/>
  <c r="AJ29" i="25" s="1"/>
  <c r="AO27" i="25"/>
  <c r="AG27" i="25"/>
  <c r="AH27" i="25" s="1"/>
  <c r="AJ27" i="25" s="1"/>
  <c r="AO24" i="25"/>
  <c r="AG24" i="25"/>
  <c r="AH24" i="25" s="1"/>
  <c r="AJ24" i="25" s="1"/>
  <c r="AN6" i="25"/>
  <c r="AM45" i="25"/>
  <c r="AO39" i="25"/>
  <c r="AG39" i="25"/>
  <c r="AH39" i="25" s="1"/>
  <c r="AJ39" i="25" s="1"/>
  <c r="AN39" i="25"/>
  <c r="AF45" i="25"/>
  <c r="AF62" i="25" s="1"/>
  <c r="AO6" i="25"/>
  <c r="AO30" i="25"/>
  <c r="AN10" i="25"/>
  <c r="AG30" i="25"/>
  <c r="AH30" i="25" s="1"/>
  <c r="AJ30" i="25" s="1"/>
  <c r="AO31" i="25"/>
  <c r="AG31" i="25"/>
  <c r="AH31" i="25" s="1"/>
  <c r="AJ31" i="25" s="1"/>
  <c r="AO19" i="25"/>
  <c r="AH19" i="25"/>
  <c r="AJ19" i="25" s="1"/>
  <c r="AN24" i="25"/>
  <c r="AG45" i="25" l="1"/>
  <c r="AH10" i="25"/>
  <c r="AJ10" i="25" s="1"/>
  <c r="AJ6" i="25"/>
  <c r="AN45" i="25"/>
  <c r="AH45" i="25" l="1"/>
  <c r="AJ107" i="11"/>
  <c r="AF92" i="11"/>
  <c r="AM91" i="11"/>
  <c r="AK91" i="11"/>
  <c r="AE91" i="11"/>
  <c r="AC91" i="11"/>
  <c r="AB91" i="11"/>
  <c r="AA91" i="11"/>
  <c r="Z91" i="11"/>
  <c r="Y91" i="11"/>
  <c r="W91" i="11"/>
  <c r="S91" i="11"/>
  <c r="R91" i="11"/>
  <c r="Q91" i="11"/>
  <c r="P91" i="11"/>
  <c r="O91" i="11"/>
  <c r="N91" i="11"/>
  <c r="K91" i="11"/>
  <c r="AN90" i="11"/>
  <c r="AI90" i="11"/>
  <c r="AJ90" i="11" s="1"/>
  <c r="AN89" i="11"/>
  <c r="AI89" i="11"/>
  <c r="AF89" i="11"/>
  <c r="J89" i="11"/>
  <c r="AN88" i="11"/>
  <c r="AI88" i="11"/>
  <c r="AF88" i="11"/>
  <c r="J88" i="11"/>
  <c r="AN87" i="11"/>
  <c r="AI87" i="11"/>
  <c r="AF87" i="11"/>
  <c r="J87" i="11"/>
  <c r="AN86" i="11"/>
  <c r="AI86" i="11"/>
  <c r="AF86" i="11"/>
  <c r="J86" i="11"/>
  <c r="AN85" i="11"/>
  <c r="AI85" i="11"/>
  <c r="AF85" i="11"/>
  <c r="AG85" i="11" s="1"/>
  <c r="AH85" i="11" s="1"/>
  <c r="J85" i="11"/>
  <c r="AN84" i="11"/>
  <c r="AI84" i="11"/>
  <c r="AF84" i="11"/>
  <c r="J84" i="11"/>
  <c r="AN83" i="11"/>
  <c r="AI83" i="11"/>
  <c r="AF83" i="11"/>
  <c r="AG83" i="11" s="1"/>
  <c r="AH83" i="11" s="1"/>
  <c r="J83" i="11"/>
  <c r="AN82" i="11"/>
  <c r="AI82" i="11"/>
  <c r="AF82" i="11"/>
  <c r="J82" i="11"/>
  <c r="AN81" i="11"/>
  <c r="AI81" i="11"/>
  <c r="AF81" i="11"/>
  <c r="J81" i="11"/>
  <c r="AN80" i="11"/>
  <c r="AI80" i="11"/>
  <c r="AF80" i="11"/>
  <c r="J80" i="11"/>
  <c r="AN79" i="11"/>
  <c r="AI79" i="11"/>
  <c r="AG79" i="11"/>
  <c r="AF79" i="11"/>
  <c r="J79" i="11"/>
  <c r="AN78" i="11"/>
  <c r="AI78" i="11"/>
  <c r="AF78" i="11"/>
  <c r="J78" i="11"/>
  <c r="AN77" i="11"/>
  <c r="AI77" i="11"/>
  <c r="AF77" i="11"/>
  <c r="J77" i="11"/>
  <c r="AN76" i="11"/>
  <c r="AI76" i="11"/>
  <c r="AF76" i="11"/>
  <c r="J76" i="11"/>
  <c r="AN75" i="11"/>
  <c r="AI75" i="11"/>
  <c r="AF75" i="11"/>
  <c r="J75" i="11"/>
  <c r="AN74" i="11"/>
  <c r="AI74" i="11"/>
  <c r="AF74" i="11"/>
  <c r="AG74" i="11" s="1"/>
  <c r="AH74" i="11" s="1"/>
  <c r="J74" i="11"/>
  <c r="AN73" i="11"/>
  <c r="AI73" i="11"/>
  <c r="AF73" i="11"/>
  <c r="J73" i="11"/>
  <c r="AN72" i="11"/>
  <c r="AI72" i="11"/>
  <c r="AF72" i="11"/>
  <c r="J72" i="11"/>
  <c r="AN71" i="11"/>
  <c r="AI71" i="11"/>
  <c r="AF71" i="11"/>
  <c r="J71" i="11"/>
  <c r="AN70" i="11"/>
  <c r="AI70" i="11"/>
  <c r="AF70" i="11"/>
  <c r="J70" i="11"/>
  <c r="AN69" i="11"/>
  <c r="AI69" i="11"/>
  <c r="AF69" i="11"/>
  <c r="J69" i="11"/>
  <c r="AN68" i="11"/>
  <c r="AI68" i="11"/>
  <c r="AF68" i="11"/>
  <c r="J68" i="11"/>
  <c r="AN67" i="11"/>
  <c r="AI67" i="11"/>
  <c r="AF67" i="11"/>
  <c r="J67" i="11"/>
  <c r="AN66" i="11"/>
  <c r="AI66" i="11"/>
  <c r="AF66" i="11"/>
  <c r="AG66" i="11" s="1"/>
  <c r="AH66" i="11" s="1"/>
  <c r="J66" i="11"/>
  <c r="AN65" i="11"/>
  <c r="AI65" i="11"/>
  <c r="AF65" i="11"/>
  <c r="J65" i="11"/>
  <c r="AN64" i="11"/>
  <c r="AI64" i="11"/>
  <c r="AF64" i="11"/>
  <c r="AG64" i="11" s="1"/>
  <c r="AH64" i="11" s="1"/>
  <c r="J64" i="11"/>
  <c r="AN63" i="11"/>
  <c r="AI63" i="11"/>
  <c r="AF63" i="11"/>
  <c r="J63" i="11"/>
  <c r="AN62" i="11"/>
  <c r="AI62" i="11"/>
  <c r="AF62" i="11"/>
  <c r="J62" i="11"/>
  <c r="AG62" i="11" s="1"/>
  <c r="AH62" i="11" s="1"/>
  <c r="AN61" i="11"/>
  <c r="AI61" i="11"/>
  <c r="AF61" i="11"/>
  <c r="J61" i="11"/>
  <c r="AG61" i="11" s="1"/>
  <c r="AH61" i="11" s="1"/>
  <c r="AN60" i="11"/>
  <c r="AI60" i="11"/>
  <c r="AF60" i="11"/>
  <c r="J60" i="11"/>
  <c r="AN59" i="11"/>
  <c r="AI59" i="11"/>
  <c r="AF59" i="11"/>
  <c r="J59" i="11"/>
  <c r="AG59" i="11" s="1"/>
  <c r="AN58" i="11"/>
  <c r="AI58" i="11"/>
  <c r="AF58" i="11"/>
  <c r="J58" i="11"/>
  <c r="AG58" i="11" s="1"/>
  <c r="AH58" i="11" s="1"/>
  <c r="AN57" i="11"/>
  <c r="AI57" i="11"/>
  <c r="AF57" i="11"/>
  <c r="J57" i="11"/>
  <c r="AN56" i="11"/>
  <c r="AI56" i="11"/>
  <c r="AF56" i="11"/>
  <c r="J56" i="11"/>
  <c r="AN55" i="11"/>
  <c r="AI55" i="11"/>
  <c r="AF55" i="11"/>
  <c r="J55" i="11"/>
  <c r="AN54" i="11"/>
  <c r="AI54" i="11"/>
  <c r="AF54" i="11"/>
  <c r="J54" i="11"/>
  <c r="AN53" i="11"/>
  <c r="AI53" i="11"/>
  <c r="AF53" i="11"/>
  <c r="J53" i="11"/>
  <c r="AN52" i="11"/>
  <c r="AI52" i="11"/>
  <c r="AF52" i="11"/>
  <c r="J52" i="11"/>
  <c r="AN51" i="11"/>
  <c r="AI51" i="11"/>
  <c r="AF51" i="11"/>
  <c r="J51" i="11"/>
  <c r="AN50" i="11"/>
  <c r="AI50" i="11"/>
  <c r="AF50" i="11"/>
  <c r="J50" i="11"/>
  <c r="AG50" i="11" s="1"/>
  <c r="AH50" i="11" s="1"/>
  <c r="AN49" i="11"/>
  <c r="AI49" i="11"/>
  <c r="AF49" i="11"/>
  <c r="J49" i="11"/>
  <c r="AN48" i="11"/>
  <c r="AI48" i="11"/>
  <c r="AF48" i="11"/>
  <c r="J48" i="11"/>
  <c r="AN47" i="11"/>
  <c r="AI47" i="11"/>
  <c r="AF47" i="11"/>
  <c r="J47" i="11"/>
  <c r="AN46" i="11"/>
  <c r="AI46" i="11"/>
  <c r="AF46" i="11"/>
  <c r="J46" i="11"/>
  <c r="AN45" i="11"/>
  <c r="AI45" i="11"/>
  <c r="AF45" i="11"/>
  <c r="J45" i="11"/>
  <c r="AN44" i="11"/>
  <c r="AI44" i="11"/>
  <c r="AF44" i="11"/>
  <c r="J44" i="11"/>
  <c r="AG44" i="11" s="1"/>
  <c r="X43" i="11"/>
  <c r="T43" i="11"/>
  <c r="M43" i="11"/>
  <c r="L43" i="11"/>
  <c r="AN43" i="11" s="1"/>
  <c r="J43" i="11"/>
  <c r="X42" i="11"/>
  <c r="T42" i="11"/>
  <c r="M42" i="11"/>
  <c r="L42" i="11"/>
  <c r="J42" i="11"/>
  <c r="X41" i="11"/>
  <c r="V41" i="11"/>
  <c r="U41" i="11"/>
  <c r="T41" i="11"/>
  <c r="M41" i="11"/>
  <c r="L41" i="11"/>
  <c r="J41" i="11"/>
  <c r="X40" i="11"/>
  <c r="V40" i="11"/>
  <c r="U40" i="11"/>
  <c r="T40" i="11"/>
  <c r="M40" i="11"/>
  <c r="L40" i="11"/>
  <c r="J40" i="11"/>
  <c r="X39" i="11"/>
  <c r="V39" i="11"/>
  <c r="U39" i="11"/>
  <c r="T39" i="11"/>
  <c r="M39" i="11"/>
  <c r="L39" i="11"/>
  <c r="J39" i="11"/>
  <c r="X38" i="11"/>
  <c r="V38" i="11"/>
  <c r="U38" i="11"/>
  <c r="T38" i="11"/>
  <c r="M38" i="11"/>
  <c r="L38" i="11"/>
  <c r="J38" i="11"/>
  <c r="AD37" i="11"/>
  <c r="X37" i="11"/>
  <c r="T37" i="11"/>
  <c r="M37" i="11"/>
  <c r="L37" i="11"/>
  <c r="J37" i="11"/>
  <c r="AD36" i="11"/>
  <c r="X36" i="11"/>
  <c r="T36" i="11"/>
  <c r="M36" i="11"/>
  <c r="L36" i="11"/>
  <c r="J36" i="11"/>
  <c r="AD35" i="11"/>
  <c r="X35" i="11"/>
  <c r="T35" i="11"/>
  <c r="M35" i="11"/>
  <c r="L35" i="11"/>
  <c r="J35" i="11"/>
  <c r="AD34" i="11"/>
  <c r="X34" i="11"/>
  <c r="T34" i="11"/>
  <c r="M34" i="11"/>
  <c r="L34" i="11"/>
  <c r="J34" i="11"/>
  <c r="AD33" i="11"/>
  <c r="X33" i="11"/>
  <c r="T33" i="11"/>
  <c r="M33" i="11"/>
  <c r="L33" i="11"/>
  <c r="J33" i="11"/>
  <c r="AD32" i="11"/>
  <c r="X32" i="11"/>
  <c r="T32" i="11"/>
  <c r="M32" i="11"/>
  <c r="L32" i="11"/>
  <c r="J32" i="11"/>
  <c r="AD31" i="11"/>
  <c r="X31" i="11"/>
  <c r="T31" i="11"/>
  <c r="M31" i="11"/>
  <c r="L31" i="11"/>
  <c r="J31" i="11"/>
  <c r="AD30" i="11"/>
  <c r="X30" i="11"/>
  <c r="T30" i="11"/>
  <c r="M30" i="11"/>
  <c r="L30" i="11"/>
  <c r="J30" i="11"/>
  <c r="AD29" i="11"/>
  <c r="X29" i="11"/>
  <c r="T29" i="11"/>
  <c r="M29" i="11"/>
  <c r="L29" i="11"/>
  <c r="J29" i="11"/>
  <c r="AD28" i="11"/>
  <c r="X28" i="11"/>
  <c r="T28" i="11"/>
  <c r="M28" i="11"/>
  <c r="L28" i="11"/>
  <c r="J28" i="11"/>
  <c r="AD27" i="11"/>
  <c r="X27" i="11"/>
  <c r="T27" i="11"/>
  <c r="M27" i="11"/>
  <c r="L27" i="11"/>
  <c r="J27" i="11"/>
  <c r="AD26" i="11"/>
  <c r="X26" i="11"/>
  <c r="T26" i="11"/>
  <c r="M26" i="11"/>
  <c r="L26" i="11"/>
  <c r="J26" i="11"/>
  <c r="AD25" i="11"/>
  <c r="X25" i="11"/>
  <c r="T25" i="11"/>
  <c r="M25" i="11"/>
  <c r="L25" i="11"/>
  <c r="J25" i="11"/>
  <c r="AD24" i="11"/>
  <c r="X24" i="11"/>
  <c r="T24" i="11"/>
  <c r="M24" i="11"/>
  <c r="L24" i="11"/>
  <c r="J24" i="11"/>
  <c r="AD23" i="11"/>
  <c r="X23" i="11"/>
  <c r="T23" i="11"/>
  <c r="M23" i="11"/>
  <c r="L23" i="11"/>
  <c r="J23" i="11"/>
  <c r="AD22" i="11"/>
  <c r="X22" i="11"/>
  <c r="T22" i="11"/>
  <c r="M22" i="11"/>
  <c r="L22" i="11"/>
  <c r="J22" i="11"/>
  <c r="AD21" i="11"/>
  <c r="X21" i="11"/>
  <c r="T21" i="11"/>
  <c r="M21" i="11"/>
  <c r="L21" i="11"/>
  <c r="J21" i="11"/>
  <c r="AD20" i="11"/>
  <c r="X20" i="11"/>
  <c r="T20" i="11"/>
  <c r="M20" i="11"/>
  <c r="L20" i="11"/>
  <c r="J20" i="11"/>
  <c r="AD19" i="11"/>
  <c r="X19" i="11"/>
  <c r="T19" i="11"/>
  <c r="M19" i="11"/>
  <c r="L19" i="11"/>
  <c r="J19" i="11"/>
  <c r="AD18" i="11"/>
  <c r="X18" i="11"/>
  <c r="T18" i="11"/>
  <c r="M18" i="11"/>
  <c r="L18" i="11"/>
  <c r="J18" i="11"/>
  <c r="AD17" i="11"/>
  <c r="X17" i="11"/>
  <c r="T17" i="11"/>
  <c r="M17" i="11"/>
  <c r="L17" i="11"/>
  <c r="J17" i="11"/>
  <c r="AD16" i="11"/>
  <c r="X16" i="11"/>
  <c r="T16" i="11"/>
  <c r="M16" i="11"/>
  <c r="L16" i="11"/>
  <c r="J16" i="11"/>
  <c r="AD15" i="11"/>
  <c r="X15" i="11"/>
  <c r="T15" i="11"/>
  <c r="M15" i="11"/>
  <c r="L15" i="11"/>
  <c r="J15" i="11"/>
  <c r="AD14" i="11"/>
  <c r="X14" i="11"/>
  <c r="T14" i="11"/>
  <c r="M14" i="11"/>
  <c r="L14" i="11"/>
  <c r="J14" i="11"/>
  <c r="AD13" i="11"/>
  <c r="X13" i="11"/>
  <c r="T13" i="11"/>
  <c r="M13" i="11"/>
  <c r="L13" i="11"/>
  <c r="J13" i="11"/>
  <c r="AD12" i="11"/>
  <c r="X12" i="11"/>
  <c r="T12" i="11"/>
  <c r="M12" i="11"/>
  <c r="L12" i="11"/>
  <c r="J12" i="11"/>
  <c r="AD11" i="11"/>
  <c r="X11" i="11"/>
  <c r="T11" i="11"/>
  <c r="M11" i="11"/>
  <c r="L11" i="11"/>
  <c r="J11" i="11"/>
  <c r="AD10" i="11"/>
  <c r="X10" i="11"/>
  <c r="T10" i="11"/>
  <c r="M10" i="11"/>
  <c r="L10" i="11"/>
  <c r="J10" i="11"/>
  <c r="AD9" i="11"/>
  <c r="X9" i="11"/>
  <c r="T9" i="11"/>
  <c r="M9" i="11"/>
  <c r="L9" i="11"/>
  <c r="J9" i="11"/>
  <c r="AD8" i="11"/>
  <c r="X8" i="11"/>
  <c r="T8" i="11"/>
  <c r="M8" i="11"/>
  <c r="L8" i="11"/>
  <c r="J8" i="11"/>
  <c r="AD7" i="11"/>
  <c r="X7" i="11"/>
  <c r="U7" i="11"/>
  <c r="T7" i="11"/>
  <c r="M7" i="11"/>
  <c r="L7" i="11"/>
  <c r="AN7" i="11" s="1"/>
  <c r="J7" i="11"/>
  <c r="AD6" i="11"/>
  <c r="X6" i="11"/>
  <c r="U6" i="11"/>
  <c r="T6" i="11"/>
  <c r="M6" i="11"/>
  <c r="L6" i="11"/>
  <c r="J6" i="11"/>
  <c r="AN10" i="11" l="1"/>
  <c r="AN34" i="11"/>
  <c r="AJ85" i="11"/>
  <c r="AN14" i="11"/>
  <c r="AN18" i="11"/>
  <c r="AN32" i="11"/>
  <c r="AF29" i="11"/>
  <c r="AQ29" i="11" s="1"/>
  <c r="AF31" i="11"/>
  <c r="AR43" i="11"/>
  <c r="AG45" i="11"/>
  <c r="AH45" i="11" s="1"/>
  <c r="AL45" i="11" s="1"/>
  <c r="AG52" i="11"/>
  <c r="AH52" i="11" s="1"/>
  <c r="AG54" i="11"/>
  <c r="AH54" i="11" s="1"/>
  <c r="AG56" i="11"/>
  <c r="AH56" i="11" s="1"/>
  <c r="AG68" i="11"/>
  <c r="AH68" i="11" s="1"/>
  <c r="AJ68" i="11" s="1"/>
  <c r="AG69" i="11"/>
  <c r="AH69" i="11" s="1"/>
  <c r="AJ69" i="11" s="1"/>
  <c r="AG70" i="11"/>
  <c r="AH70" i="11" s="1"/>
  <c r="AG71" i="11"/>
  <c r="AH71" i="11" s="1"/>
  <c r="AG75" i="11"/>
  <c r="AH75" i="11" s="1"/>
  <c r="AG76" i="11"/>
  <c r="AH76" i="11" s="1"/>
  <c r="AG77" i="11"/>
  <c r="AH77" i="11" s="1"/>
  <c r="O92" i="11"/>
  <c r="AN13" i="11"/>
  <c r="AG86" i="11"/>
  <c r="AG88" i="11"/>
  <c r="AG89" i="11"/>
  <c r="AH89" i="11" s="1"/>
  <c r="AJ89" i="11" s="1"/>
  <c r="AN6" i="11"/>
  <c r="AR14" i="11"/>
  <c r="AR32" i="11"/>
  <c r="AR34" i="11"/>
  <c r="AH44" i="11"/>
  <c r="AG46" i="11"/>
  <c r="AH46" i="11" s="1"/>
  <c r="AL46" i="11" s="1"/>
  <c r="AG47" i="11"/>
  <c r="AH47" i="11" s="1"/>
  <c r="AL47" i="11" s="1"/>
  <c r="AG60" i="11"/>
  <c r="AH60" i="11" s="1"/>
  <c r="AJ60" i="11" s="1"/>
  <c r="AG63" i="11"/>
  <c r="AH63" i="11" s="1"/>
  <c r="AG65" i="11"/>
  <c r="AH65" i="11" s="1"/>
  <c r="AJ65" i="11" s="1"/>
  <c r="AG78" i="11"/>
  <c r="AH78" i="11" s="1"/>
  <c r="AJ78" i="11" s="1"/>
  <c r="AH79" i="11"/>
  <c r="AJ79" i="11" s="1"/>
  <c r="AG80" i="11"/>
  <c r="AH80" i="11" s="1"/>
  <c r="AJ80" i="11" s="1"/>
  <c r="AG81" i="11"/>
  <c r="AH81" i="11" s="1"/>
  <c r="AJ81" i="11" s="1"/>
  <c r="AG82" i="11"/>
  <c r="AH82" i="11" s="1"/>
  <c r="AJ82" i="11" s="1"/>
  <c r="AG84" i="11"/>
  <c r="AH84" i="11" s="1"/>
  <c r="U91" i="11"/>
  <c r="AN8" i="11"/>
  <c r="AR9" i="11"/>
  <c r="AR11" i="11"/>
  <c r="AR13" i="11"/>
  <c r="AR15" i="11"/>
  <c r="AN16" i="11"/>
  <c r="AR17" i="11"/>
  <c r="AR19" i="11"/>
  <c r="AN20" i="11"/>
  <c r="AR21" i="11"/>
  <c r="AR23" i="11"/>
  <c r="AR25" i="11"/>
  <c r="AR27" i="11"/>
  <c r="AN28" i="11"/>
  <c r="AR29" i="11"/>
  <c r="AN30" i="11"/>
  <c r="AR31" i="11"/>
  <c r="AF36" i="11"/>
  <c r="AG36" i="11" s="1"/>
  <c r="AR37" i="11"/>
  <c r="V91" i="11"/>
  <c r="AF39" i="11"/>
  <c r="AP39" i="11" s="1"/>
  <c r="AR40" i="11"/>
  <c r="AN42" i="11"/>
  <c r="AI91" i="11"/>
  <c r="AG48" i="11"/>
  <c r="AH48" i="11" s="1"/>
  <c r="AG49" i="11"/>
  <c r="AH49" i="11" s="1"/>
  <c r="AJ49" i="11" s="1"/>
  <c r="AG51" i="11"/>
  <c r="AH51" i="11" s="1"/>
  <c r="AG53" i="11"/>
  <c r="AH53" i="11" s="1"/>
  <c r="AJ53" i="11" s="1"/>
  <c r="AG55" i="11"/>
  <c r="AG57" i="11"/>
  <c r="AH57" i="11" s="1"/>
  <c r="AJ57" i="11" s="1"/>
  <c r="AG67" i="11"/>
  <c r="AH67" i="11" s="1"/>
  <c r="AG72" i="11"/>
  <c r="AH72" i="11" s="1"/>
  <c r="AL72" i="11" s="1"/>
  <c r="AG73" i="11"/>
  <c r="AH73" i="11" s="1"/>
  <c r="AL73" i="11" s="1"/>
  <c r="AH86" i="11"/>
  <c r="AJ86" i="11" s="1"/>
  <c r="AG87" i="11"/>
  <c r="AH87" i="11" s="1"/>
  <c r="AH88" i="11"/>
  <c r="AJ88" i="11" s="1"/>
  <c r="AR39" i="11"/>
  <c r="T91" i="11"/>
  <c r="AR6" i="11"/>
  <c r="AF6" i="11"/>
  <c r="AS6" i="11" s="1"/>
  <c r="AN15" i="11"/>
  <c r="AR16" i="11"/>
  <c r="AF22" i="11"/>
  <c r="AF30" i="11"/>
  <c r="AP30" i="11" s="1"/>
  <c r="AF35" i="11"/>
  <c r="AG35" i="11" s="1"/>
  <c r="AH35" i="11" s="1"/>
  <c r="AN35" i="11"/>
  <c r="AR36" i="11"/>
  <c r="AN37" i="11"/>
  <c r="AR38" i="11"/>
  <c r="AL90" i="11"/>
  <c r="AF13" i="11"/>
  <c r="AQ13" i="11" s="1"/>
  <c r="AN31" i="11"/>
  <c r="AF7" i="11"/>
  <c r="AO7" i="11" s="1"/>
  <c r="AR7" i="11"/>
  <c r="AR8" i="11"/>
  <c r="AR10" i="11"/>
  <c r="AN11" i="11"/>
  <c r="AR12" i="11"/>
  <c r="AF17" i="11"/>
  <c r="AQ17" i="11" s="1"/>
  <c r="AN17" i="11"/>
  <c r="AR18" i="11"/>
  <c r="AN19" i="11"/>
  <c r="AR20" i="11"/>
  <c r="AN21" i="11"/>
  <c r="AR22" i="11"/>
  <c r="AF23" i="11"/>
  <c r="AR24" i="11"/>
  <c r="AF25" i="11"/>
  <c r="AQ25" i="11" s="1"/>
  <c r="AR26" i="11"/>
  <c r="AN27" i="11"/>
  <c r="AR28" i="11"/>
  <c r="AR30" i="11"/>
  <c r="AR33" i="11"/>
  <c r="AR35" i="11"/>
  <c r="AR41" i="11"/>
  <c r="AF41" i="11"/>
  <c r="AP41" i="11" s="1"/>
  <c r="AR42" i="11"/>
  <c r="AJ72" i="11"/>
  <c r="AL88" i="11"/>
  <c r="AH55" i="11"/>
  <c r="AJ55" i="11" s="1"/>
  <c r="AJ76" i="11"/>
  <c r="AL76" i="11"/>
  <c r="AJ77" i="11"/>
  <c r="AL77" i="11"/>
  <c r="AJ44" i="11"/>
  <c r="AL44" i="11"/>
  <c r="AH59" i="11"/>
  <c r="AJ59" i="11" s="1"/>
  <c r="AJ45" i="11"/>
  <c r="AJ64" i="11"/>
  <c r="AL64" i="11"/>
  <c r="AJ73" i="11"/>
  <c r="AJ52" i="11"/>
  <c r="AL52" i="11"/>
  <c r="AJ56" i="11"/>
  <c r="AL56" i="11"/>
  <c r="AJ61" i="11"/>
  <c r="AL61" i="11"/>
  <c r="AL60" i="11"/>
  <c r="AL80" i="11"/>
  <c r="AP22" i="11"/>
  <c r="AQ22" i="11"/>
  <c r="AG22" i="11"/>
  <c r="AH22" i="11" s="1"/>
  <c r="AG17" i="11"/>
  <c r="AH17" i="11" s="1"/>
  <c r="AP29" i="11"/>
  <c r="AN9" i="11"/>
  <c r="AF9" i="11"/>
  <c r="AQ23" i="11"/>
  <c r="AP23" i="11"/>
  <c r="AG23" i="11"/>
  <c r="AH23" i="11" s="1"/>
  <c r="AJ46" i="11"/>
  <c r="AF10" i="11"/>
  <c r="AN12" i="11"/>
  <c r="AF12" i="11"/>
  <c r="AN23" i="11"/>
  <c r="AO23" i="11" s="1"/>
  <c r="AO13" i="11"/>
  <c r="AF14" i="11"/>
  <c r="AO14" i="11" s="1"/>
  <c r="AN22" i="11"/>
  <c r="AO22" i="11" s="1"/>
  <c r="AD91" i="11"/>
  <c r="AN24" i="11"/>
  <c r="AF24" i="11"/>
  <c r="AG24" i="11" s="1"/>
  <c r="AJ50" i="11"/>
  <c r="AL50" i="11"/>
  <c r="AJ58" i="11"/>
  <c r="AL58" i="11"/>
  <c r="AJ62" i="11"/>
  <c r="AL62" i="11"/>
  <c r="AP31" i="11"/>
  <c r="AQ31" i="11"/>
  <c r="AL82" i="11"/>
  <c r="AP13" i="11"/>
  <c r="AJ66" i="11"/>
  <c r="AL66" i="11"/>
  <c r="AJ74" i="11"/>
  <c r="AL74" i="11"/>
  <c r="AL78" i="11"/>
  <c r="AJ47" i="11"/>
  <c r="AF18" i="11"/>
  <c r="AO18" i="11" s="1"/>
  <c r="AF26" i="11"/>
  <c r="AG31" i="11"/>
  <c r="AH31" i="11" s="1"/>
  <c r="AJ83" i="11"/>
  <c r="AL83" i="11"/>
  <c r="L91" i="11"/>
  <c r="AF15" i="11"/>
  <c r="AG15" i="11" s="1"/>
  <c r="AF27" i="11"/>
  <c r="AG29" i="11"/>
  <c r="AH29" i="11" s="1"/>
  <c r="M91" i="11"/>
  <c r="M93" i="11" s="1"/>
  <c r="AF8" i="11"/>
  <c r="AF11" i="11"/>
  <c r="AF16" i="11"/>
  <c r="AO16" i="11" s="1"/>
  <c r="AF21" i="11"/>
  <c r="AF28" i="11"/>
  <c r="AF32" i="11"/>
  <c r="AG32" i="11" s="1"/>
  <c r="AN33" i="11"/>
  <c r="AF33" i="11"/>
  <c r="AN40" i="11"/>
  <c r="AF40" i="11"/>
  <c r="AG40" i="11" s="1"/>
  <c r="AL53" i="11"/>
  <c r="AL69" i="11"/>
  <c r="AL85" i="11"/>
  <c r="AF42" i="11"/>
  <c r="AJ54" i="11"/>
  <c r="AL54" i="11"/>
  <c r="AJ70" i="11"/>
  <c r="AL70" i="11"/>
  <c r="AF19" i="11"/>
  <c r="AG19" i="11" s="1"/>
  <c r="AN25" i="11"/>
  <c r="AN26" i="11"/>
  <c r="AO31" i="11"/>
  <c r="X91" i="11"/>
  <c r="AF20" i="11"/>
  <c r="AG20" i="11" s="1"/>
  <c r="AN36" i="11"/>
  <c r="AO36" i="11" s="1"/>
  <c r="AF37" i="11"/>
  <c r="AG37" i="11" s="1"/>
  <c r="AN38" i="11"/>
  <c r="AF38" i="11"/>
  <c r="AL49" i="11"/>
  <c r="AJ87" i="11"/>
  <c r="AL87" i="11"/>
  <c r="AN29" i="11"/>
  <c r="AF34" i="11"/>
  <c r="AO34" i="11" s="1"/>
  <c r="AN39" i="11"/>
  <c r="AN41" i="11"/>
  <c r="AF43" i="11"/>
  <c r="AG43" i="11" s="1"/>
  <c r="AO39" i="11" l="1"/>
  <c r="AO29" i="11"/>
  <c r="AQ39" i="11"/>
  <c r="AG39" i="11"/>
  <c r="AH39" i="11" s="1"/>
  <c r="AJ39" i="11" s="1"/>
  <c r="AL71" i="11"/>
  <c r="AJ71" i="11"/>
  <c r="AL48" i="11"/>
  <c r="AJ48" i="11"/>
  <c r="AJ75" i="11"/>
  <c r="AL75" i="11"/>
  <c r="AH36" i="11"/>
  <c r="AJ36" i="11" s="1"/>
  <c r="AL79" i="11"/>
  <c r="AQ35" i="11"/>
  <c r="AL57" i="11"/>
  <c r="AP36" i="11"/>
  <c r="AP35" i="11"/>
  <c r="AP6" i="11"/>
  <c r="AG30" i="11"/>
  <c r="AH30" i="11" s="1"/>
  <c r="AJ30" i="11" s="1"/>
  <c r="AL89" i="11"/>
  <c r="AL68" i="11"/>
  <c r="AG25" i="11"/>
  <c r="AH25" i="11" s="1"/>
  <c r="AL25" i="11" s="1"/>
  <c r="AL55" i="11"/>
  <c r="AO32" i="11"/>
  <c r="AG13" i="11"/>
  <c r="AH13" i="11" s="1"/>
  <c r="AG6" i="11"/>
  <c r="AH6" i="11" s="1"/>
  <c r="AL6" i="11" s="1"/>
  <c r="AO35" i="11"/>
  <c r="AL67" i="11"/>
  <c r="AJ67" i="11"/>
  <c r="AL63" i="11"/>
  <c r="AJ63" i="11"/>
  <c r="AJ51" i="11"/>
  <c r="AL51" i="11"/>
  <c r="AG41" i="11"/>
  <c r="AH41" i="11" s="1"/>
  <c r="AL41" i="11" s="1"/>
  <c r="AL65" i="11"/>
  <c r="AL81" i="11"/>
  <c r="AO38" i="11"/>
  <c r="AO25" i="11"/>
  <c r="AO21" i="11"/>
  <c r="AQ41" i="11"/>
  <c r="AP25" i="11"/>
  <c r="AP7" i="11"/>
  <c r="AL86" i="11"/>
  <c r="AO41" i="11"/>
  <c r="AQ36" i="11"/>
  <c r="AO20" i="11"/>
  <c r="AO17" i="11"/>
  <c r="AO24" i="11"/>
  <c r="AO12" i="11"/>
  <c r="AO9" i="11"/>
  <c r="AQ7" i="11"/>
  <c r="AQ30" i="11"/>
  <c r="AG16" i="11"/>
  <c r="AH16" i="11" s="1"/>
  <c r="AP17" i="11"/>
  <c r="AO40" i="11"/>
  <c r="AG7" i="11"/>
  <c r="AH7" i="11" s="1"/>
  <c r="AJ7" i="11" s="1"/>
  <c r="AQ6" i="11"/>
  <c r="AO6" i="11"/>
  <c r="AO30" i="11"/>
  <c r="AL59" i="11"/>
  <c r="AJ84" i="11"/>
  <c r="AL84" i="11"/>
  <c r="AL39" i="11"/>
  <c r="AJ35" i="11"/>
  <c r="AL35" i="11"/>
  <c r="AJ6" i="11"/>
  <c r="AL23" i="11"/>
  <c r="AJ23" i="11"/>
  <c r="AL17" i="11"/>
  <c r="AJ17" i="11"/>
  <c r="AL30" i="11"/>
  <c r="AP42" i="11"/>
  <c r="AQ42" i="11"/>
  <c r="AG42" i="11"/>
  <c r="AH42" i="11" s="1"/>
  <c r="AQ28" i="11"/>
  <c r="AP28" i="11"/>
  <c r="AG28" i="11"/>
  <c r="AH28" i="11" s="1"/>
  <c r="AP27" i="11"/>
  <c r="AQ27" i="11"/>
  <c r="AO43" i="11"/>
  <c r="AQ37" i="11"/>
  <c r="AP37" i="11"/>
  <c r="AH37" i="11"/>
  <c r="AO37" i="11"/>
  <c r="AP33" i="11"/>
  <c r="AQ33" i="11"/>
  <c r="AQ8" i="11"/>
  <c r="AP8" i="11"/>
  <c r="AG8" i="11"/>
  <c r="AH8" i="11" s="1"/>
  <c r="AL8" i="11" s="1"/>
  <c r="AJ41" i="11"/>
  <c r="AJ31" i="11"/>
  <c r="AL31" i="11"/>
  <c r="AG27" i="11"/>
  <c r="AH27" i="11" s="1"/>
  <c r="AG10" i="11"/>
  <c r="AH10" i="11" s="1"/>
  <c r="AP10" i="11"/>
  <c r="AQ10" i="11"/>
  <c r="AL29" i="11"/>
  <c r="AJ29" i="11"/>
  <c r="AO26" i="11"/>
  <c r="AO33" i="11"/>
  <c r="AQ21" i="11"/>
  <c r="AP21" i="11"/>
  <c r="AG21" i="11"/>
  <c r="AH21" i="11" s="1"/>
  <c r="AO28" i="11"/>
  <c r="AP24" i="11"/>
  <c r="AQ24" i="11"/>
  <c r="AH24" i="11"/>
  <c r="AQ14" i="11"/>
  <c r="AP14" i="11"/>
  <c r="AG14" i="11"/>
  <c r="AH14" i="11" s="1"/>
  <c r="AO19" i="11"/>
  <c r="AO10" i="11"/>
  <c r="AQ43" i="11"/>
  <c r="AP43" i="11"/>
  <c r="AH43" i="11"/>
  <c r="AL43" i="11" s="1"/>
  <c r="AQ19" i="11"/>
  <c r="AP19" i="11"/>
  <c r="AH19" i="11"/>
  <c r="AQ11" i="11"/>
  <c r="AP11" i="11"/>
  <c r="AG11" i="11"/>
  <c r="AH11" i="11" s="1"/>
  <c r="AL11" i="11" s="1"/>
  <c r="AP18" i="11"/>
  <c r="AG18" i="11"/>
  <c r="AH18" i="11" s="1"/>
  <c r="AQ18" i="11"/>
  <c r="AO27" i="11"/>
  <c r="AJ22" i="11"/>
  <c r="AL22" i="11"/>
  <c r="AG34" i="11"/>
  <c r="AH34" i="11" s="1"/>
  <c r="AP34" i="11"/>
  <c r="AQ34" i="11"/>
  <c r="AP20" i="11"/>
  <c r="AH20" i="11"/>
  <c r="AQ20" i="11"/>
  <c r="AN91" i="11"/>
  <c r="AQ15" i="11"/>
  <c r="AP15" i="11"/>
  <c r="AH15" i="11"/>
  <c r="AO42" i="11"/>
  <c r="AO15" i="11"/>
  <c r="AP38" i="11"/>
  <c r="AQ38" i="11"/>
  <c r="AG33" i="11"/>
  <c r="AH33" i="11" s="1"/>
  <c r="AG38" i="11"/>
  <c r="AH38" i="11" s="1"/>
  <c r="AQ40" i="11"/>
  <c r="AP40" i="11"/>
  <c r="AH40" i="11"/>
  <c r="AQ32" i="11"/>
  <c r="AP32" i="11"/>
  <c r="AH32" i="11"/>
  <c r="AQ16" i="11"/>
  <c r="AP16" i="11"/>
  <c r="AQ26" i="11"/>
  <c r="AP26" i="11"/>
  <c r="AG26" i="11"/>
  <c r="AH26" i="11" s="1"/>
  <c r="AG12" i="11"/>
  <c r="AH12" i="11" s="1"/>
  <c r="AQ12" i="11"/>
  <c r="AP12" i="11"/>
  <c r="AG9" i="11"/>
  <c r="AH9" i="11" s="1"/>
  <c r="AQ9" i="11"/>
  <c r="AP9" i="11"/>
  <c r="AF91" i="11"/>
  <c r="AO11" i="11"/>
  <c r="AO8" i="11"/>
  <c r="AL13" i="11" l="1"/>
  <c r="AJ13" i="11"/>
  <c r="AL36" i="11"/>
  <c r="AO91" i="11"/>
  <c r="AL7" i="11"/>
  <c r="AP91" i="11"/>
  <c r="AL26" i="11"/>
  <c r="AJ26" i="11"/>
  <c r="AL34" i="11"/>
  <c r="AJ34" i="11"/>
  <c r="AL27" i="11"/>
  <c r="AJ27" i="11"/>
  <c r="AJ42" i="11"/>
  <c r="AL42" i="11"/>
  <c r="AL28" i="11"/>
  <c r="AJ28" i="11"/>
  <c r="AJ10" i="11"/>
  <c r="AL10" i="11"/>
  <c r="AH91" i="11"/>
  <c r="AL16" i="11"/>
  <c r="AJ16" i="11"/>
  <c r="AL38" i="11"/>
  <c r="AJ38" i="11"/>
  <c r="AL33" i="11"/>
  <c r="AJ33" i="11"/>
  <c r="AJ18" i="11"/>
  <c r="AL18" i="11"/>
  <c r="AL19" i="11"/>
  <c r="AJ19" i="11"/>
  <c r="AJ37" i="11"/>
  <c r="AL37" i="11"/>
  <c r="AL12" i="11"/>
  <c r="AJ12" i="11"/>
  <c r="AJ24" i="11"/>
  <c r="AL24" i="11"/>
  <c r="AF108" i="11"/>
  <c r="AF107" i="11"/>
  <c r="AL32" i="11"/>
  <c r="AJ32" i="11"/>
  <c r="AL15" i="11"/>
  <c r="AJ15" i="11"/>
  <c r="AL9" i="11"/>
  <c r="AJ9" i="11"/>
  <c r="AL20" i="11"/>
  <c r="AJ20" i="11"/>
  <c r="AL14" i="11"/>
  <c r="AJ14" i="11"/>
  <c r="AL21" i="11"/>
  <c r="AJ21" i="11"/>
  <c r="AL40" i="11"/>
  <c r="AJ40" i="11"/>
  <c r="AJ91" i="11" l="1"/>
  <c r="AN94" i="11" s="1"/>
  <c r="AG60" i="22"/>
  <c r="AA60" i="22"/>
  <c r="AC46" i="22"/>
  <c r="S46" i="22"/>
  <c r="R46" i="22"/>
  <c r="AH45" i="22"/>
  <c r="AB45" i="22"/>
  <c r="Z45" i="22"/>
  <c r="Y45" i="22"/>
  <c r="X45" i="22"/>
  <c r="W45" i="22"/>
  <c r="V45" i="22"/>
  <c r="U45" i="22"/>
  <c r="T45" i="22"/>
  <c r="S45" i="22"/>
  <c r="R45" i="22"/>
  <c r="P45" i="22"/>
  <c r="O45" i="22"/>
  <c r="N45" i="22"/>
  <c r="K45" i="22"/>
  <c r="AI44" i="22"/>
  <c r="AF44" i="22"/>
  <c r="AG44" i="22" s="1"/>
  <c r="AF43" i="22"/>
  <c r="Q43" i="22"/>
  <c r="M43" i="22"/>
  <c r="L43" i="22"/>
  <c r="J43" i="22"/>
  <c r="AF42" i="22"/>
  <c r="Q42" i="22"/>
  <c r="M42" i="22"/>
  <c r="L42" i="22"/>
  <c r="J42" i="22"/>
  <c r="AF41" i="22"/>
  <c r="Q41" i="22"/>
  <c r="M41" i="22"/>
  <c r="L41" i="22"/>
  <c r="J41" i="22"/>
  <c r="AF40" i="22"/>
  <c r="Q40" i="22"/>
  <c r="M40" i="22"/>
  <c r="L40" i="22"/>
  <c r="J40" i="22"/>
  <c r="AF39" i="22"/>
  <c r="Q39" i="22"/>
  <c r="M39" i="22"/>
  <c r="L39" i="22"/>
  <c r="J39" i="22"/>
  <c r="AF38" i="22"/>
  <c r="Q38" i="22"/>
  <c r="M38" i="22"/>
  <c r="L38" i="22"/>
  <c r="J38" i="22"/>
  <c r="AF37" i="22"/>
  <c r="AA37" i="22"/>
  <c r="Q37" i="22"/>
  <c r="M37" i="22"/>
  <c r="L37" i="22"/>
  <c r="J37" i="22"/>
  <c r="AF36" i="22"/>
  <c r="AA36" i="22"/>
  <c r="Q36" i="22"/>
  <c r="M36" i="22"/>
  <c r="L36" i="22"/>
  <c r="J36" i="22"/>
  <c r="AF35" i="22"/>
  <c r="AA35" i="22"/>
  <c r="Q35" i="22"/>
  <c r="M35" i="22"/>
  <c r="L35" i="22"/>
  <c r="J35" i="22"/>
  <c r="AF34" i="22"/>
  <c r="AA34" i="22"/>
  <c r="Q34" i="22"/>
  <c r="M34" i="22"/>
  <c r="L34" i="22"/>
  <c r="J34" i="22"/>
  <c r="AF33" i="22"/>
  <c r="AA33" i="22"/>
  <c r="Q33" i="22"/>
  <c r="M33" i="22"/>
  <c r="L33" i="22"/>
  <c r="J33" i="22"/>
  <c r="AF32" i="22"/>
  <c r="AA32" i="22"/>
  <c r="Q32" i="22"/>
  <c r="M32" i="22"/>
  <c r="L32" i="22"/>
  <c r="J32" i="22"/>
  <c r="AF31" i="22"/>
  <c r="AA31" i="22"/>
  <c r="Q31" i="22"/>
  <c r="M31" i="22"/>
  <c r="L31" i="22"/>
  <c r="J31" i="22"/>
  <c r="AF30" i="22"/>
  <c r="AA30" i="22"/>
  <c r="Q30" i="22"/>
  <c r="M30" i="22"/>
  <c r="L30" i="22"/>
  <c r="J30" i="22"/>
  <c r="AF29" i="22"/>
  <c r="AA29" i="22"/>
  <c r="Q29" i="22"/>
  <c r="M29" i="22"/>
  <c r="L29" i="22"/>
  <c r="J29" i="22"/>
  <c r="AF28" i="22"/>
  <c r="AA28" i="22"/>
  <c r="Q28" i="22"/>
  <c r="M28" i="22"/>
  <c r="L28" i="22"/>
  <c r="J28" i="22"/>
  <c r="AF27" i="22"/>
  <c r="AA27" i="22"/>
  <c r="Q27" i="22"/>
  <c r="M27" i="22"/>
  <c r="L27" i="22"/>
  <c r="J27" i="22"/>
  <c r="AF26" i="22"/>
  <c r="AA26" i="22"/>
  <c r="Q26" i="22"/>
  <c r="M26" i="22"/>
  <c r="L26" i="22"/>
  <c r="J26" i="22"/>
  <c r="AF25" i="22"/>
  <c r="AA25" i="22"/>
  <c r="Q25" i="22"/>
  <c r="M25" i="22"/>
  <c r="L25" i="22"/>
  <c r="J25" i="22"/>
  <c r="AF24" i="22"/>
  <c r="AA24" i="22"/>
  <c r="Q24" i="22"/>
  <c r="M24" i="22"/>
  <c r="L24" i="22"/>
  <c r="J24" i="22"/>
  <c r="AF23" i="22"/>
  <c r="AA23" i="22"/>
  <c r="Q23" i="22"/>
  <c r="M23" i="22"/>
  <c r="L23" i="22"/>
  <c r="J23" i="22"/>
  <c r="AF22" i="22"/>
  <c r="AA22" i="22"/>
  <c r="Q22" i="22"/>
  <c r="M22" i="22"/>
  <c r="L22" i="22"/>
  <c r="J22" i="22"/>
  <c r="AF21" i="22"/>
  <c r="AA21" i="22"/>
  <c r="Q21" i="22"/>
  <c r="M21" i="22"/>
  <c r="L21" i="22"/>
  <c r="J21" i="22"/>
  <c r="AF20" i="22"/>
  <c r="AA20" i="22"/>
  <c r="Q20" i="22"/>
  <c r="M20" i="22"/>
  <c r="L20" i="22"/>
  <c r="J20" i="22"/>
  <c r="AF19" i="22"/>
  <c r="AA19" i="22"/>
  <c r="Q19" i="22"/>
  <c r="M19" i="22"/>
  <c r="L19" i="22"/>
  <c r="J19" i="22"/>
  <c r="AF18" i="22"/>
  <c r="AA18" i="22"/>
  <c r="Q18" i="22"/>
  <c r="M18" i="22"/>
  <c r="L18" i="22"/>
  <c r="J18" i="22"/>
  <c r="AF17" i="22"/>
  <c r="AA17" i="22"/>
  <c r="Q17" i="22"/>
  <c r="M17" i="22"/>
  <c r="L17" i="22"/>
  <c r="J17" i="22"/>
  <c r="AF16" i="22"/>
  <c r="AA16" i="22"/>
  <c r="Q16" i="22"/>
  <c r="M16" i="22"/>
  <c r="L16" i="22"/>
  <c r="J16" i="22"/>
  <c r="AF15" i="22"/>
  <c r="AA15" i="22"/>
  <c r="Q15" i="22"/>
  <c r="M15" i="22"/>
  <c r="L15" i="22"/>
  <c r="J15" i="22"/>
  <c r="AF14" i="22"/>
  <c r="AA14" i="22"/>
  <c r="Q14" i="22"/>
  <c r="M14" i="22"/>
  <c r="L14" i="22"/>
  <c r="J14" i="22"/>
  <c r="AF13" i="22"/>
  <c r="AA13" i="22"/>
  <c r="Q13" i="22"/>
  <c r="M13" i="22"/>
  <c r="L13" i="22"/>
  <c r="J13" i="22"/>
  <c r="AF12" i="22"/>
  <c r="AA12" i="22"/>
  <c r="Q12" i="22"/>
  <c r="M12" i="22"/>
  <c r="L12" i="22"/>
  <c r="J12" i="22"/>
  <c r="AF11" i="22"/>
  <c r="AA11" i="22"/>
  <c r="Q11" i="22"/>
  <c r="M11" i="22"/>
  <c r="L11" i="22"/>
  <c r="J11" i="22"/>
  <c r="AF10" i="22"/>
  <c r="AA10" i="22"/>
  <c r="Q10" i="22"/>
  <c r="M10" i="22"/>
  <c r="L10" i="22"/>
  <c r="J10" i="22"/>
  <c r="AF9" i="22"/>
  <c r="AA9" i="22"/>
  <c r="Q9" i="22"/>
  <c r="M9" i="22"/>
  <c r="L9" i="22"/>
  <c r="J9" i="22"/>
  <c r="AF8" i="22"/>
  <c r="AA8" i="22"/>
  <c r="Q8" i="22"/>
  <c r="M8" i="22"/>
  <c r="L8" i="22"/>
  <c r="J8" i="22"/>
  <c r="AF7" i="22"/>
  <c r="AA7" i="22"/>
  <c r="Q7" i="22"/>
  <c r="M7" i="22"/>
  <c r="L7" i="22"/>
  <c r="J7" i="22"/>
  <c r="AF6" i="22"/>
  <c r="AA6" i="22"/>
  <c r="Q6" i="22"/>
  <c r="M6" i="22"/>
  <c r="L6" i="22"/>
  <c r="J6" i="22"/>
  <c r="AI9" i="22" l="1"/>
  <c r="AI15" i="22"/>
  <c r="AI43" i="22"/>
  <c r="AJ43" i="22" s="1"/>
  <c r="AC7" i="22"/>
  <c r="AC19" i="22"/>
  <c r="AI21" i="22"/>
  <c r="AC27" i="22"/>
  <c r="AD27" i="22" s="1"/>
  <c r="AE27" i="22" s="1"/>
  <c r="AG27" i="22" s="1"/>
  <c r="AI29" i="22"/>
  <c r="AC35" i="22"/>
  <c r="AI37" i="22"/>
  <c r="AI18" i="22"/>
  <c r="AI22" i="22"/>
  <c r="AI26" i="22"/>
  <c r="AI30" i="22"/>
  <c r="AI34" i="22"/>
  <c r="AC16" i="22"/>
  <c r="AA45" i="22"/>
  <c r="AC11" i="22"/>
  <c r="AD11" i="22" s="1"/>
  <c r="AE11" i="22" s="1"/>
  <c r="AG11" i="22" s="1"/>
  <c r="AC17" i="22"/>
  <c r="AD17" i="22" s="1"/>
  <c r="AE17" i="22" s="1"/>
  <c r="AG17" i="22" s="1"/>
  <c r="AC18" i="22"/>
  <c r="AD18" i="22" s="1"/>
  <c r="AE18" i="22" s="1"/>
  <c r="AG18" i="22" s="1"/>
  <c r="AC25" i="22"/>
  <c r="AD25" i="22" s="1"/>
  <c r="AC26" i="22"/>
  <c r="AD26" i="22" s="1"/>
  <c r="AE26" i="22" s="1"/>
  <c r="AG26" i="22" s="1"/>
  <c r="AI12" i="22"/>
  <c r="Q45" i="22"/>
  <c r="AI8" i="22"/>
  <c r="AC21" i="22"/>
  <c r="AD21" i="22" s="1"/>
  <c r="AC22" i="22"/>
  <c r="AC29" i="22"/>
  <c r="AD29" i="22" s="1"/>
  <c r="AC30" i="22"/>
  <c r="AC37" i="22"/>
  <c r="AD37" i="22" s="1"/>
  <c r="AI38" i="22"/>
  <c r="AC39" i="22"/>
  <c r="AD39" i="22" s="1"/>
  <c r="AE39" i="22" s="1"/>
  <c r="AG39" i="22" s="1"/>
  <c r="AI39" i="22"/>
  <c r="AC43" i="22"/>
  <c r="AD43" i="22" s="1"/>
  <c r="AE43" i="22" s="1"/>
  <c r="AG43" i="22" s="1"/>
  <c r="AI7" i="22"/>
  <c r="AC13" i="22"/>
  <c r="AC15" i="22"/>
  <c r="AD15" i="22" s="1"/>
  <c r="AE15" i="22" s="1"/>
  <c r="AG15" i="22" s="1"/>
  <c r="AC33" i="22"/>
  <c r="AD33" i="22" s="1"/>
  <c r="AC34" i="22"/>
  <c r="AD34" i="22" s="1"/>
  <c r="AE34" i="22" s="1"/>
  <c r="AG34" i="22" s="1"/>
  <c r="AC10" i="22"/>
  <c r="AD10" i="22" s="1"/>
  <c r="AE10" i="22" s="1"/>
  <c r="AG10" i="22" s="1"/>
  <c r="AI17" i="22"/>
  <c r="AC23" i="22"/>
  <c r="AD23" i="22" s="1"/>
  <c r="AE23" i="22" s="1"/>
  <c r="AG23" i="22" s="1"/>
  <c r="AI25" i="22"/>
  <c r="AJ25" i="22" s="1"/>
  <c r="AC31" i="22"/>
  <c r="AD31" i="22" s="1"/>
  <c r="AE31" i="22" s="1"/>
  <c r="AG31" i="22" s="1"/>
  <c r="AI33" i="22"/>
  <c r="AI40" i="22"/>
  <c r="AC41" i="22"/>
  <c r="AD41" i="22" s="1"/>
  <c r="AE41" i="22" s="1"/>
  <c r="AG41" i="22" s="1"/>
  <c r="AI41" i="22"/>
  <c r="AD19" i="22"/>
  <c r="AE19" i="22" s="1"/>
  <c r="AG19" i="22" s="1"/>
  <c r="AD22" i="22"/>
  <c r="AE22" i="22" s="1"/>
  <c r="AG22" i="22" s="1"/>
  <c r="AD7" i="22"/>
  <c r="AE7" i="22" s="1"/>
  <c r="AG7" i="22" s="1"/>
  <c r="AD30" i="22"/>
  <c r="AE30" i="22" s="1"/>
  <c r="AG30" i="22" s="1"/>
  <c r="AF45" i="22"/>
  <c r="AI11" i="22"/>
  <c r="AC12" i="22"/>
  <c r="L45" i="22"/>
  <c r="AC6" i="22"/>
  <c r="AI6" i="22"/>
  <c r="AC9" i="22"/>
  <c r="AJ9" i="22" s="1"/>
  <c r="AD13" i="22"/>
  <c r="AE13" i="22" s="1"/>
  <c r="AG13" i="22" s="1"/>
  <c r="AC14" i="22"/>
  <c r="AI14" i="22"/>
  <c r="AJ14" i="22" s="1"/>
  <c r="AI10" i="22"/>
  <c r="AJ10" i="22" s="1"/>
  <c r="AD16" i="22"/>
  <c r="AE16" i="22" s="1"/>
  <c r="AG16" i="22" s="1"/>
  <c r="AC8" i="22"/>
  <c r="AJ8" i="22" s="1"/>
  <c r="AI13" i="22"/>
  <c r="AJ13" i="22" s="1"/>
  <c r="AJ15" i="22"/>
  <c r="AD35" i="22"/>
  <c r="AE35" i="22" s="1"/>
  <c r="AG35" i="22" s="1"/>
  <c r="M45" i="22"/>
  <c r="AI16" i="22"/>
  <c r="AI19" i="22"/>
  <c r="AJ19" i="22" s="1"/>
  <c r="AI23" i="22"/>
  <c r="AI27" i="22"/>
  <c r="AI31" i="22"/>
  <c r="AJ31" i="22" s="1"/>
  <c r="AI35" i="22"/>
  <c r="AJ35" i="22" s="1"/>
  <c r="AC20" i="22"/>
  <c r="AI20" i="22"/>
  <c r="AC24" i="22"/>
  <c r="AD24" i="22" s="1"/>
  <c r="AI24" i="22"/>
  <c r="AC28" i="22"/>
  <c r="AD28" i="22" s="1"/>
  <c r="AI28" i="22"/>
  <c r="AC32" i="22"/>
  <c r="AD32" i="22" s="1"/>
  <c r="AI32" i="22"/>
  <c r="AC36" i="22"/>
  <c r="AI36" i="22"/>
  <c r="AC38" i="22"/>
  <c r="AC40" i="22"/>
  <c r="AC42" i="22"/>
  <c r="AI42" i="22"/>
  <c r="AJ38" i="22" l="1"/>
  <c r="AE21" i="22"/>
  <c r="AG21" i="22" s="1"/>
  <c r="AJ22" i="22"/>
  <c r="AE37" i="22"/>
  <c r="AG37" i="22" s="1"/>
  <c r="AJ16" i="22"/>
  <c r="AJ33" i="22"/>
  <c r="AJ17" i="22"/>
  <c r="AJ27" i="22"/>
  <c r="AE33" i="22"/>
  <c r="AG33" i="22" s="1"/>
  <c r="AJ41" i="22"/>
  <c r="AJ39" i="22"/>
  <c r="AJ7" i="22"/>
  <c r="AJ37" i="22"/>
  <c r="AJ26" i="22"/>
  <c r="AJ21" i="22"/>
  <c r="AJ18" i="22"/>
  <c r="AJ11" i="22"/>
  <c r="AJ30" i="22"/>
  <c r="AJ34" i="22"/>
  <c r="AE29" i="22"/>
  <c r="AG29" i="22" s="1"/>
  <c r="AE25" i="22"/>
  <c r="AG25" i="22" s="1"/>
  <c r="AJ29" i="22"/>
  <c r="AJ23" i="22"/>
  <c r="AD9" i="22"/>
  <c r="AE9" i="22" s="1"/>
  <c r="AG9" i="22" s="1"/>
  <c r="AJ32" i="22"/>
  <c r="AJ24" i="22"/>
  <c r="AJ42" i="22"/>
  <c r="AD40" i="22"/>
  <c r="AE40" i="22" s="1"/>
  <c r="AG40" i="22" s="1"/>
  <c r="AD8" i="22"/>
  <c r="AE8" i="22" s="1"/>
  <c r="AG8" i="22" s="1"/>
  <c r="AI45" i="22"/>
  <c r="AJ6" i="22"/>
  <c r="AD12" i="22"/>
  <c r="AE12" i="22" s="1"/>
  <c r="AG12" i="22" s="1"/>
  <c r="AD38" i="22"/>
  <c r="AE38" i="22" s="1"/>
  <c r="AG38" i="22" s="1"/>
  <c r="AE32" i="22"/>
  <c r="AG32" i="22" s="1"/>
  <c r="AE24" i="22"/>
  <c r="AG24" i="22" s="1"/>
  <c r="AD42" i="22"/>
  <c r="AE42" i="22" s="1"/>
  <c r="AG42" i="22" s="1"/>
  <c r="AC45" i="22"/>
  <c r="AC60" i="22" s="1"/>
  <c r="AD6" i="22"/>
  <c r="AE6" i="22" s="1"/>
  <c r="AJ36" i="22"/>
  <c r="AJ28" i="22"/>
  <c r="AJ20" i="22"/>
  <c r="AD36" i="22"/>
  <c r="AE36" i="22" s="1"/>
  <c r="AG36" i="22" s="1"/>
  <c r="AD20" i="22"/>
  <c r="AE20" i="22" s="1"/>
  <c r="AG20" i="22" s="1"/>
  <c r="AJ40" i="22"/>
  <c r="AJ12" i="22"/>
  <c r="AD14" i="22"/>
  <c r="AE14" i="22" s="1"/>
  <c r="AG14" i="22" s="1"/>
  <c r="AE28" i="22"/>
  <c r="AG28" i="22" s="1"/>
  <c r="AE45" i="22" l="1"/>
  <c r="AG6" i="22"/>
  <c r="AG45" i="22" s="1"/>
  <c r="S92" i="10" l="1"/>
  <c r="R92" i="10"/>
  <c r="AB91" i="10"/>
  <c r="AA91" i="10"/>
  <c r="Z91" i="10"/>
  <c r="Y91" i="10"/>
  <c r="X91" i="10"/>
  <c r="W91" i="10"/>
  <c r="V91" i="10"/>
  <c r="U91" i="10"/>
  <c r="T91" i="10"/>
  <c r="R91" i="10"/>
  <c r="P91" i="10"/>
  <c r="O91" i="10"/>
  <c r="N91" i="10"/>
  <c r="K91" i="10"/>
  <c r="AI90" i="10"/>
  <c r="AJ90" i="10" s="1"/>
  <c r="AG90" i="10"/>
  <c r="AC89" i="10"/>
  <c r="AI89" i="10" s="1"/>
  <c r="AJ89" i="10" s="1"/>
  <c r="J89" i="10"/>
  <c r="AC88" i="10"/>
  <c r="J88" i="10"/>
  <c r="AC87" i="10"/>
  <c r="AI87" i="10" s="1"/>
  <c r="AJ87" i="10" s="1"/>
  <c r="J87" i="10"/>
  <c r="AD87" i="10" s="1"/>
  <c r="AC86" i="10"/>
  <c r="AI86" i="10" s="1"/>
  <c r="AJ86" i="10" s="1"/>
  <c r="J86" i="10"/>
  <c r="AC85" i="10"/>
  <c r="AI85" i="10" s="1"/>
  <c r="AJ85" i="10" s="1"/>
  <c r="J85" i="10"/>
  <c r="AC84" i="10"/>
  <c r="AI84" i="10" s="1"/>
  <c r="AJ84" i="10" s="1"/>
  <c r="J84" i="10"/>
  <c r="AD84" i="10" s="1"/>
  <c r="AE84" i="10" s="1"/>
  <c r="AG84" i="10" s="1"/>
  <c r="AC83" i="10"/>
  <c r="J83" i="10"/>
  <c r="AC82" i="10"/>
  <c r="AI82" i="10" s="1"/>
  <c r="AJ82" i="10" s="1"/>
  <c r="J82" i="10"/>
  <c r="AC81" i="10"/>
  <c r="AI81" i="10" s="1"/>
  <c r="AJ81" i="10" s="1"/>
  <c r="J81" i="10"/>
  <c r="AD81" i="10" s="1"/>
  <c r="AE81" i="10" s="1"/>
  <c r="AG81" i="10" s="1"/>
  <c r="AC80" i="10"/>
  <c r="AI80" i="10" s="1"/>
  <c r="AJ80" i="10" s="1"/>
  <c r="J80" i="10"/>
  <c r="AD80" i="10" s="1"/>
  <c r="AC79" i="10"/>
  <c r="AI79" i="10" s="1"/>
  <c r="AJ79" i="10" s="1"/>
  <c r="J79" i="10"/>
  <c r="AC78" i="10"/>
  <c r="J78" i="10"/>
  <c r="AC77" i="10"/>
  <c r="AI77" i="10" s="1"/>
  <c r="AJ77" i="10" s="1"/>
  <c r="J77" i="10"/>
  <c r="AC76" i="10"/>
  <c r="J76" i="10"/>
  <c r="AC75" i="10"/>
  <c r="AI75" i="10" s="1"/>
  <c r="AJ75" i="10" s="1"/>
  <c r="J75" i="10"/>
  <c r="AD75" i="10" s="1"/>
  <c r="AC74" i="10"/>
  <c r="AI74" i="10" s="1"/>
  <c r="AJ74" i="10" s="1"/>
  <c r="J74" i="10"/>
  <c r="AC73" i="10"/>
  <c r="AI73" i="10" s="1"/>
  <c r="AJ73" i="10" s="1"/>
  <c r="J73" i="10"/>
  <c r="AC72" i="10"/>
  <c r="AI72" i="10" s="1"/>
  <c r="AJ72" i="10" s="1"/>
  <c r="J72" i="10"/>
  <c r="AC71" i="10"/>
  <c r="AI71" i="10" s="1"/>
  <c r="AJ71" i="10" s="1"/>
  <c r="J71" i="10"/>
  <c r="AC70" i="10"/>
  <c r="AI70" i="10" s="1"/>
  <c r="AJ70" i="10" s="1"/>
  <c r="J70" i="10"/>
  <c r="AD70" i="10" s="1"/>
  <c r="AE70" i="10" s="1"/>
  <c r="AG70" i="10" s="1"/>
  <c r="AC69" i="10"/>
  <c r="AI69" i="10" s="1"/>
  <c r="AJ69" i="10" s="1"/>
  <c r="J69" i="10"/>
  <c r="AC68" i="10"/>
  <c r="AI68" i="10" s="1"/>
  <c r="AJ68" i="10" s="1"/>
  <c r="J68" i="10"/>
  <c r="AC67" i="10"/>
  <c r="J67" i="10"/>
  <c r="AC66" i="10"/>
  <c r="AI66" i="10" s="1"/>
  <c r="AJ66" i="10" s="1"/>
  <c r="J66" i="10"/>
  <c r="AC65" i="10"/>
  <c r="AI65" i="10" s="1"/>
  <c r="AJ65" i="10" s="1"/>
  <c r="J65" i="10"/>
  <c r="AC64" i="10"/>
  <c r="AI64" i="10" s="1"/>
  <c r="AJ64" i="10" s="1"/>
  <c r="J64" i="10"/>
  <c r="AC63" i="10"/>
  <c r="AI63" i="10" s="1"/>
  <c r="AJ63" i="10" s="1"/>
  <c r="J63" i="10"/>
  <c r="AD63" i="10" s="1"/>
  <c r="AC62" i="10"/>
  <c r="J62" i="10"/>
  <c r="AC61" i="10"/>
  <c r="AI61" i="10" s="1"/>
  <c r="AJ61" i="10" s="1"/>
  <c r="J61" i="10"/>
  <c r="AC60" i="10"/>
  <c r="J60" i="10"/>
  <c r="AC59" i="10"/>
  <c r="AI59" i="10" s="1"/>
  <c r="AJ59" i="10" s="1"/>
  <c r="J59" i="10"/>
  <c r="AI58" i="10"/>
  <c r="AJ58" i="10" s="1"/>
  <c r="AC58" i="10"/>
  <c r="J58" i="10"/>
  <c r="AC57" i="10"/>
  <c r="AI57" i="10" s="1"/>
  <c r="AJ57" i="10" s="1"/>
  <c r="J57" i="10"/>
  <c r="AC56" i="10"/>
  <c r="AI56" i="10" s="1"/>
  <c r="AJ56" i="10" s="1"/>
  <c r="J56" i="10"/>
  <c r="AC55" i="10"/>
  <c r="AI55" i="10" s="1"/>
  <c r="AJ55" i="10" s="1"/>
  <c r="J55" i="10"/>
  <c r="AD55" i="10" s="1"/>
  <c r="AC54" i="10"/>
  <c r="J54" i="10"/>
  <c r="AC53" i="10"/>
  <c r="AI53" i="10" s="1"/>
  <c r="AJ53" i="10" s="1"/>
  <c r="J53" i="10"/>
  <c r="AC52" i="10"/>
  <c r="AI52" i="10" s="1"/>
  <c r="AJ52" i="10" s="1"/>
  <c r="J52" i="10"/>
  <c r="AD52" i="10" s="1"/>
  <c r="AE52" i="10" s="1"/>
  <c r="AG52" i="10" s="1"/>
  <c r="AC51" i="10"/>
  <c r="J51" i="10"/>
  <c r="AC50" i="10"/>
  <c r="AI50" i="10" s="1"/>
  <c r="AJ50" i="10" s="1"/>
  <c r="J50" i="10"/>
  <c r="AC49" i="10"/>
  <c r="AI49" i="10" s="1"/>
  <c r="AJ49" i="10" s="1"/>
  <c r="J49" i="10"/>
  <c r="AC48" i="10"/>
  <c r="AI48" i="10" s="1"/>
  <c r="AJ48" i="10" s="1"/>
  <c r="J48" i="10"/>
  <c r="AD48" i="10" s="1"/>
  <c r="AC47" i="10"/>
  <c r="AI47" i="10" s="1"/>
  <c r="AJ47" i="10" s="1"/>
  <c r="J47" i="10"/>
  <c r="AC46" i="10"/>
  <c r="J46" i="10"/>
  <c r="AC45" i="10"/>
  <c r="AI45" i="10" s="1"/>
  <c r="AJ45" i="10" s="1"/>
  <c r="J45" i="10"/>
  <c r="AC44" i="10"/>
  <c r="J44" i="10"/>
  <c r="Q43" i="10"/>
  <c r="M43" i="10"/>
  <c r="L43" i="10"/>
  <c r="J43" i="10"/>
  <c r="Q42" i="10"/>
  <c r="M42" i="10"/>
  <c r="L42" i="10"/>
  <c r="J42" i="10"/>
  <c r="S41" i="10"/>
  <c r="Q41" i="10"/>
  <c r="M41" i="10"/>
  <c r="L41" i="10"/>
  <c r="J41" i="10"/>
  <c r="S40" i="10"/>
  <c r="Q40" i="10"/>
  <c r="M40" i="10"/>
  <c r="L40" i="10"/>
  <c r="J40" i="10"/>
  <c r="S39" i="10"/>
  <c r="Q39" i="10"/>
  <c r="M39" i="10"/>
  <c r="L39" i="10"/>
  <c r="J39" i="10"/>
  <c r="S38" i="10"/>
  <c r="Q38" i="10"/>
  <c r="M38" i="10"/>
  <c r="L38" i="10"/>
  <c r="J38" i="10"/>
  <c r="S37" i="10"/>
  <c r="Q37" i="10"/>
  <c r="M37" i="10"/>
  <c r="L37" i="10"/>
  <c r="J37" i="10"/>
  <c r="S36" i="10"/>
  <c r="Q36" i="10"/>
  <c r="M36" i="10"/>
  <c r="L36" i="10"/>
  <c r="J36" i="10"/>
  <c r="S35" i="10"/>
  <c r="Q35" i="10"/>
  <c r="M35" i="10"/>
  <c r="L35" i="10"/>
  <c r="J35" i="10"/>
  <c r="S34" i="10"/>
  <c r="Q34" i="10"/>
  <c r="M34" i="10"/>
  <c r="L34" i="10"/>
  <c r="J34" i="10"/>
  <c r="S33" i="10"/>
  <c r="Q33" i="10"/>
  <c r="M33" i="10"/>
  <c r="L33" i="10"/>
  <c r="J33" i="10"/>
  <c r="S32" i="10"/>
  <c r="Q32" i="10"/>
  <c r="M32" i="10"/>
  <c r="L32" i="10"/>
  <c r="J32" i="10"/>
  <c r="S31" i="10"/>
  <c r="Q31" i="10"/>
  <c r="M31" i="10"/>
  <c r="L31" i="10"/>
  <c r="J31" i="10"/>
  <c r="S30" i="10"/>
  <c r="Q30" i="10"/>
  <c r="M30" i="10"/>
  <c r="L30" i="10"/>
  <c r="AI30" i="10" s="1"/>
  <c r="J30" i="10"/>
  <c r="S29" i="10"/>
  <c r="Q29" i="10"/>
  <c r="M29" i="10"/>
  <c r="L29" i="10"/>
  <c r="J29" i="10"/>
  <c r="S28" i="10"/>
  <c r="Q28" i="10"/>
  <c r="M28" i="10"/>
  <c r="L28" i="10"/>
  <c r="J28" i="10"/>
  <c r="S27" i="10"/>
  <c r="Q27" i="10"/>
  <c r="M27" i="10"/>
  <c r="L27" i="10"/>
  <c r="J27" i="10"/>
  <c r="S26" i="10"/>
  <c r="Q26" i="10"/>
  <c r="M26" i="10"/>
  <c r="L26" i="10"/>
  <c r="J26" i="10"/>
  <c r="S25" i="10"/>
  <c r="Q25" i="10"/>
  <c r="M25" i="10"/>
  <c r="L25" i="10"/>
  <c r="J25" i="10"/>
  <c r="S24" i="10"/>
  <c r="Q24" i="10"/>
  <c r="M24" i="10"/>
  <c r="L24" i="10"/>
  <c r="J24" i="10"/>
  <c r="S23" i="10"/>
  <c r="Q23" i="10"/>
  <c r="M23" i="10"/>
  <c r="L23" i="10"/>
  <c r="J23" i="10"/>
  <c r="S22" i="10"/>
  <c r="Q22" i="10"/>
  <c r="M22" i="10"/>
  <c r="L22" i="10"/>
  <c r="J22" i="10"/>
  <c r="S21" i="10"/>
  <c r="Q21" i="10"/>
  <c r="M21" i="10"/>
  <c r="L21" i="10"/>
  <c r="J21" i="10"/>
  <c r="S20" i="10"/>
  <c r="Q20" i="10"/>
  <c r="M20" i="10"/>
  <c r="L20" i="10"/>
  <c r="J20" i="10"/>
  <c r="S19" i="10"/>
  <c r="Q19" i="10"/>
  <c r="M19" i="10"/>
  <c r="L19" i="10"/>
  <c r="J19" i="10"/>
  <c r="S18" i="10"/>
  <c r="Q18" i="10"/>
  <c r="M18" i="10"/>
  <c r="L18" i="10"/>
  <c r="J18" i="10"/>
  <c r="S17" i="10"/>
  <c r="Q17" i="10"/>
  <c r="M17" i="10"/>
  <c r="L17" i="10"/>
  <c r="J17" i="10"/>
  <c r="S16" i="10"/>
  <c r="Q16" i="10"/>
  <c r="M16" i="10"/>
  <c r="L16" i="10"/>
  <c r="J16" i="10"/>
  <c r="S15" i="10"/>
  <c r="Q15" i="10"/>
  <c r="M15" i="10"/>
  <c r="L15" i="10"/>
  <c r="J15" i="10"/>
  <c r="S14" i="10"/>
  <c r="Q14" i="10"/>
  <c r="M14" i="10"/>
  <c r="L14" i="10"/>
  <c r="J14" i="10"/>
  <c r="S13" i="10"/>
  <c r="Q13" i="10"/>
  <c r="M13" i="10"/>
  <c r="L13" i="10"/>
  <c r="J13" i="10"/>
  <c r="S12" i="10"/>
  <c r="Q12" i="10"/>
  <c r="M12" i="10"/>
  <c r="L12" i="10"/>
  <c r="J12" i="10"/>
  <c r="S11" i="10"/>
  <c r="Q11" i="10"/>
  <c r="M11" i="10"/>
  <c r="L11" i="10"/>
  <c r="J11" i="10"/>
  <c r="S10" i="10"/>
  <c r="Q10" i="10"/>
  <c r="M10" i="10"/>
  <c r="L10" i="10"/>
  <c r="J10" i="10"/>
  <c r="S9" i="10"/>
  <c r="Q9" i="10"/>
  <c r="M9" i="10"/>
  <c r="L9" i="10"/>
  <c r="J9" i="10"/>
  <c r="S8" i="10"/>
  <c r="Q8" i="10"/>
  <c r="M8" i="10"/>
  <c r="L8" i="10"/>
  <c r="J8" i="10"/>
  <c r="S7" i="10"/>
  <c r="Q7" i="10"/>
  <c r="M7" i="10"/>
  <c r="L7" i="10"/>
  <c r="J7" i="10"/>
  <c r="S6" i="10"/>
  <c r="Q6" i="10"/>
  <c r="M6" i="10"/>
  <c r="L6" i="10"/>
  <c r="J6" i="10"/>
  <c r="AI8" i="10" l="1"/>
  <c r="AI12" i="10"/>
  <c r="AI16" i="10"/>
  <c r="AI20" i="10"/>
  <c r="AI24" i="10"/>
  <c r="AI28" i="10"/>
  <c r="AI32" i="10"/>
  <c r="AI36" i="10"/>
  <c r="AI40" i="10"/>
  <c r="AC6" i="10"/>
  <c r="AI6" i="10"/>
  <c r="AC10" i="10"/>
  <c r="AL10" i="10" s="1"/>
  <c r="AI10" i="10"/>
  <c r="AC14" i="10"/>
  <c r="AL14" i="10" s="1"/>
  <c r="AI14" i="10"/>
  <c r="AC18" i="10"/>
  <c r="AL18" i="10" s="1"/>
  <c r="AI18" i="10"/>
  <c r="AC22" i="10"/>
  <c r="AL22" i="10" s="1"/>
  <c r="AI22" i="10"/>
  <c r="AC26" i="10"/>
  <c r="AL26" i="10" s="1"/>
  <c r="AI26" i="10"/>
  <c r="AC34" i="10"/>
  <c r="AL34" i="10" s="1"/>
  <c r="AI34" i="10"/>
  <c r="AC38" i="10"/>
  <c r="AL38" i="10" s="1"/>
  <c r="AI38" i="10"/>
  <c r="AC42" i="10"/>
  <c r="AL42" i="10" s="1"/>
  <c r="AI42" i="10"/>
  <c r="AC43" i="10"/>
  <c r="AL43" i="10" s="1"/>
  <c r="AI43" i="10"/>
  <c r="M91" i="10"/>
  <c r="AI7" i="10"/>
  <c r="AI11" i="10"/>
  <c r="AI15" i="10"/>
  <c r="AI19" i="10"/>
  <c r="AI23" i="10"/>
  <c r="AI27" i="10"/>
  <c r="AI31" i="10"/>
  <c r="AI35" i="10"/>
  <c r="AI39" i="10"/>
  <c r="AD47" i="10"/>
  <c r="AD54" i="10"/>
  <c r="AE54" i="10" s="1"/>
  <c r="AG54" i="10" s="1"/>
  <c r="AD59" i="10"/>
  <c r="AD64" i="10"/>
  <c r="AD77" i="10"/>
  <c r="AD86" i="10"/>
  <c r="AE86" i="10" s="1"/>
  <c r="AG86" i="10" s="1"/>
  <c r="AI9" i="10"/>
  <c r="AI13" i="10"/>
  <c r="AI17" i="10"/>
  <c r="AI21" i="10"/>
  <c r="AI25" i="10"/>
  <c r="AI29" i="10"/>
  <c r="AI33" i="10"/>
  <c r="AI37" i="10"/>
  <c r="AI41" i="10"/>
  <c r="AI54" i="10"/>
  <c r="AJ54" i="10" s="1"/>
  <c r="AD67" i="10"/>
  <c r="AD68" i="10"/>
  <c r="AE68" i="10" s="1"/>
  <c r="AG68" i="10" s="1"/>
  <c r="AD71" i="10"/>
  <c r="AE71" i="10" s="1"/>
  <c r="AG71" i="10" s="1"/>
  <c r="AD73" i="10"/>
  <c r="AE73" i="10" s="1"/>
  <c r="AG73" i="10" s="1"/>
  <c r="AD10" i="10"/>
  <c r="AE10" i="10" s="1"/>
  <c r="AK12" i="10"/>
  <c r="AJ12" i="10"/>
  <c r="AK24" i="10"/>
  <c r="AJ24" i="10"/>
  <c r="AK36" i="10"/>
  <c r="AJ36" i="10"/>
  <c r="AK40" i="10"/>
  <c r="AJ40" i="10"/>
  <c r="AC7" i="10"/>
  <c r="AK9" i="10"/>
  <c r="AJ9" i="10"/>
  <c r="AC15" i="10"/>
  <c r="AL15" i="10" s="1"/>
  <c r="AK17" i="10"/>
  <c r="AJ17" i="10"/>
  <c r="AC23" i="10"/>
  <c r="AL23" i="10" s="1"/>
  <c r="AK25" i="10"/>
  <c r="AJ25" i="10"/>
  <c r="AC32" i="10"/>
  <c r="AL32" i="10" s="1"/>
  <c r="AK37" i="10"/>
  <c r="AJ37" i="10"/>
  <c r="AC39" i="10"/>
  <c r="AL39" i="10" s="1"/>
  <c r="AK41" i="10"/>
  <c r="AJ41" i="10"/>
  <c r="AK6" i="10"/>
  <c r="AQ6" i="29" s="1"/>
  <c r="AJ6" i="10"/>
  <c r="AK10" i="10"/>
  <c r="AJ10" i="10"/>
  <c r="AK14" i="10"/>
  <c r="AJ14" i="10"/>
  <c r="AK18" i="10"/>
  <c r="AJ18" i="10"/>
  <c r="AK22" i="10"/>
  <c r="AJ22" i="10"/>
  <c r="AC24" i="10"/>
  <c r="AL24" i="10" s="1"/>
  <c r="AK26" i="10"/>
  <c r="AJ26" i="10"/>
  <c r="AC28" i="10"/>
  <c r="AL28" i="10" s="1"/>
  <c r="AK30" i="10"/>
  <c r="AJ30" i="10"/>
  <c r="AK34" i="10"/>
  <c r="AJ34" i="10"/>
  <c r="AK38" i="10"/>
  <c r="AJ38" i="10"/>
  <c r="AC40" i="10"/>
  <c r="AL40" i="10" s="1"/>
  <c r="AK42" i="10"/>
  <c r="AJ42" i="10"/>
  <c r="AK43" i="10"/>
  <c r="AJ43" i="10"/>
  <c r="AM6" i="10"/>
  <c r="AL6" i="10"/>
  <c r="AK8" i="10"/>
  <c r="AJ8" i="10"/>
  <c r="AK16" i="10"/>
  <c r="AJ16" i="10"/>
  <c r="AK20" i="10"/>
  <c r="AJ20" i="10"/>
  <c r="AK28" i="10"/>
  <c r="AJ28" i="10"/>
  <c r="AK32" i="10"/>
  <c r="AJ32" i="10"/>
  <c r="AC11" i="10"/>
  <c r="AL11" i="10" s="1"/>
  <c r="AK13" i="10"/>
  <c r="AJ13" i="10"/>
  <c r="AC19" i="10"/>
  <c r="AL19" i="10" s="1"/>
  <c r="AK21" i="10"/>
  <c r="AJ21" i="10"/>
  <c r="AC27" i="10"/>
  <c r="AL27" i="10" s="1"/>
  <c r="AK29" i="10"/>
  <c r="AJ29" i="10"/>
  <c r="AK33" i="10"/>
  <c r="AJ33" i="10"/>
  <c r="S91" i="10"/>
  <c r="Q91" i="10"/>
  <c r="AK7" i="10"/>
  <c r="AJ7" i="10"/>
  <c r="AK11" i="10"/>
  <c r="AJ11" i="10"/>
  <c r="AC13" i="10"/>
  <c r="AL13" i="10" s="1"/>
  <c r="AK15" i="10"/>
  <c r="AJ15" i="10"/>
  <c r="AK19" i="10"/>
  <c r="AJ19" i="10"/>
  <c r="AC21" i="10"/>
  <c r="AL21" i="10" s="1"/>
  <c r="AD22" i="10"/>
  <c r="AE22" i="10" s="1"/>
  <c r="AK23" i="10"/>
  <c r="AJ23" i="10"/>
  <c r="AC25" i="10"/>
  <c r="AL25" i="10" s="1"/>
  <c r="AK27" i="10"/>
  <c r="AJ27" i="10"/>
  <c r="AC29" i="10"/>
  <c r="AL29" i="10" s="1"/>
  <c r="AK31" i="10"/>
  <c r="AJ31" i="10"/>
  <c r="AC33" i="10"/>
  <c r="AL33" i="10" s="1"/>
  <c r="AK35" i="10"/>
  <c r="AJ35" i="10"/>
  <c r="AC37" i="10"/>
  <c r="AL37" i="10" s="1"/>
  <c r="AK39" i="10"/>
  <c r="AJ39" i="10"/>
  <c r="AD45" i="10"/>
  <c r="AE45" i="10" s="1"/>
  <c r="AG45" i="10" s="1"/>
  <c r="AD57" i="10"/>
  <c r="AE57" i="10" s="1"/>
  <c r="AG57" i="10" s="1"/>
  <c r="AD61" i="10"/>
  <c r="AE61" i="10" s="1"/>
  <c r="AG61" i="10" s="1"/>
  <c r="AD88" i="10"/>
  <c r="AE88" i="10" s="1"/>
  <c r="AG88" i="10" s="1"/>
  <c r="AD53" i="10"/>
  <c r="AE53" i="10" s="1"/>
  <c r="AG53" i="10" s="1"/>
  <c r="AD58" i="10"/>
  <c r="AD72" i="10"/>
  <c r="AE72" i="10" s="1"/>
  <c r="AG72" i="10" s="1"/>
  <c r="AD79" i="10"/>
  <c r="AI88" i="10"/>
  <c r="AJ88" i="10" s="1"/>
  <c r="AD56" i="10"/>
  <c r="AE56" i="10" s="1"/>
  <c r="AG56" i="10" s="1"/>
  <c r="AD89" i="10"/>
  <c r="AE89" i="10" s="1"/>
  <c r="AG89" i="10" s="1"/>
  <c r="AD49" i="10"/>
  <c r="AE49" i="10" s="1"/>
  <c r="AG49" i="10" s="1"/>
  <c r="AD65" i="10"/>
  <c r="AE65" i="10" s="1"/>
  <c r="AG65" i="10" s="1"/>
  <c r="AD69" i="10"/>
  <c r="AE69" i="10" s="1"/>
  <c r="AG69" i="10" s="1"/>
  <c r="AD74" i="10"/>
  <c r="AE74" i="10" s="1"/>
  <c r="AG74" i="10" s="1"/>
  <c r="AE77" i="10"/>
  <c r="AG77" i="10" s="1"/>
  <c r="AD85" i="10"/>
  <c r="AE85" i="10" s="1"/>
  <c r="AG85" i="10" s="1"/>
  <c r="AC9" i="10"/>
  <c r="AC17" i="10"/>
  <c r="AL17" i="10" s="1"/>
  <c r="AD6" i="10"/>
  <c r="AE6" i="10" s="1"/>
  <c r="AD14" i="10"/>
  <c r="AE14" i="10" s="1"/>
  <c r="AD34" i="10"/>
  <c r="AE34" i="10" s="1"/>
  <c r="AD27" i="10"/>
  <c r="AE27" i="10" s="1"/>
  <c r="AI51" i="10"/>
  <c r="AJ51" i="10" s="1"/>
  <c r="AC31" i="10"/>
  <c r="AL31" i="10" s="1"/>
  <c r="AC36" i="10"/>
  <c r="AC41" i="10"/>
  <c r="AL41" i="10" s="1"/>
  <c r="AI46" i="10"/>
  <c r="AJ46" i="10" s="1"/>
  <c r="AE67" i="10"/>
  <c r="AG67" i="10" s="1"/>
  <c r="AI67" i="10"/>
  <c r="AJ67" i="10" s="1"/>
  <c r="AI78" i="10"/>
  <c r="AJ78" i="10" s="1"/>
  <c r="AD39" i="10"/>
  <c r="AE39" i="10" s="1"/>
  <c r="AI62" i="10"/>
  <c r="AJ62" i="10" s="1"/>
  <c r="AI83" i="10"/>
  <c r="AJ83" i="10" s="1"/>
  <c r="L91" i="10"/>
  <c r="AC92" i="10" s="1"/>
  <c r="AC8" i="10"/>
  <c r="AL8" i="10" s="1"/>
  <c r="AC16" i="10"/>
  <c r="AL16" i="10" s="1"/>
  <c r="AD42" i="10"/>
  <c r="AE42" i="10" s="1"/>
  <c r="AE58" i="10"/>
  <c r="AG58" i="10" s="1"/>
  <c r="AI60" i="10"/>
  <c r="AJ60" i="10" s="1"/>
  <c r="AD60" i="10"/>
  <c r="AE60" i="10" s="1"/>
  <c r="AG60" i="10" s="1"/>
  <c r="AC12" i="10"/>
  <c r="AL12" i="10" s="1"/>
  <c r="AC20" i="10"/>
  <c r="AL20" i="10" s="1"/>
  <c r="AC30" i="10"/>
  <c r="AL30" i="10" s="1"/>
  <c r="AD33" i="10"/>
  <c r="AE33" i="10" s="1"/>
  <c r="AI44" i="10"/>
  <c r="AJ44" i="10" s="1"/>
  <c r="AE44" i="10"/>
  <c r="AG44" i="10" s="1"/>
  <c r="AD44" i="10"/>
  <c r="AD51" i="10"/>
  <c r="AE51" i="10" s="1"/>
  <c r="AG51" i="10" s="1"/>
  <c r="AI76" i="10"/>
  <c r="AJ76" i="10" s="1"/>
  <c r="AD76" i="10"/>
  <c r="AE76" i="10" s="1"/>
  <c r="AG76" i="10" s="1"/>
  <c r="AD83" i="10"/>
  <c r="AE83" i="10" s="1"/>
  <c r="AG83" i="10" s="1"/>
  <c r="AC35" i="10"/>
  <c r="AL35" i="10" s="1"/>
  <c r="AE47" i="10"/>
  <c r="AG47" i="10" s="1"/>
  <c r="AE48" i="10"/>
  <c r="AG48" i="10" s="1"/>
  <c r="AE63" i="10"/>
  <c r="AG63" i="10" s="1"/>
  <c r="AE64" i="10"/>
  <c r="AG64" i="10" s="1"/>
  <c r="AE79" i="10"/>
  <c r="AG79" i="10" s="1"/>
  <c r="AE80" i="10"/>
  <c r="AG80" i="10" s="1"/>
  <c r="AD50" i="10"/>
  <c r="AE50" i="10" s="1"/>
  <c r="AG50" i="10" s="1"/>
  <c r="AE59" i="10"/>
  <c r="AG59" i="10" s="1"/>
  <c r="AD66" i="10"/>
  <c r="AE66" i="10" s="1"/>
  <c r="AG66" i="10" s="1"/>
  <c r="AE75" i="10"/>
  <c r="AG75" i="10" s="1"/>
  <c r="AD82" i="10"/>
  <c r="AE82" i="10" s="1"/>
  <c r="AG82" i="10" s="1"/>
  <c r="AD46" i="10"/>
  <c r="AE46" i="10" s="1"/>
  <c r="AG46" i="10" s="1"/>
  <c r="AE55" i="10"/>
  <c r="AG55" i="10" s="1"/>
  <c r="AD62" i="10"/>
  <c r="AE62" i="10" s="1"/>
  <c r="AG62" i="10" s="1"/>
  <c r="AD78" i="10"/>
  <c r="AE78" i="10" s="1"/>
  <c r="AG78" i="10" s="1"/>
  <c r="AE87" i="10"/>
  <c r="AG87" i="10" s="1"/>
  <c r="AD24" i="10" l="1"/>
  <c r="AE24" i="10" s="1"/>
  <c r="AD16" i="10"/>
  <c r="AD15" i="10"/>
  <c r="AE15" i="10" s="1"/>
  <c r="AD38" i="10"/>
  <c r="AE38" i="10" s="1"/>
  <c r="AD43" i="10"/>
  <c r="AE43" i="10" s="1"/>
  <c r="AD26" i="10"/>
  <c r="AE26" i="10" s="1"/>
  <c r="AD25" i="10"/>
  <c r="AE25" i="10" s="1"/>
  <c r="AD17" i="10"/>
  <c r="AE17" i="10" s="1"/>
  <c r="AD18" i="10"/>
  <c r="AE18" i="10" s="1"/>
  <c r="AD11" i="10"/>
  <c r="AD28" i="10"/>
  <c r="AE28" i="10" s="1"/>
  <c r="AD21" i="10"/>
  <c r="AE21" i="10" s="1"/>
  <c r="AD41" i="10"/>
  <c r="AE41" i="10" s="1"/>
  <c r="AE11" i="10"/>
  <c r="AD23" i="10"/>
  <c r="AE23" i="10" s="1"/>
  <c r="AD19" i="10"/>
  <c r="AE19" i="10" s="1"/>
  <c r="AD32" i="10"/>
  <c r="AE32" i="10" s="1"/>
  <c r="AD40" i="10"/>
  <c r="AE40" i="10" s="1"/>
  <c r="AD37" i="10"/>
  <c r="AE37" i="10" s="1"/>
  <c r="AD9" i="10"/>
  <c r="AE9" i="10" s="1"/>
  <c r="AL9" i="10"/>
  <c r="AD7" i="10"/>
  <c r="AE7" i="10" s="1"/>
  <c r="AL7" i="10"/>
  <c r="AD36" i="10"/>
  <c r="AE36" i="10" s="1"/>
  <c r="AL36" i="10"/>
  <c r="AD13" i="10"/>
  <c r="AE13" i="10" s="1"/>
  <c r="AD35" i="10"/>
  <c r="AE35" i="10" s="1"/>
  <c r="AD29" i="10"/>
  <c r="AE29" i="10" s="1"/>
  <c r="AD12" i="10"/>
  <c r="AE12" i="10" s="1"/>
  <c r="AD20" i="10"/>
  <c r="AE20" i="10" s="1"/>
  <c r="AD30" i="10"/>
  <c r="AE30" i="10" s="1"/>
  <c r="AE16" i="10"/>
  <c r="AD31" i="10"/>
  <c r="AE31" i="10" s="1"/>
  <c r="AC91" i="10"/>
  <c r="AC106" i="10" s="1"/>
  <c r="AD8" i="10"/>
  <c r="AE8" i="10" s="1"/>
  <c r="AE91" i="10" l="1"/>
  <c r="AD91" i="10"/>
  <c r="AJ91" i="10"/>
  <c r="AI91" i="10"/>
  <c r="AI106" i="10" s="1"/>
  <c r="Z48" i="9" l="1"/>
  <c r="W48" i="9"/>
  <c r="T48" i="9"/>
  <c r="R48" i="9"/>
  <c r="Q48" i="9"/>
  <c r="P48" i="9"/>
  <c r="O48" i="9"/>
  <c r="N48" i="9"/>
  <c r="M48" i="9"/>
  <c r="L48" i="9"/>
  <c r="K48" i="9"/>
  <c r="Z47" i="9"/>
  <c r="T47" i="9"/>
  <c r="R47" i="9"/>
  <c r="Q47" i="9"/>
  <c r="P47" i="9"/>
  <c r="O47" i="9"/>
  <c r="N47" i="9"/>
  <c r="M47" i="9"/>
  <c r="L47" i="9"/>
  <c r="K47" i="9"/>
  <c r="J46" i="9"/>
  <c r="W45" i="9"/>
  <c r="J45" i="9"/>
  <c r="W44" i="9"/>
  <c r="J44" i="9"/>
  <c r="W43" i="9"/>
  <c r="J43" i="9"/>
  <c r="W42" i="9"/>
  <c r="J42" i="9"/>
  <c r="W41" i="9"/>
  <c r="J41" i="9"/>
  <c r="W40" i="9"/>
  <c r="J40" i="9"/>
  <c r="W39" i="9"/>
  <c r="J39" i="9"/>
  <c r="W38" i="9"/>
  <c r="J38" i="9"/>
  <c r="W37" i="9"/>
  <c r="J37" i="9"/>
  <c r="W36" i="9"/>
  <c r="J36" i="9"/>
  <c r="W35" i="9"/>
  <c r="J35" i="9"/>
  <c r="W34" i="9"/>
  <c r="J34" i="9"/>
  <c r="W33" i="9"/>
  <c r="J33" i="9"/>
  <c r="W32" i="9"/>
  <c r="J32" i="9"/>
  <c r="W31" i="9"/>
  <c r="J31" i="9"/>
  <c r="W30" i="9"/>
  <c r="J30" i="9"/>
  <c r="W29" i="9"/>
  <c r="J29" i="9"/>
  <c r="W28" i="9"/>
  <c r="J28" i="9"/>
  <c r="W27" i="9"/>
  <c r="J27" i="9"/>
  <c r="W26" i="9"/>
  <c r="J26" i="9"/>
  <c r="W25" i="9"/>
  <c r="J25" i="9"/>
  <c r="W24" i="9"/>
  <c r="J24" i="9"/>
  <c r="W23" i="9"/>
  <c r="J23" i="9"/>
  <c r="W22" i="9"/>
  <c r="J22" i="9"/>
  <c r="W21" i="9"/>
  <c r="J21" i="9"/>
  <c r="W20" i="9"/>
  <c r="J20" i="9"/>
  <c r="W19" i="9"/>
  <c r="J19" i="9"/>
  <c r="W18" i="9"/>
  <c r="J18" i="9"/>
  <c r="W17" i="9"/>
  <c r="J17" i="9"/>
  <c r="W16" i="9"/>
  <c r="J16" i="9"/>
  <c r="W15" i="9"/>
  <c r="J15" i="9"/>
  <c r="W14" i="9"/>
  <c r="J14" i="9"/>
  <c r="W13" i="9"/>
  <c r="J13" i="9"/>
  <c r="W12" i="9"/>
  <c r="J12" i="9"/>
  <c r="W11" i="9"/>
  <c r="J11" i="9"/>
  <c r="W10" i="9"/>
  <c r="J10" i="9"/>
  <c r="W9" i="9"/>
  <c r="J9" i="9"/>
  <c r="W8" i="9"/>
  <c r="J8" i="9"/>
  <c r="W7" i="9"/>
  <c r="J7" i="9"/>
  <c r="W6" i="9"/>
  <c r="J6" i="9"/>
  <c r="R32" i="3" l="1"/>
  <c r="R33" i="3"/>
  <c r="R36" i="3"/>
  <c r="R37" i="3"/>
  <c r="R38" i="3"/>
  <c r="R39" i="3"/>
  <c r="R40" i="3"/>
  <c r="J32" i="3"/>
  <c r="AA32" i="3"/>
  <c r="AF32" i="3"/>
  <c r="J33" i="3"/>
  <c r="AA33" i="3"/>
  <c r="AB33" i="3" s="1"/>
  <c r="AF33" i="3"/>
  <c r="J36" i="3"/>
  <c r="AA36" i="3"/>
  <c r="AF36" i="3"/>
  <c r="J37" i="3"/>
  <c r="AA37" i="3"/>
  <c r="AF37" i="3"/>
  <c r="J38" i="3"/>
  <c r="AA38" i="3"/>
  <c r="AB38" i="3" s="1"/>
  <c r="AF38" i="3"/>
  <c r="AB36" i="3" l="1"/>
  <c r="AC36" i="3" s="1"/>
  <c r="AE36" i="3" s="1"/>
  <c r="AG36" i="3" s="1"/>
  <c r="AB37" i="3"/>
  <c r="AC37" i="3" s="1"/>
  <c r="AB32" i="3"/>
  <c r="AC32" i="3" s="1"/>
  <c r="AE32" i="3" s="1"/>
  <c r="AC38" i="3"/>
  <c r="AE38" i="3" s="1"/>
  <c r="AG38" i="3" s="1"/>
  <c r="AH38" i="3" s="1"/>
  <c r="AI38" i="3" s="1"/>
  <c r="AM38" i="3" s="1"/>
  <c r="AC33" i="3"/>
  <c r="AE33" i="3" s="1"/>
  <c r="AG33" i="3" s="1"/>
  <c r="AK38" i="3" l="1"/>
  <c r="AG32" i="3"/>
  <c r="AH32" i="3" s="1"/>
  <c r="AE37" i="3"/>
  <c r="AH36" i="3"/>
  <c r="AH33" i="3"/>
  <c r="AG37" i="3" l="1"/>
  <c r="AH37" i="3" s="1"/>
  <c r="AK32" i="3"/>
  <c r="AI32" i="3"/>
  <c r="AM32" i="3" s="1"/>
  <c r="AK33" i="3"/>
  <c r="AI33" i="3"/>
  <c r="AM33" i="3" s="1"/>
  <c r="AK36" i="3"/>
  <c r="AI36" i="3"/>
  <c r="AM36" i="3" s="1"/>
  <c r="AF30" i="3"/>
  <c r="AF29" i="3"/>
  <c r="AA30" i="3"/>
  <c r="AA29" i="3"/>
  <c r="AB29" i="3" s="1"/>
  <c r="R30" i="3"/>
  <c r="R29" i="3"/>
  <c r="J30" i="3"/>
  <c r="J29" i="3"/>
  <c r="AK37" i="3" l="1"/>
  <c r="AI37" i="3"/>
  <c r="AM37" i="3" s="1"/>
  <c r="AB30" i="3"/>
  <c r="AC30" i="3" s="1"/>
  <c r="AE30" i="3" s="1"/>
  <c r="AC29" i="3"/>
  <c r="AE29" i="3" s="1"/>
  <c r="AG29" i="3" s="1"/>
  <c r="AG30" i="3" l="1"/>
  <c r="AH30" i="3" s="1"/>
  <c r="AH29" i="3"/>
  <c r="AI29" i="3" s="1"/>
  <c r="AM29" i="3" s="1"/>
  <c r="AI30" i="3" l="1"/>
  <c r="AM30" i="3" s="1"/>
  <c r="AK30" i="3"/>
  <c r="AK29" i="3"/>
  <c r="AA27" i="3"/>
  <c r="AA26" i="3"/>
  <c r="AA22" i="3"/>
  <c r="AB22" i="3" s="1"/>
  <c r="AA19" i="3"/>
  <c r="AA18" i="3"/>
  <c r="AA14" i="3"/>
  <c r="AA11" i="3"/>
  <c r="AA10" i="3"/>
  <c r="AA146" i="3"/>
  <c r="AA9" i="3"/>
  <c r="AB9" i="3" s="1"/>
  <c r="AA12" i="3"/>
  <c r="AB12" i="3" s="1"/>
  <c r="AA13" i="3"/>
  <c r="AB13" i="3" s="1"/>
  <c r="AA16" i="3"/>
  <c r="AB16" i="3" s="1"/>
  <c r="AA17" i="3"/>
  <c r="AB17" i="3" s="1"/>
  <c r="AA20" i="3"/>
  <c r="AB20" i="3" s="1"/>
  <c r="AA21" i="3"/>
  <c r="AB21" i="3" s="1"/>
  <c r="AA24" i="3"/>
  <c r="AA25" i="3"/>
  <c r="AB25" i="3" s="1"/>
  <c r="AA28" i="3"/>
  <c r="AA31" i="3"/>
  <c r="AB31" i="3" s="1"/>
  <c r="AA8" i="3"/>
  <c r="AA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31" i="3"/>
  <c r="AF146" i="3"/>
  <c r="AF6" i="3"/>
  <c r="AA23" i="3"/>
  <c r="AA15" i="3"/>
  <c r="AA7" i="3"/>
  <c r="R31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146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AB6" i="3" l="1"/>
  <c r="AA118" i="3"/>
  <c r="AF118" i="3"/>
  <c r="AB23" i="3"/>
  <c r="AC23" i="3" s="1"/>
  <c r="AE23" i="3" s="1"/>
  <c r="AB10" i="3"/>
  <c r="AB28" i="3"/>
  <c r="AC28" i="3" s="1"/>
  <c r="AE28" i="3" s="1"/>
  <c r="AG28" i="3" s="1"/>
  <c r="AB11" i="3"/>
  <c r="AC11" i="3" s="1"/>
  <c r="AE11" i="3" s="1"/>
  <c r="AB7" i="3"/>
  <c r="AC7" i="3" s="1"/>
  <c r="AE7" i="3" s="1"/>
  <c r="AG7" i="3" s="1"/>
  <c r="AB14" i="3"/>
  <c r="AC14" i="3" s="1"/>
  <c r="AE14" i="3" s="1"/>
  <c r="AG14" i="3" s="1"/>
  <c r="AB26" i="3"/>
  <c r="AC26" i="3" s="1"/>
  <c r="AE26" i="3" s="1"/>
  <c r="AG26" i="3" s="1"/>
  <c r="AB15" i="3"/>
  <c r="AC15" i="3" s="1"/>
  <c r="AE15" i="3" s="1"/>
  <c r="AB8" i="3"/>
  <c r="AC8" i="3" s="1"/>
  <c r="AE8" i="3" s="1"/>
  <c r="AG8" i="3" s="1"/>
  <c r="AB24" i="3"/>
  <c r="AC24" i="3" s="1"/>
  <c r="AB146" i="3"/>
  <c r="AC146" i="3" s="1"/>
  <c r="AE146" i="3" s="1"/>
  <c r="AG146" i="3" s="1"/>
  <c r="AB18" i="3"/>
  <c r="AB27" i="3"/>
  <c r="AC27" i="3" s="1"/>
  <c r="AE27" i="3" s="1"/>
  <c r="AB19" i="3"/>
  <c r="AC19" i="3" s="1"/>
  <c r="AE19" i="3" s="1"/>
  <c r="AC22" i="3"/>
  <c r="AE22" i="3" s="1"/>
  <c r="AG22" i="3" s="1"/>
  <c r="AC20" i="3"/>
  <c r="AE20" i="3" s="1"/>
  <c r="AG20" i="3" s="1"/>
  <c r="AC16" i="3"/>
  <c r="AE16" i="3" s="1"/>
  <c r="AG16" i="3" s="1"/>
  <c r="AC12" i="3"/>
  <c r="AE12" i="3" s="1"/>
  <c r="AG12" i="3" s="1"/>
  <c r="AC9" i="3"/>
  <c r="AE9" i="3" s="1"/>
  <c r="AG9" i="3" s="1"/>
  <c r="AC13" i="3"/>
  <c r="AE13" i="3" s="1"/>
  <c r="AG13" i="3" s="1"/>
  <c r="AC17" i="3"/>
  <c r="AE17" i="3" s="1"/>
  <c r="AG17" i="3" s="1"/>
  <c r="AC21" i="3"/>
  <c r="AE21" i="3" s="1"/>
  <c r="AG21" i="3" s="1"/>
  <c r="AC25" i="3"/>
  <c r="AE25" i="3" s="1"/>
  <c r="AG25" i="3" s="1"/>
  <c r="AC31" i="3"/>
  <c r="AE31" i="3" s="1"/>
  <c r="AG31" i="3" s="1"/>
  <c r="AG19" i="3" l="1"/>
  <c r="AH19" i="3" s="1"/>
  <c r="AG27" i="3"/>
  <c r="AH27" i="3" s="1"/>
  <c r="AG23" i="3"/>
  <c r="AH23" i="3" s="1"/>
  <c r="AG11" i="3"/>
  <c r="AH11" i="3" s="1"/>
  <c r="AG15" i="3"/>
  <c r="AH15" i="3" s="1"/>
  <c r="AB118" i="3"/>
  <c r="AE24" i="3"/>
  <c r="AC18" i="3"/>
  <c r="AE18" i="3" s="1"/>
  <c r="AC10" i="3"/>
  <c r="AE10" i="3" s="1"/>
  <c r="AH28" i="3"/>
  <c r="AI28" i="3" s="1"/>
  <c r="AM28" i="3" s="1"/>
  <c r="AH26" i="3"/>
  <c r="AK26" i="3" s="1"/>
  <c r="AH25" i="3"/>
  <c r="AK25" i="3" s="1"/>
  <c r="AH9" i="3"/>
  <c r="AH21" i="3"/>
  <c r="AH12" i="3"/>
  <c r="AK12" i="3" s="1"/>
  <c r="AH22" i="3"/>
  <c r="AH14" i="3"/>
  <c r="AK14" i="3" s="1"/>
  <c r="AH17" i="3"/>
  <c r="AH16" i="3"/>
  <c r="AK16" i="3" s="1"/>
  <c r="AH13" i="3"/>
  <c r="AI13" i="3" s="1"/>
  <c r="AM13" i="3" s="1"/>
  <c r="AH20" i="3"/>
  <c r="AC30" i="32"/>
  <c r="AI23" i="3" l="1"/>
  <c r="AM23" i="3" s="1"/>
  <c r="AK23" i="3"/>
  <c r="AI15" i="3"/>
  <c r="AM15" i="3" s="1"/>
  <c r="AK15" i="3"/>
  <c r="AI11" i="3"/>
  <c r="AM11" i="3" s="1"/>
  <c r="AK11" i="3"/>
  <c r="AI27" i="3"/>
  <c r="AM27" i="3" s="1"/>
  <c r="AK27" i="3"/>
  <c r="AK19" i="3"/>
  <c r="AI19" i="3"/>
  <c r="AM19" i="3" s="1"/>
  <c r="AG24" i="3"/>
  <c r="AH24" i="3" s="1"/>
  <c r="AG10" i="3"/>
  <c r="AH10" i="3" s="1"/>
  <c r="AG18" i="3"/>
  <c r="AH18" i="3" s="1"/>
  <c r="AI26" i="3"/>
  <c r="AM26" i="3" s="1"/>
  <c r="AI25" i="3"/>
  <c r="AM25" i="3" s="1"/>
  <c r="AI14" i="3"/>
  <c r="AM14" i="3" s="1"/>
  <c r="AK28" i="3"/>
  <c r="AK13" i="3"/>
  <c r="AI12" i="3"/>
  <c r="AM12" i="3" s="1"/>
  <c r="AI16" i="3"/>
  <c r="AM16" i="3" s="1"/>
  <c r="AK9" i="3"/>
  <c r="AI9" i="3"/>
  <c r="AM9" i="3" s="1"/>
  <c r="AI22" i="3"/>
  <c r="AM22" i="3" s="1"/>
  <c r="AK22" i="3"/>
  <c r="AI17" i="3"/>
  <c r="AM17" i="3" s="1"/>
  <c r="AK17" i="3"/>
  <c r="AK20" i="3"/>
  <c r="AI20" i="3"/>
  <c r="AM20" i="3" s="1"/>
  <c r="AI21" i="3"/>
  <c r="AM21" i="3" s="1"/>
  <c r="AK21" i="3"/>
  <c r="Y30" i="32"/>
  <c r="AE30" i="32"/>
  <c r="W30" i="32"/>
  <c r="S30" i="32"/>
  <c r="R30" i="32"/>
  <c r="Q30" i="32"/>
  <c r="P30" i="32"/>
  <c r="O30" i="32"/>
  <c r="N30" i="32"/>
  <c r="M29" i="32"/>
  <c r="L29" i="32"/>
  <c r="K29" i="32"/>
  <c r="J29" i="32"/>
  <c r="M28" i="32"/>
  <c r="L28" i="32"/>
  <c r="K28" i="32"/>
  <c r="J28" i="32"/>
  <c r="M27" i="32"/>
  <c r="L27" i="32"/>
  <c r="K27" i="32"/>
  <c r="J27" i="32"/>
  <c r="M26" i="32"/>
  <c r="L26" i="32"/>
  <c r="K26" i="32"/>
  <c r="J26" i="32"/>
  <c r="M25" i="32"/>
  <c r="L25" i="32"/>
  <c r="K25" i="32"/>
  <c r="J25" i="32"/>
  <c r="M24" i="32"/>
  <c r="L24" i="32"/>
  <c r="K24" i="32"/>
  <c r="J24" i="32"/>
  <c r="M23" i="32"/>
  <c r="L23" i="32"/>
  <c r="K23" i="32"/>
  <c r="J23" i="32"/>
  <c r="M22" i="32"/>
  <c r="L22" i="32"/>
  <c r="K22" i="32"/>
  <c r="J22" i="32"/>
  <c r="M21" i="32"/>
  <c r="L21" i="32"/>
  <c r="K21" i="32"/>
  <c r="J21" i="32"/>
  <c r="M20" i="32"/>
  <c r="L20" i="32"/>
  <c r="K20" i="32"/>
  <c r="J20" i="32"/>
  <c r="M19" i="32"/>
  <c r="L19" i="32"/>
  <c r="K19" i="32"/>
  <c r="J19" i="32"/>
  <c r="M18" i="32"/>
  <c r="L18" i="32"/>
  <c r="K18" i="32"/>
  <c r="J18" i="32"/>
  <c r="M17" i="32"/>
  <c r="L17" i="32"/>
  <c r="K17" i="32"/>
  <c r="J17" i="32"/>
  <c r="AF16" i="32"/>
  <c r="AG16" i="32" s="1"/>
  <c r="Z16" i="32"/>
  <c r="J16" i="32"/>
  <c r="AA16" i="32" s="1"/>
  <c r="M15" i="32"/>
  <c r="L15" i="32"/>
  <c r="K15" i="32"/>
  <c r="J15" i="32"/>
  <c r="M14" i="32"/>
  <c r="L14" i="32"/>
  <c r="K14" i="32"/>
  <c r="J14" i="32"/>
  <c r="M13" i="32"/>
  <c r="L13" i="32"/>
  <c r="K13" i="32"/>
  <c r="J13" i="32"/>
  <c r="M12" i="32"/>
  <c r="L12" i="32"/>
  <c r="K12" i="32"/>
  <c r="J12" i="32"/>
  <c r="M11" i="32"/>
  <c r="L11" i="32"/>
  <c r="K11" i="32"/>
  <c r="J11" i="32"/>
  <c r="M10" i="32"/>
  <c r="L10" i="32"/>
  <c r="K10" i="32"/>
  <c r="J10" i="32"/>
  <c r="M9" i="32"/>
  <c r="L9" i="32"/>
  <c r="K9" i="32"/>
  <c r="J9" i="32"/>
  <c r="M8" i="32"/>
  <c r="L8" i="32"/>
  <c r="K8" i="32"/>
  <c r="J8" i="32"/>
  <c r="M7" i="32"/>
  <c r="L7" i="32"/>
  <c r="K7" i="32"/>
  <c r="J7" i="32"/>
  <c r="M6" i="32"/>
  <c r="L6" i="32"/>
  <c r="K6" i="32"/>
  <c r="J6" i="32"/>
  <c r="AK18" i="3" l="1"/>
  <c r="AI18" i="3"/>
  <c r="AM18" i="3" s="1"/>
  <c r="AI10" i="3"/>
  <c r="AM10" i="3" s="1"/>
  <c r="AK10" i="3"/>
  <c r="AI24" i="3"/>
  <c r="AM24" i="3" s="1"/>
  <c r="AK24" i="3"/>
  <c r="L30" i="32"/>
  <c r="AF8" i="32"/>
  <c r="AG8" i="32" s="1"/>
  <c r="AF10" i="32"/>
  <c r="AG10" i="32" s="1"/>
  <c r="AF12" i="32"/>
  <c r="AG12" i="32" s="1"/>
  <c r="AF13" i="32"/>
  <c r="AG13" i="32" s="1"/>
  <c r="AF15" i="32"/>
  <c r="AG15" i="32" s="1"/>
  <c r="AF18" i="32"/>
  <c r="AG18" i="32" s="1"/>
  <c r="AF20" i="32"/>
  <c r="AG20" i="32" s="1"/>
  <c r="AF22" i="32"/>
  <c r="AG22" i="32" s="1"/>
  <c r="AF24" i="32"/>
  <c r="AG24" i="32" s="1"/>
  <c r="AF26" i="32"/>
  <c r="AG26" i="32" s="1"/>
  <c r="AH26" i="32" s="1"/>
  <c r="AF28" i="32"/>
  <c r="AG28" i="32" s="1"/>
  <c r="Z18" i="32"/>
  <c r="Z20" i="32"/>
  <c r="AH20" i="32" s="1"/>
  <c r="Z22" i="32"/>
  <c r="AH22" i="32" s="1"/>
  <c r="Z24" i="32"/>
  <c r="Z26" i="32"/>
  <c r="Z28" i="32"/>
  <c r="AH28" i="32" s="1"/>
  <c r="K30" i="32"/>
  <c r="M30" i="32"/>
  <c r="Z7" i="32"/>
  <c r="AA7" i="32" s="1"/>
  <c r="AB7" i="32" s="1"/>
  <c r="AD7" i="32" s="1"/>
  <c r="AF7" i="32"/>
  <c r="AG7" i="32" s="1"/>
  <c r="Z9" i="32"/>
  <c r="AA9" i="32" s="1"/>
  <c r="AB9" i="32" s="1"/>
  <c r="AD9" i="32" s="1"/>
  <c r="AF9" i="32"/>
  <c r="AG9" i="32" s="1"/>
  <c r="Z11" i="32"/>
  <c r="AF11" i="32"/>
  <c r="AG11" i="32" s="1"/>
  <c r="Z14" i="32"/>
  <c r="AA14" i="32" s="1"/>
  <c r="AB14" i="32" s="1"/>
  <c r="AD14" i="32" s="1"/>
  <c r="AF14" i="32"/>
  <c r="AG14" i="32" s="1"/>
  <c r="Z15" i="32"/>
  <c r="AB16" i="32"/>
  <c r="AD16" i="32" s="1"/>
  <c r="Z17" i="32"/>
  <c r="Z19" i="32"/>
  <c r="Z21" i="32"/>
  <c r="AA21" i="32" s="1"/>
  <c r="Z23" i="32"/>
  <c r="AA23" i="32" s="1"/>
  <c r="AB23" i="32" s="1"/>
  <c r="AD23" i="32" s="1"/>
  <c r="Z25" i="32"/>
  <c r="AA25" i="32" s="1"/>
  <c r="Z27" i="32"/>
  <c r="AA27" i="32" s="1"/>
  <c r="Z29" i="32"/>
  <c r="AA29" i="32"/>
  <c r="AB29" i="32" s="1"/>
  <c r="AD29" i="32" s="1"/>
  <c r="AA19" i="32"/>
  <c r="AB19" i="32" s="1"/>
  <c r="AD19" i="32" s="1"/>
  <c r="AA17" i="32"/>
  <c r="AB17" i="32" s="1"/>
  <c r="AD17" i="32" s="1"/>
  <c r="AA11" i="32"/>
  <c r="AB11" i="32" s="1"/>
  <c r="AD11" i="32" s="1"/>
  <c r="AA18" i="32"/>
  <c r="AB18" i="32" s="1"/>
  <c r="AD18" i="32" s="1"/>
  <c r="AA20" i="32"/>
  <c r="AB20" i="32" s="1"/>
  <c r="AD20" i="32" s="1"/>
  <c r="AA22" i="32"/>
  <c r="AB22" i="32" s="1"/>
  <c r="AD22" i="32" s="1"/>
  <c r="AA24" i="32"/>
  <c r="AB24" i="32" s="1"/>
  <c r="AD24" i="32" s="1"/>
  <c r="AA26" i="32"/>
  <c r="AB26" i="32" s="1"/>
  <c r="AD26" i="32" s="1"/>
  <c r="AA28" i="32"/>
  <c r="AB28" i="32" s="1"/>
  <c r="AD28" i="32" s="1"/>
  <c r="Z10" i="32"/>
  <c r="AH10" i="32" s="1"/>
  <c r="Z12" i="32"/>
  <c r="AH12" i="32" s="1"/>
  <c r="Z13" i="32"/>
  <c r="AH13" i="32" s="1"/>
  <c r="AF17" i="32"/>
  <c r="AG17" i="32" s="1"/>
  <c r="AF19" i="32"/>
  <c r="AG19" i="32" s="1"/>
  <c r="AF21" i="32"/>
  <c r="AG21" i="32" s="1"/>
  <c r="AF23" i="32"/>
  <c r="AG23" i="32" s="1"/>
  <c r="AF25" i="32"/>
  <c r="AG25" i="32" s="1"/>
  <c r="AF27" i="32"/>
  <c r="AG27" i="32" s="1"/>
  <c r="AF29" i="32"/>
  <c r="AG29" i="32" s="1"/>
  <c r="Z6" i="32"/>
  <c r="Z8" i="32"/>
  <c r="AH8" i="32" s="1"/>
  <c r="AF6" i="32"/>
  <c r="AH15" i="32" l="1"/>
  <c r="AA15" i="32"/>
  <c r="AB15" i="32" s="1"/>
  <c r="AD15" i="32" s="1"/>
  <c r="AH24" i="32"/>
  <c r="AH18" i="32"/>
  <c r="AB27" i="32"/>
  <c r="AD27" i="32" s="1"/>
  <c r="AB21" i="32"/>
  <c r="AD21" i="32" s="1"/>
  <c r="AH14" i="32"/>
  <c r="AH9" i="32"/>
  <c r="AH11" i="32"/>
  <c r="AH7" i="32"/>
  <c r="AH29" i="32"/>
  <c r="AH23" i="32"/>
  <c r="AH17" i="32"/>
  <c r="AH27" i="32"/>
  <c r="AB25" i="32"/>
  <c r="AD25" i="32" s="1"/>
  <c r="AH25" i="32"/>
  <c r="AH21" i="32"/>
  <c r="AH19" i="32"/>
  <c r="AA12" i="32"/>
  <c r="AB12" i="32" s="1"/>
  <c r="AD12" i="32" s="1"/>
  <c r="AA8" i="32"/>
  <c r="AB8" i="32" s="1"/>
  <c r="AD8" i="32" s="1"/>
  <c r="AG6" i="32"/>
  <c r="AG30" i="32" s="1"/>
  <c r="AF30" i="32"/>
  <c r="Z30" i="32"/>
  <c r="AA13" i="32"/>
  <c r="AB13" i="32" s="1"/>
  <c r="AD13" i="32" s="1"/>
  <c r="AA10" i="32"/>
  <c r="AB10" i="32" s="1"/>
  <c r="AD10" i="32" s="1"/>
  <c r="AA6" i="32"/>
  <c r="AH6" i="32" l="1"/>
  <c r="AH30" i="32" s="1"/>
  <c r="AA30" i="32"/>
  <c r="AB6" i="32"/>
  <c r="AB30" i="32" l="1"/>
  <c r="AD6" i="32"/>
  <c r="AD30" i="32" s="1"/>
  <c r="Z34" i="31"/>
  <c r="M34" i="31"/>
  <c r="L34" i="31"/>
  <c r="K34" i="31"/>
  <c r="R33" i="31"/>
  <c r="Z32" i="31"/>
  <c r="J32" i="31"/>
  <c r="Z31" i="31"/>
  <c r="J31" i="31"/>
  <c r="Z30" i="31"/>
  <c r="J30" i="31"/>
  <c r="M29" i="31"/>
  <c r="L29" i="31"/>
  <c r="K29" i="31"/>
  <c r="J29" i="31"/>
  <c r="M28" i="31"/>
  <c r="L28" i="31"/>
  <c r="K28" i="31"/>
  <c r="J28" i="31"/>
  <c r="M27" i="31"/>
  <c r="L27" i="31"/>
  <c r="K27" i="31"/>
  <c r="J27" i="31"/>
  <c r="M26" i="31"/>
  <c r="L26" i="31"/>
  <c r="K26" i="31"/>
  <c r="J26" i="31"/>
  <c r="M25" i="31"/>
  <c r="L25" i="31"/>
  <c r="K25" i="31"/>
  <c r="J25" i="31"/>
  <c r="M24" i="31"/>
  <c r="L24" i="31"/>
  <c r="K24" i="31"/>
  <c r="J24" i="31"/>
  <c r="M23" i="31"/>
  <c r="L23" i="31"/>
  <c r="K23" i="31"/>
  <c r="J23" i="31"/>
  <c r="M22" i="31"/>
  <c r="L22" i="31"/>
  <c r="K22" i="31"/>
  <c r="J22" i="31"/>
  <c r="M21" i="31"/>
  <c r="L21" i="31"/>
  <c r="K21" i="31"/>
  <c r="J21" i="31"/>
  <c r="M20" i="31"/>
  <c r="L20" i="31"/>
  <c r="K20" i="31"/>
  <c r="J20" i="31"/>
  <c r="M19" i="31"/>
  <c r="L19" i="31"/>
  <c r="K19" i="31"/>
  <c r="J19" i="31"/>
  <c r="M18" i="31"/>
  <c r="L18" i="31"/>
  <c r="K18" i="31"/>
  <c r="J18" i="31"/>
  <c r="M17" i="31"/>
  <c r="L17" i="31"/>
  <c r="K17" i="31"/>
  <c r="J17" i="31"/>
  <c r="L16" i="31"/>
  <c r="K16" i="31"/>
  <c r="J16" i="31"/>
  <c r="M15" i="31"/>
  <c r="L15" i="31"/>
  <c r="K15" i="31"/>
  <c r="J15" i="31"/>
  <c r="M14" i="31"/>
  <c r="L14" i="31"/>
  <c r="K14" i="31"/>
  <c r="J14" i="31"/>
  <c r="M13" i="31"/>
  <c r="L13" i="31"/>
  <c r="K13" i="31"/>
  <c r="J13" i="31"/>
  <c r="M12" i="31"/>
  <c r="L12" i="31"/>
  <c r="K12" i="31"/>
  <c r="J12" i="31"/>
  <c r="M11" i="31"/>
  <c r="L11" i="31"/>
  <c r="K11" i="31"/>
  <c r="J11" i="31"/>
  <c r="M10" i="31"/>
  <c r="L10" i="31"/>
  <c r="K10" i="31"/>
  <c r="J10" i="31"/>
  <c r="M9" i="31"/>
  <c r="L9" i="31"/>
  <c r="K9" i="31"/>
  <c r="J9" i="31"/>
  <c r="M8" i="31"/>
  <c r="L8" i="31"/>
  <c r="K8" i="31"/>
  <c r="J8" i="31"/>
  <c r="M7" i="31"/>
  <c r="L7" i="31"/>
  <c r="K7" i="31"/>
  <c r="J7" i="31"/>
  <c r="M6" i="31"/>
  <c r="L6" i="31"/>
  <c r="K6" i="31"/>
  <c r="J6" i="31"/>
  <c r="Z34" i="30"/>
  <c r="M34" i="30"/>
  <c r="L34" i="30"/>
  <c r="K34" i="30"/>
  <c r="R33" i="30"/>
  <c r="Z32" i="30"/>
  <c r="J32" i="30"/>
  <c r="Z31" i="30"/>
  <c r="J31" i="30"/>
  <c r="Z30" i="30"/>
  <c r="J30" i="30"/>
  <c r="M29" i="30"/>
  <c r="L29" i="30"/>
  <c r="K29" i="30"/>
  <c r="J29" i="30"/>
  <c r="M28" i="30"/>
  <c r="L28" i="30"/>
  <c r="K28" i="30"/>
  <c r="J28" i="30"/>
  <c r="M27" i="30"/>
  <c r="L27" i="30"/>
  <c r="K27" i="30"/>
  <c r="J27" i="30"/>
  <c r="M26" i="30"/>
  <c r="L26" i="30"/>
  <c r="K26" i="30"/>
  <c r="J26" i="30"/>
  <c r="M25" i="30"/>
  <c r="L25" i="30"/>
  <c r="K25" i="30"/>
  <c r="J25" i="30"/>
  <c r="M24" i="30"/>
  <c r="L24" i="30"/>
  <c r="K24" i="30"/>
  <c r="J24" i="30"/>
  <c r="M23" i="30"/>
  <c r="L23" i="30"/>
  <c r="K23" i="30"/>
  <c r="J23" i="30"/>
  <c r="M22" i="30"/>
  <c r="L22" i="30"/>
  <c r="K22" i="30"/>
  <c r="J22" i="30"/>
  <c r="M21" i="30"/>
  <c r="L21" i="30"/>
  <c r="K21" i="30"/>
  <c r="J21" i="30"/>
  <c r="M20" i="30"/>
  <c r="L20" i="30"/>
  <c r="K20" i="30"/>
  <c r="J20" i="30"/>
  <c r="M19" i="30"/>
  <c r="L19" i="30"/>
  <c r="K19" i="30"/>
  <c r="J19" i="30"/>
  <c r="M18" i="30"/>
  <c r="L18" i="30"/>
  <c r="K18" i="30"/>
  <c r="J18" i="30"/>
  <c r="M17" i="30"/>
  <c r="L17" i="30"/>
  <c r="K17" i="30"/>
  <c r="J17" i="30"/>
  <c r="L16" i="30"/>
  <c r="K16" i="30"/>
  <c r="J16" i="30"/>
  <c r="M15" i="30"/>
  <c r="L15" i="30"/>
  <c r="K15" i="30"/>
  <c r="J15" i="30"/>
  <c r="M14" i="30"/>
  <c r="L14" i="30"/>
  <c r="K14" i="30"/>
  <c r="J14" i="30"/>
  <c r="M13" i="30"/>
  <c r="L13" i="30"/>
  <c r="K13" i="30"/>
  <c r="J13" i="30"/>
  <c r="M12" i="30"/>
  <c r="L12" i="30"/>
  <c r="K12" i="30"/>
  <c r="J12" i="30"/>
  <c r="M11" i="30"/>
  <c r="L11" i="30"/>
  <c r="K11" i="30"/>
  <c r="J11" i="30"/>
  <c r="M10" i="30"/>
  <c r="L10" i="30"/>
  <c r="K10" i="30"/>
  <c r="J10" i="30"/>
  <c r="M9" i="30"/>
  <c r="L9" i="30"/>
  <c r="K9" i="30"/>
  <c r="J9" i="30"/>
  <c r="M8" i="30"/>
  <c r="L8" i="30"/>
  <c r="K8" i="30"/>
  <c r="J8" i="30"/>
  <c r="M7" i="30"/>
  <c r="L7" i="30"/>
  <c r="K7" i="30"/>
  <c r="J7" i="30"/>
  <c r="M6" i="30"/>
  <c r="L6" i="30"/>
  <c r="L33" i="30" s="1"/>
  <c r="K6" i="30"/>
  <c r="J6" i="30"/>
  <c r="Z8" i="31" l="1"/>
  <c r="Z10" i="31"/>
  <c r="AA10" i="31" s="1"/>
  <c r="AB10" i="31" s="1"/>
  <c r="Z8" i="30"/>
  <c r="AA8" i="30" s="1"/>
  <c r="AB8" i="30" s="1"/>
  <c r="Z10" i="30"/>
  <c r="Z12" i="30"/>
  <c r="AA12" i="30" s="1"/>
  <c r="AB12" i="30" s="1"/>
  <c r="Z14" i="30"/>
  <c r="AA14" i="30" s="1"/>
  <c r="AA8" i="31"/>
  <c r="AB8" i="31" s="1"/>
  <c r="AA14" i="31"/>
  <c r="AB14" i="31" s="1"/>
  <c r="Z18" i="31"/>
  <c r="AA18" i="31" s="1"/>
  <c r="AB18" i="31" s="1"/>
  <c r="Z20" i="31"/>
  <c r="Z22" i="31"/>
  <c r="Z24" i="31"/>
  <c r="AA24" i="31" s="1"/>
  <c r="AB24" i="31" s="1"/>
  <c r="Z26" i="31"/>
  <c r="AA26" i="31" s="1"/>
  <c r="AB26" i="31" s="1"/>
  <c r="Z28" i="31"/>
  <c r="Z29" i="31"/>
  <c r="L33" i="31"/>
  <c r="Z12" i="31"/>
  <c r="AA12" i="31" s="1"/>
  <c r="Z14" i="31"/>
  <c r="M33" i="30"/>
  <c r="AA30" i="30"/>
  <c r="AA32" i="30"/>
  <c r="AB32" i="30" s="1"/>
  <c r="K33" i="31"/>
  <c r="Z7" i="31"/>
  <c r="Z9" i="31"/>
  <c r="AA9" i="31" s="1"/>
  <c r="AB9" i="31" s="1"/>
  <c r="Z11" i="31"/>
  <c r="Z13" i="31"/>
  <c r="AA13" i="31" s="1"/>
  <c r="AB13" i="31" s="1"/>
  <c r="Z15" i="31"/>
  <c r="Z16" i="31"/>
  <c r="AA16" i="31" s="1"/>
  <c r="Z17" i="31"/>
  <c r="AA17" i="31" s="1"/>
  <c r="AB17" i="31" s="1"/>
  <c r="Z19" i="31"/>
  <c r="Z21" i="31"/>
  <c r="Z23" i="31"/>
  <c r="AA23" i="31" s="1"/>
  <c r="Z25" i="31"/>
  <c r="AA25" i="31" s="1"/>
  <c r="AB25" i="31" s="1"/>
  <c r="Z27" i="31"/>
  <c r="AA31" i="31"/>
  <c r="AA10" i="30"/>
  <c r="Z18" i="30"/>
  <c r="AA18" i="30" s="1"/>
  <c r="AB18" i="30" s="1"/>
  <c r="Z20" i="30"/>
  <c r="AA20" i="30" s="1"/>
  <c r="AB20" i="30" s="1"/>
  <c r="Z22" i="30"/>
  <c r="Z24" i="30"/>
  <c r="Z26" i="30"/>
  <c r="AA26" i="30" s="1"/>
  <c r="AB26" i="30" s="1"/>
  <c r="Z28" i="30"/>
  <c r="AA28" i="30" s="1"/>
  <c r="AB28" i="30" s="1"/>
  <c r="Z29" i="30"/>
  <c r="AA29" i="30" s="1"/>
  <c r="AB29" i="30" s="1"/>
  <c r="K33" i="30"/>
  <c r="Z7" i="30"/>
  <c r="AA7" i="30" s="1"/>
  <c r="AB7" i="30" s="1"/>
  <c r="Z9" i="30"/>
  <c r="AA9" i="30" s="1"/>
  <c r="AB9" i="30" s="1"/>
  <c r="Z11" i="30"/>
  <c r="AA11" i="30" s="1"/>
  <c r="AB11" i="30" s="1"/>
  <c r="Z13" i="30"/>
  <c r="Z15" i="30"/>
  <c r="AA15" i="30" s="1"/>
  <c r="AB15" i="30" s="1"/>
  <c r="Z16" i="30"/>
  <c r="AA16" i="30" s="1"/>
  <c r="AB16" i="30" s="1"/>
  <c r="Z17" i="30"/>
  <c r="AA17" i="30" s="1"/>
  <c r="AB17" i="30" s="1"/>
  <c r="Z19" i="30"/>
  <c r="AA19" i="30" s="1"/>
  <c r="AB19" i="30" s="1"/>
  <c r="Z21" i="30"/>
  <c r="AA21" i="30" s="1"/>
  <c r="AB21" i="30" s="1"/>
  <c r="Z23" i="30"/>
  <c r="AA23" i="30" s="1"/>
  <c r="AB23" i="30" s="1"/>
  <c r="Z25" i="30"/>
  <c r="AA25" i="30" s="1"/>
  <c r="AB25" i="30" s="1"/>
  <c r="Z27" i="30"/>
  <c r="AA27" i="30" s="1"/>
  <c r="AB27" i="30" s="1"/>
  <c r="AA31" i="30"/>
  <c r="AB31" i="30" s="1"/>
  <c r="M33" i="31"/>
  <c r="AA21" i="31"/>
  <c r="AA29" i="31"/>
  <c r="AB29" i="31" s="1"/>
  <c r="AA30" i="31"/>
  <c r="AB30" i="31" s="1"/>
  <c r="AA32" i="31"/>
  <c r="AB32" i="31" s="1"/>
  <c r="AA20" i="31"/>
  <c r="AB20" i="31" s="1"/>
  <c r="AA22" i="31"/>
  <c r="AB22" i="31" s="1"/>
  <c r="AA28" i="31"/>
  <c r="AB28" i="31" s="1"/>
  <c r="AB31" i="31"/>
  <c r="AA7" i="31"/>
  <c r="AB7" i="31" s="1"/>
  <c r="AA11" i="31"/>
  <c r="AB11" i="31" s="1"/>
  <c r="AA15" i="31"/>
  <c r="AB15" i="31" s="1"/>
  <c r="AB21" i="31"/>
  <c r="Z6" i="31"/>
  <c r="AB10" i="30"/>
  <c r="AA22" i="30"/>
  <c r="AB22" i="30" s="1"/>
  <c r="AA24" i="30"/>
  <c r="AB24" i="30" s="1"/>
  <c r="AB30" i="30"/>
  <c r="AA13" i="30"/>
  <c r="AB13" i="30" s="1"/>
  <c r="Z6" i="30"/>
  <c r="AB14" i="30" l="1"/>
  <c r="AB12" i="31"/>
  <c r="AB23" i="31"/>
  <c r="AB16" i="31"/>
  <c r="AA27" i="31"/>
  <c r="AB27" i="31" s="1"/>
  <c r="AA19" i="31"/>
  <c r="AB19" i="31" s="1"/>
  <c r="Z33" i="31"/>
  <c r="AA6" i="31"/>
  <c r="Z33" i="30"/>
  <c r="AA6" i="30"/>
  <c r="AA33" i="30" s="1"/>
  <c r="AA33" i="31" l="1"/>
  <c r="AB6" i="31"/>
  <c r="AB33" i="31" s="1"/>
  <c r="AB6" i="30"/>
  <c r="AB33" i="30" s="1"/>
  <c r="AC6" i="3" l="1"/>
  <c r="AC118" i="3" s="1"/>
  <c r="AE6" i="3" l="1"/>
  <c r="AE118" i="3" s="1"/>
  <c r="AG6" i="3" l="1"/>
  <c r="AG118" i="3" s="1"/>
  <c r="AH6" i="3" l="1"/>
  <c r="B46" i="1"/>
  <c r="B45" i="1"/>
  <c r="B44" i="1"/>
  <c r="N43" i="1"/>
  <c r="B43" i="1"/>
  <c r="N42" i="1"/>
  <c r="H42" i="1"/>
  <c r="B42" i="1"/>
  <c r="N41" i="1"/>
  <c r="H41" i="1"/>
  <c r="B41" i="1"/>
  <c r="N40" i="1"/>
  <c r="H40" i="1"/>
  <c r="B40" i="1"/>
  <c r="N39" i="1"/>
  <c r="H39" i="1"/>
  <c r="B39" i="1"/>
  <c r="N38" i="1"/>
  <c r="H38" i="1"/>
  <c r="B38" i="1"/>
  <c r="N37" i="1"/>
  <c r="H37" i="1"/>
  <c r="B37" i="1"/>
  <c r="N36" i="1"/>
  <c r="H36" i="1"/>
  <c r="B36" i="1"/>
  <c r="N35" i="1"/>
  <c r="H35" i="1"/>
  <c r="B35" i="1"/>
  <c r="N34" i="1"/>
  <c r="H34" i="1"/>
  <c r="B34" i="1"/>
  <c r="N33" i="1"/>
  <c r="H33" i="1"/>
  <c r="B33" i="1"/>
  <c r="N32" i="1"/>
  <c r="H32" i="1"/>
  <c r="B32" i="1"/>
  <c r="N31" i="1"/>
  <c r="H31" i="1"/>
  <c r="B31" i="1"/>
  <c r="N30" i="1"/>
  <c r="H30" i="1"/>
  <c r="B30" i="1"/>
  <c r="N29" i="1"/>
  <c r="H29" i="1"/>
  <c r="B29" i="1"/>
  <c r="N28" i="1"/>
  <c r="H28" i="1"/>
  <c r="B28" i="1"/>
  <c r="N27" i="1"/>
  <c r="H27" i="1"/>
  <c r="B27" i="1"/>
  <c r="N26" i="1"/>
  <c r="H26" i="1"/>
  <c r="B26" i="1"/>
  <c r="N25" i="1"/>
  <c r="H25" i="1"/>
  <c r="B25" i="1"/>
  <c r="N24" i="1"/>
  <c r="H24" i="1"/>
  <c r="B24" i="1"/>
  <c r="N23" i="1"/>
  <c r="H23" i="1"/>
  <c r="B23" i="1"/>
  <c r="N22" i="1"/>
  <c r="H22" i="1"/>
  <c r="B22" i="1"/>
  <c r="N21" i="1"/>
  <c r="H21" i="1"/>
  <c r="B21" i="1"/>
  <c r="N20" i="1"/>
  <c r="H20" i="1"/>
  <c r="B20" i="1"/>
  <c r="N19" i="1"/>
  <c r="H19" i="1"/>
  <c r="B19" i="1"/>
  <c r="N18" i="1"/>
  <c r="H18" i="1"/>
  <c r="B18" i="1"/>
  <c r="N17" i="1"/>
  <c r="H17" i="1"/>
  <c r="B17" i="1"/>
  <c r="N16" i="1"/>
  <c r="H16" i="1"/>
  <c r="B16" i="1"/>
  <c r="N15" i="1"/>
  <c r="H15" i="1"/>
  <c r="B15" i="1"/>
  <c r="N14" i="1"/>
  <c r="H14" i="1"/>
  <c r="B14" i="1"/>
  <c r="S13" i="1"/>
  <c r="N13" i="1"/>
  <c r="H13" i="1"/>
  <c r="B13" i="1"/>
  <c r="S12" i="1"/>
  <c r="N12" i="1"/>
  <c r="H12" i="1"/>
  <c r="B12" i="1"/>
  <c r="S11" i="1"/>
  <c r="N11" i="1"/>
  <c r="H11" i="1"/>
  <c r="B11" i="1"/>
  <c r="S10" i="1"/>
  <c r="N10" i="1"/>
  <c r="H10" i="1"/>
  <c r="B10" i="1"/>
  <c r="N9" i="1"/>
  <c r="H9" i="1"/>
  <c r="B9" i="1"/>
  <c r="N8" i="1"/>
  <c r="H8" i="1"/>
  <c r="B8" i="1"/>
  <c r="N7" i="1"/>
  <c r="H7" i="1"/>
  <c r="B7" i="1"/>
  <c r="N6" i="1"/>
  <c r="H6" i="1"/>
  <c r="B6" i="1"/>
  <c r="N5" i="1"/>
  <c r="H5" i="1"/>
  <c r="B5" i="1"/>
  <c r="N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H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K6" i="3" l="1"/>
  <c r="AI6" i="3"/>
  <c r="AM6" i="3" s="1"/>
  <c r="X43" i="9"/>
  <c r="Y43" i="9" s="1"/>
  <c r="AA43" i="9" s="1"/>
  <c r="X22" i="9"/>
  <c r="Y22" i="9" s="1"/>
  <c r="AA22" i="9" s="1"/>
  <c r="X45" i="9"/>
  <c r="Y45" i="9" s="1"/>
  <c r="AA45" i="9" s="1"/>
  <c r="X37" i="9"/>
  <c r="Y37" i="9" s="1"/>
  <c r="AA37" i="9" s="1"/>
  <c r="X44" i="9"/>
  <c r="Y44" i="9" s="1"/>
  <c r="AA44" i="9" s="1"/>
  <c r="X23" i="9"/>
  <c r="Y23" i="9" s="1"/>
  <c r="AA23" i="9" s="1"/>
  <c r="X7" i="9"/>
  <c r="Y7" i="9" s="1"/>
  <c r="AA7" i="9" s="1"/>
  <c r="X13" i="9"/>
  <c r="Y13" i="9" s="1"/>
  <c r="AA13" i="9" s="1"/>
  <c r="X9" i="9"/>
  <c r="Y9" i="9" s="1"/>
  <c r="AA9" i="9" s="1"/>
  <c r="X38" i="9"/>
  <c r="Y38" i="9" s="1"/>
  <c r="AA38" i="9" s="1"/>
  <c r="X42" i="9"/>
  <c r="Y42" i="9" s="1"/>
  <c r="AA42" i="9" s="1"/>
  <c r="X8" i="9"/>
  <c r="Y8" i="9" s="1"/>
  <c r="AA8" i="9" s="1"/>
  <c r="X6" i="9"/>
  <c r="Y6" i="9" s="1"/>
  <c r="AA6" i="9" s="1"/>
  <c r="X40" i="9"/>
  <c r="Y40" i="9" s="1"/>
  <c r="AA40" i="9" s="1"/>
  <c r="X24" i="9"/>
  <c r="Y24" i="9" s="1"/>
  <c r="AA24" i="9" s="1"/>
  <c r="X28" i="9"/>
  <c r="Y28" i="9" s="1"/>
  <c r="AA28" i="9" s="1"/>
  <c r="X31" i="9"/>
  <c r="Y31" i="9" s="1"/>
  <c r="AA31" i="9" s="1"/>
  <c r="X15" i="9"/>
  <c r="Y15" i="9" s="1"/>
  <c r="AA15" i="9" s="1"/>
  <c r="X11" i="9"/>
  <c r="Y11" i="9" s="1"/>
  <c r="AA11" i="9" s="1"/>
  <c r="X14" i="9"/>
  <c r="Y14" i="9" s="1"/>
  <c r="AA14" i="9" s="1"/>
  <c r="X26" i="9"/>
  <c r="Y26" i="9" s="1"/>
  <c r="AA26" i="9" s="1"/>
  <c r="X25" i="9"/>
  <c r="Y25" i="9" s="1"/>
  <c r="AA25" i="9" s="1"/>
  <c r="X12" i="9"/>
  <c r="Y12" i="9" s="1"/>
  <c r="AA12" i="9" s="1"/>
  <c r="X29" i="9"/>
  <c r="Y29" i="9" s="1"/>
  <c r="AA29" i="9" s="1"/>
  <c r="X21" i="9"/>
  <c r="Y21" i="9" s="1"/>
  <c r="AA21" i="9" s="1"/>
  <c r="X34" i="9"/>
  <c r="Y34" i="9" s="1"/>
  <c r="AA34" i="9" s="1"/>
  <c r="X27" i="9"/>
  <c r="Y27" i="9" s="1"/>
  <c r="AA27" i="9" s="1"/>
  <c r="X33" i="9"/>
  <c r="Y33" i="9" s="1"/>
  <c r="AA33" i="9" s="1"/>
  <c r="X39" i="9"/>
  <c r="Y39" i="9" s="1"/>
  <c r="AA39" i="9" s="1"/>
  <c r="X35" i="9"/>
  <c r="Y35" i="9" s="1"/>
  <c r="AA35" i="9" s="1"/>
  <c r="X16" i="9"/>
  <c r="Y16" i="9" s="1"/>
  <c r="AA16" i="9" s="1"/>
  <c r="X17" i="9"/>
  <c r="Y17" i="9" s="1"/>
  <c r="AA17" i="9" s="1"/>
  <c r="X30" i="9"/>
  <c r="Y30" i="9" s="1"/>
  <c r="AA30" i="9" s="1"/>
  <c r="X18" i="9"/>
  <c r="Y18" i="9" s="1"/>
  <c r="AA18" i="9" s="1"/>
  <c r="X36" i="9"/>
  <c r="Y36" i="9" s="1"/>
  <c r="AA36" i="9" s="1"/>
  <c r="X10" i="9"/>
  <c r="Y10" i="9" s="1"/>
  <c r="AA10" i="9" s="1"/>
  <c r="X20" i="9"/>
  <c r="Y20" i="9" s="1"/>
  <c r="AA20" i="9" s="1"/>
  <c r="X19" i="9"/>
  <c r="Y19" i="9" s="1"/>
  <c r="AA19" i="9" s="1"/>
  <c r="X32" i="9"/>
  <c r="Y32" i="9" s="1"/>
  <c r="AA32" i="9" s="1"/>
  <c r="X41" i="9"/>
  <c r="Y41" i="9" s="1"/>
  <c r="AA41" i="9" s="1"/>
  <c r="J31" i="3"/>
  <c r="J8" i="3"/>
  <c r="J7" i="3"/>
  <c r="J146" i="3"/>
  <c r="J6" i="3"/>
  <c r="AI125" i="3" l="1"/>
  <c r="AH8" i="3" l="1"/>
  <c r="AH31" i="3"/>
  <c r="AH7" i="3"/>
  <c r="AH146" i="3"/>
  <c r="AK7" i="3" l="1"/>
  <c r="AH118" i="3"/>
  <c r="AI8" i="3"/>
  <c r="AM8" i="3" s="1"/>
  <c r="AK8" i="3"/>
  <c r="AI146" i="3"/>
  <c r="AK146" i="3"/>
  <c r="AI31" i="3"/>
  <c r="AM31" i="3" s="1"/>
  <c r="AK31" i="3"/>
  <c r="AI7" i="3"/>
  <c r="R6" i="3"/>
  <c r="R118" i="3" s="1"/>
  <c r="AM7" i="3" l="1"/>
  <c r="AI118" i="3"/>
  <c r="AK118" i="3"/>
  <c r="AM146" i="3"/>
  <c r="AM118" i="3" l="1"/>
  <c r="X47" i="9"/>
  <c r="S47" i="9"/>
  <c r="X46" i="9"/>
  <c r="W47" i="9"/>
  <c r="J61" i="1"/>
  <c r="J56" i="1"/>
  <c r="J57" i="1"/>
  <c r="S46" i="9"/>
  <c r="W46" i="9"/>
  <c r="Y46" i="9"/>
  <c r="Y47" i="9"/>
  <c r="AA47" i="9"/>
</calcChain>
</file>

<file path=xl/comments1.xml><?xml version="1.0" encoding="utf-8"?>
<comments xmlns="http://schemas.openxmlformats.org/spreadsheetml/2006/main">
  <authors>
    <author>NSP</author>
  </authors>
  <commentList>
    <comment ref="P481" authorId="0">
      <text>
        <r>
          <rPr>
            <b/>
            <sz val="8"/>
            <color indexed="81"/>
            <rFont val="Tahoma"/>
            <family val="2"/>
          </rPr>
          <t>NSP:</t>
        </r>
        <r>
          <rPr>
            <sz val="8"/>
            <color indexed="81"/>
            <rFont val="Tahoma"/>
            <family val="2"/>
          </rPr>
          <t xml:space="preserve">
BELUM TERIMA UPAH POKOK DARI CKG, JADI GSK BAYAR UPAH POKOK FULL
</t>
        </r>
      </text>
    </comment>
  </commentList>
</comments>
</file>

<file path=xl/comments2.xml><?xml version="1.0" encoding="utf-8"?>
<comments xmlns="http://schemas.openxmlformats.org/spreadsheetml/2006/main">
  <authors>
    <author>PG1A</author>
  </authors>
  <commentList>
    <comment ref="Q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PG1A</author>
  </authors>
  <commentList>
    <comment ref="Q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PG1A</author>
  </authors>
  <commentList>
    <comment ref="T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PG1A</author>
  </authors>
  <commentList>
    <comment ref="T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PG1A</author>
  </authors>
  <commentList>
    <comment ref="T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PG1A</author>
    <author>account</author>
  </authors>
  <commentList>
    <comment ref="T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9" authorId="1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Mutasi Ke PG 2B</t>
        </r>
      </text>
    </comment>
  </commentList>
</comments>
</file>

<file path=xl/comments8.xml><?xml version="1.0" encoding="utf-8"?>
<comments xmlns="http://schemas.openxmlformats.org/spreadsheetml/2006/main">
  <authors>
    <author>PG1A</author>
  </authors>
  <commentList>
    <comment ref="T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PG1A</author>
  </authors>
  <commentList>
    <comment ref="T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PG1A</author>
  </authors>
  <commentList>
    <comment ref="T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<sst xmlns="http://schemas.openxmlformats.org/spreadsheetml/2006/main" count="5397" uniqueCount="759">
  <si>
    <t>No</t>
  </si>
  <si>
    <t>TER A</t>
  </si>
  <si>
    <t>s.d</t>
  </si>
  <si>
    <t>Lapisan Penghasilan bruto (Rp.)</t>
  </si>
  <si>
    <t>TER B</t>
  </si>
  <si>
    <t>TER C</t>
  </si>
  <si>
    <t>PTKP</t>
  </si>
  <si>
    <t>TK/0</t>
  </si>
  <si>
    <t>TK/2</t>
  </si>
  <si>
    <t>K/1</t>
  </si>
  <si>
    <t>TK/3</t>
  </si>
  <si>
    <t>K/2</t>
  </si>
  <si>
    <t>K/3</t>
  </si>
  <si>
    <t>Tarif</t>
  </si>
  <si>
    <t>Penghasilan Bruto</t>
  </si>
  <si>
    <t>TER</t>
  </si>
  <si>
    <t>TK/1</t>
  </si>
  <si>
    <t>K/0</t>
  </si>
  <si>
    <t>~~</t>
  </si>
  <si>
    <t>Status</t>
  </si>
  <si>
    <t>Jumlah</t>
  </si>
  <si>
    <t>HARIAN</t>
  </si>
  <si>
    <t>Lapisan PKP</t>
  </si>
  <si>
    <t>TARIF PASAL 17 WPOP</t>
  </si>
  <si>
    <t>Nomor Urut</t>
  </si>
  <si>
    <t>NAMA KARYAWAN</t>
  </si>
  <si>
    <t>N I K / 
PASPOR</t>
  </si>
  <si>
    <t>N P W P</t>
  </si>
  <si>
    <t>A L A M A T</t>
  </si>
  <si>
    <t>JABATAN</t>
  </si>
  <si>
    <t>MASA KERJA</t>
  </si>
  <si>
    <t>DESEMBER</t>
  </si>
  <si>
    <t>P T K P</t>
  </si>
  <si>
    <t>P K P</t>
  </si>
  <si>
    <t>PPH PASAL 21
JAN S.D NOP</t>
  </si>
  <si>
    <t>PPH PASAL 21
DESEMBER</t>
  </si>
  <si>
    <t>Gaji Pokok</t>
  </si>
  <si>
    <t>L/P</t>
  </si>
  <si>
    <t>P</t>
  </si>
  <si>
    <t>L</t>
  </si>
  <si>
    <t>yang berwarna ini rumus</t>
  </si>
  <si>
    <t>Penghasilan
Bruto</t>
  </si>
  <si>
    <t>Tarif
TER</t>
  </si>
  <si>
    <t>PPh 21</t>
  </si>
  <si>
    <t>Total
Tunjangan</t>
  </si>
  <si>
    <t>Tunjangan
PPh</t>
  </si>
  <si>
    <t>Premi
JKK, JKM, Kes</t>
  </si>
  <si>
    <t>STATUS KARYAWAN</t>
  </si>
  <si>
    <t>Catatan :</t>
  </si>
  <si>
    <t>1. yang berwarna adalah rumus</t>
  </si>
  <si>
    <t>3. kolom pengurang JHT/JP tetap wajib diisi, sebagai pengurang pada masa pajak desember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</si>
  <si>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</si>
  <si>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</si>
  <si>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</si>
  <si>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INCLUDE NON NPWP</t>
  </si>
  <si>
    <t>SETAHUN</t>
  </si>
  <si>
    <t>PPH PASAL 21</t>
  </si>
  <si>
    <t>2. dalam hal terdapat tunjangan PPh, maka ceklis "enable iterative calculation" pada menu (option =&gt; formula =&gt; pada bagian kanan atas)</t>
  </si>
  <si>
    <t>4. komponen penghasilan bruto dapat disesuaikan/ditambahkan kolom, sesuai dengan kebutuhan masing2 perusahaan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</si>
  <si>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</si>
  <si>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</si>
  <si>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PTKP (TK/0, TK/1, K/0)</t>
  </si>
  <si>
    <t>PTKP (TK/2, TK/3, K/1, K/2)</t>
  </si>
  <si>
    <t>PTKP (K/3)</t>
  </si>
  <si>
    <t>NO.</t>
  </si>
  <si>
    <t>10. untuk jan s.d nop dapat diduplicate sheetnya</t>
  </si>
  <si>
    <t>8. khusus untuk perhitungan pph 21 masa pajak desember, dapat di cek kembali total per komponen penghasilan brutonya</t>
  </si>
  <si>
    <t>Astek Ins (0,84%)</t>
  </si>
  <si>
    <t>BPJS KESEHATAN (4%)</t>
  </si>
  <si>
    <t>PPh 21 Pot Jan'24</t>
  </si>
  <si>
    <t>Selisih</t>
  </si>
  <si>
    <t>PT. REBINMAS JAYA</t>
  </si>
  <si>
    <t>INCOME TAX ARTICLE 21 FOR JAN  2024</t>
  </si>
  <si>
    <t>-</t>
  </si>
  <si>
    <t>JL KOPERASI RT. 004 RW. 002 DESA PEMBAHARUAN KEC. KELAPA KAMPIT</t>
  </si>
  <si>
    <t>INCOME TAX ARTICLE 21 FOR FEB 2024</t>
  </si>
  <si>
    <t>Rice  Allow</t>
  </si>
  <si>
    <t>Structural  Allow</t>
  </si>
  <si>
    <t>POT. CUTI SAKIT &amp; POT. CTH ( CUTI TANPA HK )</t>
  </si>
  <si>
    <t>THR</t>
  </si>
  <si>
    <t>Bonus</t>
  </si>
  <si>
    <t>Service Time Allow</t>
  </si>
  <si>
    <t>Masa Kerja</t>
  </si>
  <si>
    <t>Potongan Kelebihan Perhitungan Lembur</t>
  </si>
  <si>
    <t>Lembur Bayar HK Penjagaan HGU</t>
  </si>
  <si>
    <t>Bensin Patroli</t>
  </si>
  <si>
    <t>KRANI DIVISI</t>
  </si>
  <si>
    <t>OPERATOR</t>
  </si>
  <si>
    <t>KARYAWAN PERAWATAN</t>
  </si>
  <si>
    <t>lembur</t>
  </si>
  <si>
    <t>jabatan</t>
  </si>
  <si>
    <t>beras</t>
  </si>
  <si>
    <t>YOYO</t>
  </si>
  <si>
    <t>JAMILA</t>
  </si>
  <si>
    <t>JUNI MI'UN</t>
  </si>
  <si>
    <t>SUHANDI</t>
  </si>
  <si>
    <t>MINARNI</t>
  </si>
  <si>
    <t>SUPRIADI</t>
  </si>
  <si>
    <t>HARIAH</t>
  </si>
  <si>
    <t>YUSMARDIAN</t>
  </si>
  <si>
    <t>KAMELIA</t>
  </si>
  <si>
    <t>ARDI</t>
  </si>
  <si>
    <t>YULHANI</t>
  </si>
  <si>
    <t>HENDRIX</t>
  </si>
  <si>
    <t>ARIANTO.B</t>
  </si>
  <si>
    <t>NANDI</t>
  </si>
  <si>
    <t>SISWANTO</t>
  </si>
  <si>
    <t>EDI ISHAK</t>
  </si>
  <si>
    <t>DARMA JAYA</t>
  </si>
  <si>
    <t>SUDIRMAN</t>
  </si>
  <si>
    <t>APRIYADI</t>
  </si>
  <si>
    <t>YUSMARNO</t>
  </si>
  <si>
    <t>MAHADI</t>
  </si>
  <si>
    <t>SURATMAN</t>
  </si>
  <si>
    <t>1902010509730003</t>
  </si>
  <si>
    <t>1902056811690001</t>
  </si>
  <si>
    <t>1902050107700052</t>
  </si>
  <si>
    <t>1906042606860003</t>
  </si>
  <si>
    <t>1902056103760002</t>
  </si>
  <si>
    <t>1902052812870001</t>
  </si>
  <si>
    <t>1902014909730007</t>
  </si>
  <si>
    <t>1906042403820005</t>
  </si>
  <si>
    <t>1902051606760003</t>
  </si>
  <si>
    <t>1902050512820004</t>
  </si>
  <si>
    <t>1902051010760007</t>
  </si>
  <si>
    <t>1906041308920003</t>
  </si>
  <si>
    <t>1902052202690002</t>
  </si>
  <si>
    <t>1902053006780001</t>
  </si>
  <si>
    <t>1902051902910001</t>
  </si>
  <si>
    <t>1902051212790002</t>
  </si>
  <si>
    <t>1902051907880002</t>
  </si>
  <si>
    <t>1902051205770002</t>
  </si>
  <si>
    <t>1902051707890001</t>
  </si>
  <si>
    <t>1902012406780003</t>
  </si>
  <si>
    <t>1604220103030001</t>
  </si>
  <si>
    <t>1902012503820003</t>
  </si>
  <si>
    <t>1902051405840001</t>
  </si>
  <si>
    <t>1902052707850001</t>
  </si>
  <si>
    <t>JL MURAI RT. 029 RW. 010 DS PERAWAS TANJUNGPANDAN</t>
  </si>
  <si>
    <t>JL MANGGAR RT. 005 RW. 003 DS AIR BATU BUDING KEC. BADAU</t>
  </si>
  <si>
    <t>JL MANGGAR DSN KEPAYANG RT. 004 RW. 002 DS KACANG BUTOR BADAU</t>
  </si>
  <si>
    <t>AIR BATU BUDING RT. 004 RW. 002 DS AIR BATU BUDING KEC. BADAU</t>
  </si>
  <si>
    <t>JL AIR BEGANTUNG RT. 009 RW. 003 DS KACANG BUTOR KEC.BADAU</t>
  </si>
  <si>
    <t>PELATARAN AIR KETEKOK RT. 001 RW. 001 DS AIR KETEKOK TANJUNGPANDAN</t>
  </si>
  <si>
    <t>DSN SENYUBUK RT. 001 RW. 001 DESA MENTAWAK KEC. KELAPA KAMPIT</t>
  </si>
  <si>
    <t>JL MANGGAR DSN PARIT GUNUNG RT. 006 RW. 003 DS AIR BATU BUDING BADAU</t>
  </si>
  <si>
    <t>JL.MANGGAR RT.009 RW.003 DESA KACANG BUTOR KEC. BADAU</t>
  </si>
  <si>
    <t>JL MANGGAR AIR BEGANTUNG RT. 008 RW. 003 DESA KACANG BUTOR BADAU</t>
  </si>
  <si>
    <t>DSN MERDEKA RT. 006 RW. 002 DS SENYUBUK KEC. KELAPA KAMPIT</t>
  </si>
  <si>
    <t>DSN KACANG BUTOR RT. 001 RW. 001 DESA KACANG BUTOR KEC. BADAU</t>
  </si>
  <si>
    <t>JL. MANGGAR DSN. KACANG BUTOR RT.001 RW.001 DS. KACANG BUTOR KEC. BADAU</t>
  </si>
  <si>
    <t>JL. MANGGAR DSN. PARIT GUNUNG RT.006 RW.003 DS. AIR BATU BUDING KEC. BADAU</t>
  </si>
  <si>
    <t xml:space="preserve">DSN AIR BEGANTUNG RT. 010 RW. 003 DS KACANG BUTOR KEC. BADAU </t>
  </si>
  <si>
    <t>DSN AIR BATU BUDING RT.001 RW.001 DESA AIR BATU BUDING KEC. BADAU</t>
  </si>
  <si>
    <t>JL. MANGGAR RT. 004 RW. 002 DESA AIR BATU BUDING BADAU</t>
  </si>
  <si>
    <t>JL PASIR PUTIH RT. 012 RW. 005 DS AIR RAYAK KEC. TANJUNGPANDAN</t>
  </si>
  <si>
    <t>DS. TANJUNG AGUNG KEL. TANJUNG AGUNG KEC. PAGAR GUNUNG KAB. LAHAT</t>
  </si>
  <si>
    <t>PULAU BAYAN RT. 005 RW. 002 DESA SUNGAI SAMAK KEC. BADAU</t>
  </si>
  <si>
    <t>DSN AIR BATU BUDING RT. 002 RW. 001 DESA AIR BATU BUDING KEC. BADAU</t>
  </si>
  <si>
    <t>DUSUN KEPAYANG RT. 004 RW. 002 DESA KACANG BUTOR KEC. BADAU</t>
  </si>
  <si>
    <t xml:space="preserve">MANDOR </t>
  </si>
  <si>
    <t>KRANI GUDANG</t>
  </si>
  <si>
    <t>MEGI EFRISA</t>
  </si>
  <si>
    <t>Premi cuci mobil</t>
  </si>
  <si>
    <t>Premi alat</t>
  </si>
  <si>
    <t>DIBUAT OLEH</t>
  </si>
  <si>
    <t>KRANI INFRA</t>
  </si>
  <si>
    <t>DIKETAHUI OLEH</t>
  </si>
  <si>
    <t>HUSHAR, S.Pt</t>
  </si>
  <si>
    <t>MANAGER INFRASTRUKTUR</t>
  </si>
  <si>
    <t>INCOME TAX ARTICLE 21 FOR MARET 2024</t>
  </si>
  <si>
    <t>PG 1A (INFRASTRUKTUR)</t>
  </si>
  <si>
    <t>PPh 21 Gaji + THR</t>
  </si>
  <si>
    <t>PPH 21 MARET</t>
  </si>
  <si>
    <t>upah kotor</t>
  </si>
  <si>
    <t>total</t>
  </si>
  <si>
    <t>INCOME TAX ARTICLE 21 FOR APRIL 2024</t>
  </si>
  <si>
    <t>INCOME TAX ARTICLE 21 FOR MEI 2024</t>
  </si>
  <si>
    <t>astek + bpjs</t>
  </si>
  <si>
    <t>PPh 21 gaji + bonus</t>
  </si>
  <si>
    <t>pph Exgratia</t>
  </si>
  <si>
    <t>pph april '24</t>
  </si>
  <si>
    <t>INCOME TAX ARTICLE 21 FOR JULI 2024</t>
  </si>
  <si>
    <t>INCOME TAX ARTICLE 21 FOR SEPTEMBER 2024</t>
  </si>
  <si>
    <t>PENGHASILAN TIDAK TERATUR</t>
  </si>
  <si>
    <t>T H R</t>
  </si>
  <si>
    <t>B O N U S</t>
  </si>
  <si>
    <t>TANTIEM</t>
  </si>
  <si>
    <t>TOTAL GAJI POKOK</t>
  </si>
  <si>
    <t>TOTAL TUNJANGAN LAINNYA</t>
  </si>
  <si>
    <t>TOTAL PREMI ASURANSI</t>
  </si>
  <si>
    <t>TOTAL TUNJANGAN PPH</t>
  </si>
  <si>
    <t>TOTAL
NATURA / KENIKMATAN</t>
  </si>
  <si>
    <t>TOTAL
THR, BONUS, TANTIEM</t>
  </si>
  <si>
    <t>PENGHASILAN BRUTO SETAHUN</t>
  </si>
  <si>
    <t>PENGURANG</t>
  </si>
  <si>
    <t>PENGHASILAN NETTO SETAHUN</t>
  </si>
  <si>
    <t>BIAYA
JABATAN</t>
  </si>
  <si>
    <t>TOTAL IURAN JHT/THT/JP</t>
  </si>
  <si>
    <t>Transport Allow</t>
  </si>
  <si>
    <t xml:space="preserve"> Rice Allow</t>
  </si>
  <si>
    <t>Structural Allow</t>
  </si>
  <si>
    <t>Tunjangan Stand - By</t>
  </si>
  <si>
    <t>Others Kinerja</t>
  </si>
  <si>
    <t>EX-GRATIA</t>
  </si>
  <si>
    <t>Keterangan</t>
  </si>
  <si>
    <t>Lebih Pot</t>
  </si>
  <si>
    <t>Kurang Pot</t>
  </si>
  <si>
    <t>PG 1B GUNUNG RUM</t>
  </si>
  <si>
    <t>SAPAR WADI</t>
  </si>
  <si>
    <t>5203011706860003</t>
  </si>
  <si>
    <t>DOLOP RT. 030 RW. 010 DESA DOLOPO KEC. DOLOPO KAB. MADIUN JAWA TIMUR</t>
  </si>
  <si>
    <t>DAMSYAH</t>
  </si>
  <si>
    <t>5203010203740001</t>
  </si>
  <si>
    <t>KETANGGA TIMUR DESA KETANGGA JERAENG KEC. KERUAK LOMBOK TIMUR</t>
  </si>
  <si>
    <t>GASRA</t>
  </si>
  <si>
    <t>5203041311750001</t>
  </si>
  <si>
    <t>BAGIK BONGKANG DESA DARMASARI KEC. SIKUR KAB. LOMBOK TIMUR</t>
  </si>
  <si>
    <t>JUMADIL</t>
  </si>
  <si>
    <t>5203010107780410</t>
  </si>
  <si>
    <t>DASAN BARU DESA SENYIUR KEC. KERUAK KAB. LOMBOK TIMUR</t>
  </si>
  <si>
    <t>ARYADI</t>
  </si>
  <si>
    <t>1902051308710001</t>
  </si>
  <si>
    <t>DSN AIR BEGANTUNG RT. 009 RW. 003 DESA KACANG BUTOR KEC. BADAU</t>
  </si>
  <si>
    <t>MARETA</t>
  </si>
  <si>
    <t>1902055603990002</t>
  </si>
  <si>
    <t>KACANG BUTOR RT. 002 RW. 001 DESA KACANG BUTOR KEC. BADAU</t>
  </si>
  <si>
    <t>SUPRI</t>
  </si>
  <si>
    <t>1902052505740001</t>
  </si>
  <si>
    <t>JL MANGGAR DSN AIR BEGANTUNG RT. 008 RW. 003 DESA KACANG BUTOR KEC. BADAU</t>
  </si>
  <si>
    <t>BOBI SAPUTRA</t>
  </si>
  <si>
    <t>1902050108950001</t>
  </si>
  <si>
    <t>JL MANGGAR DSN AIR BEGANTUNG RT. 009 RW. 003 DESA KACANG BUTOR KEC. BADAU</t>
  </si>
  <si>
    <t>ROTIA</t>
  </si>
  <si>
    <t>1902056802760001</t>
  </si>
  <si>
    <t>JL MANGGAR DSN PARIT GUNUNG RT. 005 RW. 003 DESA AIR BATU BUDING BADAU</t>
  </si>
  <si>
    <t>SURYANI</t>
  </si>
  <si>
    <t>1902056503820002</t>
  </si>
  <si>
    <t>JL MANGGAR RT. 005 RW. 003 DESA AIR BATU BUDING KEC. BADAU</t>
  </si>
  <si>
    <t>SAHINA YUNI</t>
  </si>
  <si>
    <t>1902055002750002</t>
  </si>
  <si>
    <t>JL MANGGAR DSN PARIT GUNUNG RT. 006 RW. 003 DESA AIR BATU BUDING BADAU</t>
  </si>
  <si>
    <t>NURLELA</t>
  </si>
  <si>
    <t>1902056211790001</t>
  </si>
  <si>
    <t>JL MANGGAR RT. 008 RW. 003 DESA KACANG BUTOR KEC. BADAU</t>
  </si>
  <si>
    <t>SUSINARTI</t>
  </si>
  <si>
    <t>1902054107830040</t>
  </si>
  <si>
    <t>JL MANGGAR RT. 009 RW. 003 DESA KACANG BUTOR KEC. BADAU</t>
  </si>
  <si>
    <t>JAHIMIN</t>
  </si>
  <si>
    <t>1906040504710002</t>
  </si>
  <si>
    <t>DSN LIMAU MANIS RT. 012 RW. 005 DESA BUDING KEC. KELAPA KAMPIT</t>
  </si>
  <si>
    <t>RIZKY FUTRAWAN</t>
  </si>
  <si>
    <t>1902050406950002</t>
  </si>
  <si>
    <t>JL MANGGAR RT. 002 RW. 001 DESA AIR BATU BUDING KEC. BADAU</t>
  </si>
  <si>
    <t>USWATUL</t>
  </si>
  <si>
    <t>1902055610940001</t>
  </si>
  <si>
    <t xml:space="preserve">JL KELAPA KAMPIT RT. 012 RW. 004 DESA KACANG BUTOR KEC. BADAU </t>
  </si>
  <si>
    <t>GUSTAMI</t>
  </si>
  <si>
    <t>1902040505720005</t>
  </si>
  <si>
    <t>DSN SIMPANG EMPAT RT. 014 RW. 007 DESA SIJUK KEC SIJUK</t>
  </si>
  <si>
    <t>AGUS TRIANTIKA</t>
  </si>
  <si>
    <t>1906041908760003</t>
  </si>
  <si>
    <t>DSN MERDEKA RT. 001 RW. 001 DESA SENYUBUK KEC. KELAPA KAMPIT</t>
  </si>
  <si>
    <t>FIKA HOIRI</t>
  </si>
  <si>
    <t>1902041110990001</t>
  </si>
  <si>
    <t>SUNGAI PADANG RT. 004 RW. 002 DESA SUNGAI PADANG KEC. SIJUK</t>
  </si>
  <si>
    <t>NOPI HARIKA</t>
  </si>
  <si>
    <t>1902014311880001</t>
  </si>
  <si>
    <t>JL KELAPA GADING RT. 017 RW. 07 KEL. PANGKAL LALANG KEC. TANJUNGPANDAN</t>
  </si>
  <si>
    <t>YULIANTI</t>
  </si>
  <si>
    <t>1902054707770001</t>
  </si>
  <si>
    <t>JL MANGGAR RT. 004 RW. 002 DESAAIR BATU BUDING KEC. BADAU</t>
  </si>
  <si>
    <t>SARI IRIANTI</t>
  </si>
  <si>
    <t>1902055807810002</t>
  </si>
  <si>
    <t>JL. SISWA RT. 001 RW. 001 DESA AIR BATU BUDING KEC. BADAU</t>
  </si>
  <si>
    <t>SUHERMAN</t>
  </si>
  <si>
    <t>1902050605790003</t>
  </si>
  <si>
    <t>ROSNANI</t>
  </si>
  <si>
    <t>1902054703800004</t>
  </si>
  <si>
    <t>JL MANGGAR RT. 004 RW. 002 DESA AIR BATU BUDING KEC. BADAU</t>
  </si>
  <si>
    <t>ILYANA</t>
  </si>
  <si>
    <t>1906044811760001</t>
  </si>
  <si>
    <t>DSN SELINDANG RT. 007 RW. 002 DESA SENYUBUK KEC. KELAPA KAMPIT</t>
  </si>
  <si>
    <t>MERY YULIARTI</t>
  </si>
  <si>
    <t>1906045807830002</t>
  </si>
  <si>
    <t>DSN LALANG RT. 002 RW. 001 DESA MENTAWAK KEC. KELAPA KAMPIT</t>
  </si>
  <si>
    <t>YESI</t>
  </si>
  <si>
    <t>1902054101870001</t>
  </si>
  <si>
    <t>JL MANGGAR RT. 007 RW. 002 DESA KACANG BUTOR KEC. BADAU</t>
  </si>
  <si>
    <t>WAKINI</t>
  </si>
  <si>
    <t>1902054701850001</t>
  </si>
  <si>
    <t>BUKIT INDAH RT. 011 RW. 004 DESA KACANG BUTOR KEC. BADAU</t>
  </si>
  <si>
    <t>WITA SARI</t>
  </si>
  <si>
    <t>1902054608920002</t>
  </si>
  <si>
    <t>DSN KEPAYANG RT. 007 RW. 002 DESA KACANG BUTOR KEC. BADAU</t>
  </si>
  <si>
    <t>SARWANDI</t>
  </si>
  <si>
    <t>1906040602930003</t>
  </si>
  <si>
    <t>DSN. LIMAU MANIS RT 012/005 DESA BUDING KEC. KELAPA KAMPIT</t>
  </si>
  <si>
    <t>ANI MARIA</t>
  </si>
  <si>
    <t>1902055902890002</t>
  </si>
  <si>
    <t>DSN. KEPAYANG RT 007/002 DESA KACANG BUTOR KEC. BADAU</t>
  </si>
  <si>
    <t>YULIARDI</t>
  </si>
  <si>
    <t>1906041506880001</t>
  </si>
  <si>
    <t>DSN CENDIL RT. 004 RW. 002 DESA CENDIL KEC. KELAPA KAMPIT</t>
  </si>
  <si>
    <t>YADI</t>
  </si>
  <si>
    <t>1902020610880001</t>
  </si>
  <si>
    <t>DSN PESARAKAN RT. 007 RW. 003 DESA CENDIL KEC. KELAPA KAMPIT</t>
  </si>
  <si>
    <t>YEKILIA</t>
  </si>
  <si>
    <t>1902056810850002</t>
  </si>
  <si>
    <t>JL. MANGGAR RT. 011 RW. 004 DESA KACANG BUTOR KEC. BADAU</t>
  </si>
  <si>
    <t>JUNARI</t>
  </si>
  <si>
    <t>1906022710750003</t>
  </si>
  <si>
    <t>DSN AIR RUAK RT. 007 RW. 002 DESA SIMPANG TIGA KEC. SIMPANG RENGGIANG</t>
  </si>
  <si>
    <t>YETI PRIMA</t>
  </si>
  <si>
    <t>1902014107830151</t>
  </si>
  <si>
    <t>JL JEND SUDIRMAN RT/RW 006/002 DESA PERAWAS KEC.TANJUNGPANDAN</t>
  </si>
  <si>
    <t>PAIMIN</t>
  </si>
  <si>
    <t>1902050405890002</t>
  </si>
  <si>
    <t>JL MANGGAR DSN BUKIT INDAH RT. 011 RW. 004 DESA KACANG BUTOR BADAU</t>
  </si>
  <si>
    <t>JHOHELMI</t>
  </si>
  <si>
    <t>1902040802900001</t>
  </si>
  <si>
    <t>DSN SIMPANG EMPAT RT. 011 RW. 006 DESA SIJUK KEC KELAPA KAMPIT</t>
  </si>
  <si>
    <t>ARDIANTO</t>
  </si>
  <si>
    <t>1902050202790001</t>
  </si>
  <si>
    <t>JUNI BASRI</t>
  </si>
  <si>
    <t>1902051805780003</t>
  </si>
  <si>
    <t>PGE 1B (GUNUNG RUM)</t>
  </si>
  <si>
    <t>T.Beras</t>
  </si>
  <si>
    <t>T.Jabatan</t>
  </si>
  <si>
    <t>Lembur</t>
  </si>
  <si>
    <t xml:space="preserve"> Premi Transport  </t>
  </si>
  <si>
    <t>PREMI TBS</t>
  </si>
  <si>
    <t>PREMI BERONDOL</t>
  </si>
  <si>
    <t>PREMI INCENTIVE</t>
  </si>
  <si>
    <t>KONTANAN</t>
  </si>
  <si>
    <t>KOREKSI</t>
  </si>
  <si>
    <t>POT. ALPA &amp; POT. CTH ( CUTI TANPA HK )</t>
  </si>
  <si>
    <t>Ket</t>
  </si>
  <si>
    <t>97.228.371.7-305.000</t>
  </si>
  <si>
    <t>MANOR</t>
  </si>
  <si>
    <t>KERANI DIVISI</t>
  </si>
  <si>
    <t>97.228.345.1-305.000</t>
  </si>
  <si>
    <t>97.228.363.4-305.000</t>
  </si>
  <si>
    <t>97.228.351.9-305.000</t>
  </si>
  <si>
    <t>97.228.360.0-305.000</t>
  </si>
  <si>
    <t>97.228.384.0-305.000</t>
  </si>
  <si>
    <t>97.228.356.8-305.000</t>
  </si>
  <si>
    <t>97.228.560.5-305.000</t>
  </si>
  <si>
    <t>65.151.921.7-305.000</t>
  </si>
  <si>
    <t>55.166.755.3-305.000</t>
  </si>
  <si>
    <t>55.166.380.0-305.000</t>
  </si>
  <si>
    <t>97.228.387.3-305.000</t>
  </si>
  <si>
    <t>97.228.376.6-305.000</t>
  </si>
  <si>
    <t>75.832.462.8-305.000</t>
  </si>
  <si>
    <t>97.237.600.8-305.000</t>
  </si>
  <si>
    <t>97.228.357.6-305.000</t>
  </si>
  <si>
    <t>97.228.381.6-305.000</t>
  </si>
  <si>
    <t>MERY JULIARTI</t>
  </si>
  <si>
    <t>93.470.838.9-305.000</t>
  </si>
  <si>
    <t>84.282.924.4-305.000</t>
  </si>
  <si>
    <t>97.237.514.1-305.000</t>
  </si>
  <si>
    <t>97.228.741.1.305.000</t>
  </si>
  <si>
    <t>97.228.507.6-305.000</t>
  </si>
  <si>
    <t>73.821.741.3.305.000</t>
  </si>
  <si>
    <t>97.237.437.5.305.000</t>
  </si>
  <si>
    <t>NOVI SUHAIDI</t>
  </si>
  <si>
    <t>1902011511890006</t>
  </si>
  <si>
    <t>97.228.313.9-305.000</t>
  </si>
  <si>
    <t>Jl Air Serkuk Rt. 028 Rw. 011 Desa Air Saga Kec. Tanjungpandan</t>
  </si>
  <si>
    <t xml:space="preserve">L </t>
  </si>
  <si>
    <t>97.228.337.8-305.000</t>
  </si>
  <si>
    <t>55.166.347.9-305.000</t>
  </si>
  <si>
    <t>HELPER</t>
  </si>
  <si>
    <t>97.228.369.1-305.000</t>
  </si>
  <si>
    <t>97.228.370.9-305.000</t>
  </si>
  <si>
    <t>KARYAWAN PANEN</t>
  </si>
  <si>
    <t>PPH 21 GAJI FEBRUARI 2024</t>
  </si>
  <si>
    <t>PPH 21 THR</t>
  </si>
  <si>
    <t>Dibuat Oleh</t>
  </si>
  <si>
    <t>Diketahui Oleh</t>
  </si>
  <si>
    <t>Mareta</t>
  </si>
  <si>
    <t>Gohi Maruli L Toruan,SP</t>
  </si>
  <si>
    <t>kerani Divisi</t>
  </si>
  <si>
    <t>Estate Manager PG 1B</t>
  </si>
  <si>
    <t>INCOME TAX ARTICLE 21 FOR MAR 2024</t>
  </si>
  <si>
    <t xml:space="preserve"> Premi Transport  Angkut TBS</t>
  </si>
  <si>
    <t xml:space="preserve"> Premi Transport  Angkut Material</t>
  </si>
  <si>
    <t xml:space="preserve"> Premi Transport  Angkut Bibit</t>
  </si>
  <si>
    <t xml:space="preserve"> Premi Transport  Angkut TBK/PC</t>
  </si>
  <si>
    <t>PPh21 Gaji Maret + THR</t>
  </si>
  <si>
    <t>LEBIH POTONG PAJAK THR</t>
  </si>
  <si>
    <t>MANDOR</t>
  </si>
  <si>
    <t>INCOME TAX ARTICLE 21 FOR APR 2024</t>
  </si>
  <si>
    <t>JOEHELMI</t>
  </si>
  <si>
    <t xml:space="preserve">USWATUL HASANAH </t>
  </si>
  <si>
    <t xml:space="preserve">JUNI </t>
  </si>
  <si>
    <t>INCOME TAX ARTICLE 21 FOR JUNI 2024</t>
  </si>
  <si>
    <t>LESMANA GIRI</t>
  </si>
  <si>
    <t>3205361204000000</t>
  </si>
  <si>
    <t>Dsn. Limau Manis Rt.015/Rw.008 Ds. Buding Kec. Kelapa Kampit Kab. Belitung Timur</t>
  </si>
  <si>
    <t>RAFIKA UDIN</t>
  </si>
  <si>
    <t>1902050204740001</t>
  </si>
  <si>
    <t>75.532.362.3.305.000</t>
  </si>
  <si>
    <t>AIR BATU BUDING RT 001/001 DESA AIR BATU BUDING KEC. BADAU</t>
  </si>
  <si>
    <t>MUNIDA LAIA</t>
  </si>
  <si>
    <t>1214015205870002</t>
  </si>
  <si>
    <t>76.323.201.4.126.000</t>
  </si>
  <si>
    <t>DESA DAO-DAO SATUA KEC. HILIMEGAI KAB. NIAS SELATAN</t>
  </si>
  <si>
    <t>MARDIANSYAH</t>
  </si>
  <si>
    <t>1906042412800001</t>
  </si>
  <si>
    <t>973874647305000</t>
  </si>
  <si>
    <t>DSN AIR KELIK RT. 008 RW. 003 DS AIR KELIK KELAPA KAMPIT</t>
  </si>
  <si>
    <t>SUTRISNO</t>
  </si>
  <si>
    <t>1902060402910001</t>
  </si>
  <si>
    <t>972374615305000</t>
  </si>
  <si>
    <t>DSN AIR BATU BUDING  RT. 004 RW. 002 DS AIR BATU BUDING BADAU</t>
  </si>
  <si>
    <t>HARSONO</t>
  </si>
  <si>
    <t>1902040412870002</t>
  </si>
  <si>
    <t>54.921.172.0.305.000</t>
  </si>
  <si>
    <t>JL RAYA PELEPAK PUTE RT.004 RW 002 DES PELEPAK PUTE KEC SIJUK</t>
  </si>
  <si>
    <t>1HK=123833,33</t>
  </si>
  <si>
    <t>1906046406790002</t>
  </si>
  <si>
    <t>Dsn Buding Rt. 005 Rw. 002 Desa Buding Kec. Kelapa Kampit</t>
  </si>
  <si>
    <t>DSN SIMPANG EMPAT RT. 011 RW. 006 DESA SIJUK KEC SIJUK</t>
  </si>
  <si>
    <t>JUNAIDI SOLEH</t>
  </si>
  <si>
    <t>1906040809920003</t>
  </si>
  <si>
    <t>75.753.840.0-305.000</t>
  </si>
  <si>
    <t>DSN SELINDANG RT. 006 RW. 003 DESA SENYUBUK KEC. KELAPA KAMPIT</t>
  </si>
  <si>
    <t>RIJAL</t>
  </si>
  <si>
    <t>1902012706890008</t>
  </si>
  <si>
    <t>DSN SELINDANG RT. 006 RW. 002 DESA SENYUBUK KEC. KELAPA KAMPIT</t>
  </si>
  <si>
    <t>ANGGA SAPUTRA</t>
  </si>
  <si>
    <t>1906040102900001</t>
  </si>
  <si>
    <t>97.237.831.9-305.000</t>
  </si>
  <si>
    <t>DSN CENDIL RT. 004 RW. 004 DESA CENDIL KEC. KELAPA KAMPIT</t>
  </si>
  <si>
    <t>RIDHO RIZKY MULIA</t>
  </si>
  <si>
    <t>1902040403000002</t>
  </si>
  <si>
    <t>DSN SIMPANG EMPAT RT. 013 RW. 006 DESA SIJUK KEC SIJUK</t>
  </si>
  <si>
    <t>INCOME TAX ARTICLE 21 FOR AGUSTUS 2024</t>
  </si>
  <si>
    <t>DSN BUDING,RT.005 RW.002 DESA BUDING KEC KELAPA KAMPIT</t>
  </si>
  <si>
    <t>WAFIQ AMANDA</t>
  </si>
  <si>
    <t>1902051006050001</t>
  </si>
  <si>
    <t>JL.MANGGAR DESA AIR BATU BUDING RT 03/RW 02 KEC.BADAU</t>
  </si>
  <si>
    <t>Name</t>
  </si>
  <si>
    <t>Stat</t>
  </si>
  <si>
    <t>BL</t>
  </si>
  <si>
    <t>PENGHASILAN SETAHUN</t>
  </si>
  <si>
    <t xml:space="preserve">Total </t>
  </si>
  <si>
    <t>Penghasilan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</si>
  <si>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</si>
  <si>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</si>
  <si>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</si>
  <si>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</si>
  <si>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</si>
  <si>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</si>
  <si>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</si>
  <si>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</si>
  <si>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</si>
  <si>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</si>
  <si>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</si>
  <si>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</si>
  <si>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</si>
  <si>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BONUS /           Ex-Gratia</t>
  </si>
  <si>
    <t>Medical</t>
  </si>
  <si>
    <t xml:space="preserve">Penghasilan </t>
  </si>
  <si>
    <t>Kena</t>
  </si>
  <si>
    <t>Gaji Setahun</t>
  </si>
  <si>
    <t>Claim</t>
  </si>
  <si>
    <t>Setahun</t>
  </si>
  <si>
    <t>Pajak</t>
  </si>
  <si>
    <t>PT.REBINMAS JAYA</t>
  </si>
  <si>
    <t>NO. URUT</t>
  </si>
  <si>
    <t>PENGHASILAN  SETAHUN</t>
  </si>
  <si>
    <t>Total</t>
  </si>
  <si>
    <t>POTONGAN</t>
  </si>
  <si>
    <t>BUKTI</t>
  </si>
  <si>
    <t>GAJI</t>
  </si>
  <si>
    <t xml:space="preserve">BPJS </t>
  </si>
  <si>
    <t>Astek Ins</t>
  </si>
  <si>
    <t>CLAIM</t>
  </si>
  <si>
    <t>BONUS</t>
  </si>
  <si>
    <t xml:space="preserve">Astek Ins </t>
  </si>
  <si>
    <t>Bi.Jabatan</t>
  </si>
  <si>
    <t>PENSIUN</t>
  </si>
  <si>
    <t>Neto Setahun/</t>
  </si>
  <si>
    <t>POTONG</t>
  </si>
  <si>
    <t>Kesehatan (4%)</t>
  </si>
  <si>
    <t>BEROBAT</t>
  </si>
  <si>
    <t>2% from Inc</t>
  </si>
  <si>
    <t>5%per year</t>
  </si>
  <si>
    <t xml:space="preserve">Astek &amp; B. Jabatan </t>
  </si>
  <si>
    <t>disetahunkan</t>
  </si>
  <si>
    <t>ESTATE : PG 1B</t>
  </si>
  <si>
    <t>DIVISI   : GUNUNG RUM</t>
  </si>
  <si>
    <t>NO</t>
  </si>
  <si>
    <t>NAMA</t>
  </si>
  <si>
    <t>POTONGAN BPJS 2024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</si>
  <si>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</si>
  <si>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</si>
  <si>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</si>
  <si>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</si>
  <si>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</si>
  <si>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</si>
  <si>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</si>
  <si>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</si>
  <si>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</si>
  <si>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</si>
  <si>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</si>
  <si>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DARMAWAN</t>
  </si>
  <si>
    <t>DEDI NOPRIADI</t>
  </si>
  <si>
    <t>1906042110750002</t>
  </si>
  <si>
    <t>1902040211800001</t>
  </si>
  <si>
    <t>97.228.564.7-305.000</t>
  </si>
  <si>
    <t>DSN CENDIL RT .006 RW. 002 DESA CENDIL KEC KELAPA KAMPIT</t>
  </si>
  <si>
    <t>AIK KALAK RT .007 RW. 004 DESA PELEPAK PUTE KEC. SIJUK</t>
  </si>
  <si>
    <t>NO.NPWP</t>
  </si>
  <si>
    <t>PAJAK SUDAH DIBAYAR</t>
  </si>
  <si>
    <t>PAJAK TERUTANG</t>
  </si>
  <si>
    <t>SELISIH</t>
  </si>
  <si>
    <t>SLAMET UNTUNG</t>
  </si>
  <si>
    <t>3327071812730022</t>
  </si>
  <si>
    <t>KEJENE RT. 041 RW. 003 DESA KEJENE KEC. RANDU DONGKAL KAB. PEMALANG JAWA TENGAH</t>
  </si>
  <si>
    <t>PPh 21 Januari s/d Desember Tahun 2025</t>
  </si>
  <si>
    <t>HERI GUNAWAN</t>
  </si>
  <si>
    <t>JULIANSYAH</t>
  </si>
  <si>
    <t>97.228.385.7-305.000</t>
  </si>
  <si>
    <t>97.228.338.6-305.000</t>
  </si>
  <si>
    <t>1902052703830001</t>
  </si>
  <si>
    <t>1902051107810003</t>
  </si>
  <si>
    <t>IRWANTO</t>
  </si>
  <si>
    <t>ISRIN YUNUPITA</t>
  </si>
  <si>
    <t>ARYANI.K</t>
  </si>
  <si>
    <t>HARYANTI ( K )</t>
  </si>
  <si>
    <t>YUNIAR</t>
  </si>
  <si>
    <t>NOVELA SYAKUR</t>
  </si>
  <si>
    <t>KUDIN</t>
  </si>
  <si>
    <t>YULIATI</t>
  </si>
  <si>
    <t>ROHAYA</t>
  </si>
  <si>
    <t>ROSMIATI</t>
  </si>
  <si>
    <t>ROSMINI</t>
  </si>
  <si>
    <t>KURI</t>
  </si>
  <si>
    <t>BASTIAR</t>
  </si>
  <si>
    <t>ADIYANSA</t>
  </si>
  <si>
    <t>RUDI SETIAWAN</t>
  </si>
  <si>
    <t>MARYANTO</t>
  </si>
  <si>
    <t>SRI REJEKI</t>
  </si>
  <si>
    <t>SARTIKA</t>
  </si>
  <si>
    <t>MIRNA</t>
  </si>
  <si>
    <t>ROZATI</t>
  </si>
  <si>
    <t>SAHWEDI</t>
  </si>
  <si>
    <t>RUKMAN</t>
  </si>
  <si>
    <t>AGUSTIONO</t>
  </si>
  <si>
    <t>TONGAM PARNINGTON SAMOSIR</t>
  </si>
  <si>
    <t>ANUAR</t>
  </si>
  <si>
    <t>YUNIAR ANDRIANTI</t>
  </si>
  <si>
    <t>LISA JAYANTI</t>
  </si>
  <si>
    <t>RUSDIN</t>
  </si>
  <si>
    <t>FREDI S</t>
  </si>
  <si>
    <t>ARIPDAN</t>
  </si>
  <si>
    <t>DEDI PURWANTO</t>
  </si>
  <si>
    <t>MIKO AGNESTA</t>
  </si>
  <si>
    <t>LEPI ERWANSYAH</t>
  </si>
  <si>
    <t>NOVA RIZAL</t>
  </si>
  <si>
    <t>MASKUR</t>
  </si>
  <si>
    <t>HERY</t>
  </si>
  <si>
    <t>SUHARDI</t>
  </si>
  <si>
    <t>RUSDI</t>
  </si>
  <si>
    <t>MASJONI</t>
  </si>
  <si>
    <t>ROSMAN</t>
  </si>
  <si>
    <t>SUMARTO EVENDI</t>
  </si>
  <si>
    <t>HERMAN</t>
  </si>
  <si>
    <t>ANDRES CAHYADI</t>
  </si>
  <si>
    <t>SAMSIR</t>
  </si>
  <si>
    <t>FEBRIANSYAH</t>
  </si>
  <si>
    <t>WIDI JULIANSYAH</t>
  </si>
  <si>
    <t>ANGGA NURDIANSYAH</t>
  </si>
  <si>
    <t>ISMAIL</t>
  </si>
  <si>
    <t>JOPI APRIAN HIDAYAT</t>
  </si>
  <si>
    <t>BINTANG ADITYA REVALDO</t>
  </si>
  <si>
    <t>1906042608880005</t>
  </si>
  <si>
    <t>97.228.308.9-305.000</t>
  </si>
  <si>
    <t>DSN CENDIL RT. 005 RW. 002 DESA CENDIL KEC. KELAPA KAMPIT</t>
  </si>
  <si>
    <t>1906046301810003</t>
  </si>
  <si>
    <t>55.159.631.5-305.000</t>
  </si>
  <si>
    <t>DSN JAWA RT. 001 RW. 001 DESA SENYUBUK KEC. KELAPA KAMPIT</t>
  </si>
  <si>
    <t>1902055209790004</t>
  </si>
  <si>
    <t>75.660.309.8-305.000</t>
  </si>
  <si>
    <t>JL. MANGGAR DSN PARIT GUNUNG RT. 006 RW. 003 DESA AIR BATU BUDING KEC. BADAU</t>
  </si>
  <si>
    <t>1906045411860001</t>
  </si>
  <si>
    <t>55.166.675.3-305.000</t>
  </si>
  <si>
    <t>1902056507790002</t>
  </si>
  <si>
    <t>97.228.320.4-305.000</t>
  </si>
  <si>
    <t>DSN  AIR BATU BUDING RT. 003 RW. 002 DESA AIR BATU BUDING KEC. BADAU</t>
  </si>
  <si>
    <t>1906040711990003</t>
  </si>
  <si>
    <t>DSN CENDIL RT. 003 RW. 001 DESA CENDIL KEC. KELAPA KAMPIT</t>
  </si>
  <si>
    <t>5203050107700374</t>
  </si>
  <si>
    <t>DUSUN TIMBAK DESA KESIK KECAMATAN MASBAGIK</t>
  </si>
  <si>
    <t>1902015110820006</t>
  </si>
  <si>
    <t>JL MANGGAR RT. 012 RW. 005 DS BULUH TUMBANG KEC TANJUNGPANDAN</t>
  </si>
  <si>
    <t>1902014410800005</t>
  </si>
  <si>
    <t>JL RAYA BADAU PERAWAS II RT. 004 RW. 002 DESA BULUH TUMBANG KEC. TANJUNGPANDAN</t>
  </si>
  <si>
    <t>1902044110800005</t>
  </si>
  <si>
    <t>75.694.421.1-305.000</t>
  </si>
  <si>
    <t>JL JEND SUDIRMAN RT. 012 RW. 004 DS BULUH TUMBANG KEC TANJUNGPANDAN</t>
  </si>
  <si>
    <t>1902016003970006</t>
  </si>
  <si>
    <t>75.694.309.8-305.000</t>
  </si>
  <si>
    <t>JL MANGGAR RT. 017 RW. 005 DESA BULUH TUMBANG KEC. TANJUNGPANDAN</t>
  </si>
  <si>
    <t>1902051707730004</t>
  </si>
  <si>
    <t>97.228.658.7-305.000</t>
  </si>
  <si>
    <t>AIR BATU BUDING RT. 003 RW. 002 DESA AIR BATU BUDING KEC. BADAU</t>
  </si>
  <si>
    <t>1906041606760002</t>
  </si>
  <si>
    <t>DSN BUDING RT. 001 RW. 001 DESA BUDING KEC. KELAPA KAMPIT</t>
  </si>
  <si>
    <t>1902040909960002</t>
  </si>
  <si>
    <t>SUNGAI PADANG RT. 008 RW. 004 DESA SUNGAI PADANG KEC. SIJUK</t>
  </si>
  <si>
    <t>1902052104980001</t>
  </si>
  <si>
    <t>12.751.440.4-305.000</t>
  </si>
  <si>
    <t>JL. MANGGAR PARIT GUNUNG DS. AIR BATU BUDING KEC. BADAU KAB. BELITUNG</t>
  </si>
  <si>
    <t>1906040106730002</t>
  </si>
  <si>
    <t>97.228.630.6-305.000</t>
  </si>
  <si>
    <t>DSN BUDING RT. 003 RW. 001 DESA BUDING KEC. KELAPA KAMPIT</t>
  </si>
  <si>
    <t>1902054407740002</t>
  </si>
  <si>
    <t>97.228.346.9-305.000</t>
  </si>
  <si>
    <t>1902054508880002</t>
  </si>
  <si>
    <t>97.228.347.7-305.000</t>
  </si>
  <si>
    <t>1906044910940002</t>
  </si>
  <si>
    <t>55.161.258.3-305.000</t>
  </si>
  <si>
    <t>1906044505840008</t>
  </si>
  <si>
    <t>1902050405980001</t>
  </si>
  <si>
    <t>PARIT GUNUNG RT.006/RW.003 DESA AIR BATU BUDING KEC. BADAU KAB. BELITUNG</t>
  </si>
  <si>
    <t>1906041607890002</t>
  </si>
  <si>
    <t>97.387.458.9-305.000</t>
  </si>
  <si>
    <t>1902013101810007</t>
  </si>
  <si>
    <t>97.237.680.0-305.000</t>
  </si>
  <si>
    <t>JL MERDEKA NO. 37 RT. 009 RW. 002 KOTA TANJUNGPANDAN KEC. TANJUNGPANDAN</t>
  </si>
  <si>
    <t>1902011302790002</t>
  </si>
  <si>
    <t>97.237.703.0-305.000</t>
  </si>
  <si>
    <t>JL MERPATI III NO. 150 PERUMNAS RT. 012 RW. 002 DESA AIK PELEMPANG JAYA KEC. TANJUNGPANDAN</t>
  </si>
  <si>
    <t>1902050606870001</t>
  </si>
  <si>
    <t>97.387.489.4-305.000</t>
  </si>
  <si>
    <t>1906044706830002</t>
  </si>
  <si>
    <t>97.228.537.3-305.000</t>
  </si>
  <si>
    <t>DSN CENDIL RT. 002 RW. 001 DESA CENDIL KEC. KELAPA KAMPIT</t>
  </si>
  <si>
    <t>1906046903880004</t>
  </si>
  <si>
    <t>97-237-522-4-305-000</t>
  </si>
  <si>
    <t>DSN. BUKIT JAYA RT 011/004 DESA BUDING KEC. KELAPA KAMPIT</t>
  </si>
  <si>
    <t>1902052108790002</t>
  </si>
  <si>
    <t>97.228.326.1-305-000</t>
  </si>
  <si>
    <t>DESA KACANG BUTOR RT/RW 003/001 KEC.BADAU</t>
  </si>
  <si>
    <t>1902041501990004</t>
  </si>
  <si>
    <t>JL. SIJUK AIR KALA RT.007/RW.004 DS. PELEPAK PUTE KEC. SIJUK KAB. BELITUNG</t>
  </si>
  <si>
    <t>1906040403860001</t>
  </si>
  <si>
    <t>97.228.611.6-305.000</t>
  </si>
  <si>
    <t>DSN CENDIL RT. 005 RW. 002 DS CENDIL KEC KELAPA KAMPIT</t>
  </si>
  <si>
    <t>1902013008880007</t>
  </si>
  <si>
    <t>97.228.389.9-305.000</t>
  </si>
  <si>
    <t>1902050308010004</t>
  </si>
  <si>
    <t>JL MANGGAR RT.009 RW.003 DESA KACANG BUTOR KEC.BADAU</t>
  </si>
  <si>
    <t>KERANI</t>
  </si>
  <si>
    <t>1902042107900002</t>
  </si>
  <si>
    <t>50.500.537.1-305.000</t>
  </si>
  <si>
    <t>1902042812860001</t>
  </si>
  <si>
    <t>PELEPAK PUTIH RT. 004 RW. 002 DESA PELEPAK PUTE KEC. SIJUK</t>
  </si>
  <si>
    <t>1902042411770002</t>
  </si>
  <si>
    <t>95.590.256.4-305.000</t>
  </si>
  <si>
    <t>DSN SIMPANG EMPAT RT. 011 RW. 006 DESA SIJUK KEC. SIJUK</t>
  </si>
  <si>
    <t>1902041312730001</t>
  </si>
  <si>
    <t>PELEPAK PUTE RT. 001 RW. 001 DESA PELEPAK PUTE KEC. SIJUK</t>
  </si>
  <si>
    <t>JL SIJUK RT. 016 RW. 006 DESA AIR SERUK KEC. SIJUK</t>
  </si>
  <si>
    <t>97.228.621.5-305.000</t>
  </si>
  <si>
    <t>DSN AIK KALAK RT. 006 RW. 003 DESA PELEPAK PUTE KEC. SIJUK</t>
  </si>
  <si>
    <t>1906041712820002</t>
  </si>
  <si>
    <t>54.907.601.6-305.000</t>
  </si>
  <si>
    <t>DSN BUKIT DURIAN RT. 003 RW. 002 DESA MENTAWAK KEC. KELAPA KAMPIT</t>
  </si>
  <si>
    <t>1902050104820002</t>
  </si>
  <si>
    <t>97.228.549.8-305.000</t>
  </si>
  <si>
    <t>DUSUN PARIT GUNUNG RT. 006 RW. 003 DESA AIR BATU BUDING  KEC. BADAU</t>
  </si>
  <si>
    <t>1906042404740004</t>
  </si>
  <si>
    <t>97.228.567.0-305.000</t>
  </si>
  <si>
    <t>DSN CENDIL RT. 006 RW. 002 DESA CENDIL KEC. KELAPA KAMPIT</t>
  </si>
  <si>
    <t>1902042505890006</t>
  </si>
  <si>
    <t>97.228.573.8-305.000</t>
  </si>
  <si>
    <t>AIR KALA RT. 023 RW. 012 DESA SIJUK KEC. SIJUK</t>
  </si>
  <si>
    <t>1902040101860003</t>
  </si>
  <si>
    <t>JL BUDING RT. 23 RW. 012 DESA SIJUK KEC. SIJUK</t>
  </si>
  <si>
    <t>1902050506840002</t>
  </si>
  <si>
    <t>84.484.558.6-305.000</t>
  </si>
  <si>
    <t>JL MANGGAR PARIT GUNUNG RT. 006 RW. 003 DESA AIR BATU BUDING KEC. BADAU</t>
  </si>
  <si>
    <t>1906041307970002</t>
  </si>
  <si>
    <t>DSN LIMAU MANIS RT. 015 RW. 006 DESA BUDING KEC. KELAPA KAMPIT</t>
  </si>
  <si>
    <t>1902041103720002</t>
  </si>
  <si>
    <t>JL BUDING RT. 021 DESA SIJUK KEC. SIJUK</t>
  </si>
  <si>
    <t>1902042102990003</t>
  </si>
  <si>
    <t>BUDING RT 007/003 DESA BUDING KECAMATAN KELAPA KAMPIT KABUPATEN BELITUNG</t>
  </si>
  <si>
    <t>1906041407040001</t>
  </si>
  <si>
    <t>DSN. LIMAU MANIS RT.015/RW.008 DS. BUDING KEC. KELAPA KAMPIT KAB. BELITUNG TIMUR</t>
  </si>
  <si>
    <t>1906041808970002</t>
  </si>
  <si>
    <t>DSN NIBUNG PUNGGUR RT. 004 RW. 002 DESA MENTAWAK KEC. KELAPA KAMPIT</t>
  </si>
  <si>
    <t>5203183112870203</t>
  </si>
  <si>
    <t>SELAYAR DESA MENCEH KEC. SAKRA TIMUR KAB. LOMBOK TIMUR</t>
  </si>
  <si>
    <t>5203012006960003</t>
  </si>
  <si>
    <t>KETANGGA TIMUR DS. KETANGGA JERAENG KEC. KERUAK KAB. LOMBOK TIMUR</t>
  </si>
  <si>
    <t>1906040112060001</t>
  </si>
  <si>
    <t xml:space="preserve">DSN PEMALI RT.004/RW.002 DESA PEMBAHARUAN KECAMATAN KELAPA KAMPIT </t>
  </si>
  <si>
    <t>SOLEHAN</t>
  </si>
  <si>
    <t>WIRANTO</t>
  </si>
  <si>
    <t>RUSDIANA</t>
  </si>
  <si>
    <t>75.733.492.5-305.000</t>
  </si>
  <si>
    <t>1906042207980002</t>
  </si>
  <si>
    <t xml:space="preserve">DSN AIR KELIK RT. 005 RW. 002 DESA AIR KELIK KEC. DAMAR </t>
  </si>
  <si>
    <t>1902043009700001</t>
  </si>
  <si>
    <t>PELEPAK PUTE RT. 004 RW. 002 DESA PELEPAK PUTE KEC. SIJUK</t>
  </si>
  <si>
    <t>1902011011790003</t>
  </si>
  <si>
    <t>BULUH TUMBANG, RT/RW 005/003 KEC. TANJUNG PANDAN</t>
  </si>
  <si>
    <t>PPH 21 TAHUN 2025</t>
  </si>
  <si>
    <t>EDI ZULKARNADI</t>
  </si>
  <si>
    <t>ERLANDA</t>
  </si>
  <si>
    <t>SUNARDI</t>
  </si>
  <si>
    <t>ASTEK 2%</t>
  </si>
  <si>
    <t>PENSIUN 1%</t>
  </si>
  <si>
    <t>ASTEK 0,84%</t>
  </si>
  <si>
    <t>1906040102760001</t>
  </si>
  <si>
    <t>75.748.971.1.305.000</t>
  </si>
  <si>
    <t>DSN CENDIL RT.004 RW.002 DESA CENDIL KEC KELAPA KAMPIT</t>
  </si>
  <si>
    <t>1902041612890005</t>
  </si>
  <si>
    <t>DSN.AIK KALAK DESA PEPEPAK PUTEH KEC .SIJUK</t>
  </si>
  <si>
    <t>DSN.PESARAKAN RT.007 RW.003 DESA CENDIL KEC.KELAPA KAMPIT</t>
  </si>
  <si>
    <t>75.748.971.1-305.000</t>
  </si>
  <si>
    <t>1902011508010004</t>
  </si>
  <si>
    <t>JL.MANGGAR KACANG BUTOR RT.003 RW.001 DESA KACANG BUTOR KEC BADAU</t>
  </si>
  <si>
    <t>ANDRI GUNAWAN</t>
  </si>
  <si>
    <t>3205361204000002</t>
  </si>
  <si>
    <t>1902052402910001</t>
  </si>
  <si>
    <t>1906041212900001</t>
  </si>
  <si>
    <t>1906040508760001</t>
  </si>
  <si>
    <t>1902012207930005</t>
  </si>
  <si>
    <t>JUPRI</t>
  </si>
  <si>
    <t>5203120107650934</t>
  </si>
  <si>
    <t>MONTOR DAKOK DESA PENGADANGAN KEC.PRINGGASELA KAB LOMBOK TIMUR</t>
  </si>
  <si>
    <t>THR NATAL</t>
  </si>
  <si>
    <t>RAMADHAN</t>
  </si>
  <si>
    <t>RAFIANSYAH</t>
  </si>
  <si>
    <t>VIRGA</t>
  </si>
  <si>
    <t>TARMIZI</t>
  </si>
  <si>
    <t>ANDREAS</t>
  </si>
  <si>
    <t>1902051210050001</t>
  </si>
  <si>
    <t>JL.AIR KELUBI DALAM DESA LESUNG BATANG KEC.TANJUNG PANDAN</t>
  </si>
  <si>
    <t>KARYAWAN PANEN KHL</t>
  </si>
  <si>
    <t>1906041208020001</t>
  </si>
  <si>
    <t>JLN RAYA MANGGAR DUSUN BUDING RT 003.RW.001 KEC.KELAPA KAMPIT</t>
  </si>
  <si>
    <t>1906043110040001</t>
  </si>
  <si>
    <t>JLN BANDES 1 DUSUN CENDIL RT.005 RW.002 DESA CENDIL KEC KELAPA KAMPIT</t>
  </si>
  <si>
    <t>1902041909920004</t>
  </si>
  <si>
    <t>JL.MENGKELING RT.003 RW.002 DESA AIR SELUMAR KEC.SIJUK</t>
  </si>
  <si>
    <t>1902051608040001</t>
  </si>
  <si>
    <t>AIR BEGANTUNG RT.009.RW.003 DESA KACANG BUTOR KEC KELAPA KAMPIT</t>
  </si>
  <si>
    <t>Disahkan Oleh,</t>
  </si>
  <si>
    <t>Zuwirda</t>
  </si>
  <si>
    <t>Chandra Dinata Pribadi</t>
  </si>
  <si>
    <t>Senior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</si>
</sst>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_)"/>
    <numFmt numFmtId="168" formatCode="0000000000000000"/>
    <numFmt numFmtId="169" formatCode="000000000000000"/>
    <numFmt numFmtId="170" formatCode="00"/>
    <numFmt numFmtId="171" formatCode="&quot;Rp&quot;#,##0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name val="Tw Cen MT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indexed="8"/>
      <name val="Calibri Light"/>
      <family val="2"/>
      <scheme val="major"/>
    </font>
    <font>
      <sz val="12"/>
      <name val="Arial"/>
      <family val="2"/>
    </font>
    <font>
      <sz val="10"/>
      <color theme="1"/>
      <name val="Calibri Light"/>
      <family val="2"/>
      <scheme val="major"/>
    </font>
    <font>
      <sz val="10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sz val="14"/>
      <name val="Arial"/>
      <family val="2"/>
    </font>
    <font>
      <u val="singleAccounting"/>
      <sz val="14"/>
      <name val="Arial"/>
      <family val="2"/>
    </font>
    <font>
      <u val="singleAccounting"/>
      <sz val="12"/>
      <name val="Arial"/>
      <family val="2"/>
    </font>
    <font>
      <sz val="10"/>
      <color theme="1"/>
      <name val="Calibri Light"/>
      <family val="1"/>
      <scheme val="maj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sz val="10"/>
      <name val="Tahoma"/>
      <family val="2"/>
    </font>
    <font>
      <sz val="11"/>
      <name val="Calibri"/>
      <family val="2"/>
      <scheme val="minor"/>
    </font>
    <font>
      <b/>
      <sz val="1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9"/>
      <name val="Calibri Light"/>
      <family val="1"/>
      <scheme val="major"/>
    </font>
    <font>
      <sz val="11"/>
      <name val="Tahoma"/>
      <family val="2"/>
    </font>
    <font>
      <b/>
      <sz val="11"/>
      <name val="Tahoma"/>
      <family val="2"/>
    </font>
    <font>
      <sz val="11"/>
      <color theme="1"/>
      <name val="Calibri Light"/>
      <family val="1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Calibri Light"/>
      <family val="1"/>
      <scheme val="major"/>
    </font>
    <font>
      <u/>
      <sz val="1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" fillId="0" borderId="0"/>
    <xf numFmtId="165" fontId="1" fillId="0" borderId="0" applyFont="0" applyFill="0" applyBorder="0" applyAlignment="0" applyProtection="0"/>
  </cellStyleXfs>
  <cellXfs count="655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41" fontId="7" fillId="0" borderId="1" xfId="1" applyFont="1" applyBorder="1" applyAlignment="1">
      <alignment vertical="center"/>
    </xf>
    <xf numFmtId="10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1" fontId="7" fillId="0" borderId="1" xfId="1" applyFont="1" applyBorder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41" fontId="7" fillId="0" borderId="0" xfId="1" applyFont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7" fillId="0" borderId="1" xfId="2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7" fillId="0" borderId="0" xfId="2" applyNumberFormat="1" applyFont="1" applyAlignment="1">
      <alignment horizontal="right" vertical="center"/>
    </xf>
    <xf numFmtId="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66" fontId="7" fillId="0" borderId="1" xfId="3" applyNumberFormat="1" applyFont="1" applyBorder="1" applyAlignment="1">
      <alignment vertical="center"/>
    </xf>
    <xf numFmtId="9" fontId="7" fillId="0" borderId="0" xfId="0" applyNumberFormat="1" applyFont="1" applyAlignment="1">
      <alignment vertical="center"/>
    </xf>
    <xf numFmtId="166" fontId="5" fillId="0" borderId="0" xfId="3" applyNumberFormat="1" applyFont="1" applyAlignment="1">
      <alignment horizontal="left" vertical="center"/>
    </xf>
    <xf numFmtId="166" fontId="7" fillId="0" borderId="0" xfId="3" applyNumberFormat="1" applyFont="1" applyAlignment="1">
      <alignment horizontal="center" vertical="center"/>
    </xf>
    <xf numFmtId="166" fontId="7" fillId="0" borderId="1" xfId="3" applyNumberFormat="1" applyFont="1" applyBorder="1" applyAlignment="1">
      <alignment horizontal="center" vertical="center"/>
    </xf>
    <xf numFmtId="166" fontId="8" fillId="2" borderId="1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right" vertical="center"/>
    </xf>
    <xf numFmtId="0" fontId="10" fillId="0" borderId="0" xfId="5" applyAlignment="1">
      <alignment vertical="center"/>
    </xf>
    <xf numFmtId="164" fontId="10" fillId="0" borderId="0" xfId="6" applyFont="1" applyFill="1" applyAlignment="1">
      <alignment vertical="center"/>
    </xf>
    <xf numFmtId="0" fontId="10" fillId="0" borderId="0" xfId="6" applyNumberFormat="1" applyFont="1" applyFill="1" applyAlignment="1">
      <alignment horizontal="center" vertical="center"/>
    </xf>
    <xf numFmtId="0" fontId="10" fillId="0" borderId="0" xfId="5" applyAlignment="1">
      <alignment horizontal="left" vertical="center"/>
    </xf>
    <xf numFmtId="9" fontId="10" fillId="0" borderId="0" xfId="7" applyFont="1" applyFill="1" applyAlignment="1">
      <alignment vertical="center"/>
    </xf>
    <xf numFmtId="166" fontId="10" fillId="0" borderId="0" xfId="8" applyNumberFormat="1" applyFont="1" applyFill="1" applyAlignment="1">
      <alignment vertical="center"/>
    </xf>
    <xf numFmtId="164" fontId="10" fillId="0" borderId="0" xfId="9" applyFont="1" applyFill="1" applyAlignment="1">
      <alignment vertical="center"/>
    </xf>
    <xf numFmtId="0" fontId="10" fillId="0" borderId="19" xfId="5" quotePrefix="1" applyBorder="1" applyAlignment="1">
      <alignment horizontal="center" vertical="center"/>
    </xf>
    <xf numFmtId="167" fontId="14" fillId="0" borderId="19" xfId="5" applyNumberFormat="1" applyFont="1" applyBorder="1" applyAlignment="1">
      <alignment horizontal="left" vertical="center"/>
    </xf>
    <xf numFmtId="169" fontId="14" fillId="0" borderId="19" xfId="6" quotePrefix="1" applyNumberFormat="1" applyFont="1" applyFill="1" applyBorder="1" applyAlignment="1" applyProtection="1">
      <alignment horizontal="center" vertical="center"/>
    </xf>
    <xf numFmtId="0" fontId="14" fillId="0" borderId="19" xfId="10" applyFont="1" applyBorder="1" applyAlignment="1">
      <alignment horizontal="center" vertical="center"/>
    </xf>
    <xf numFmtId="0" fontId="10" fillId="0" borderId="19" xfId="10" applyBorder="1" applyAlignment="1">
      <alignment horizontal="center" vertical="center"/>
    </xf>
    <xf numFmtId="164" fontId="14" fillId="0" borderId="19" xfId="6" applyFont="1" applyFill="1" applyBorder="1" applyAlignment="1" applyProtection="1">
      <alignment horizontal="left" vertical="center"/>
    </xf>
    <xf numFmtId="0" fontId="10" fillId="0" borderId="20" xfId="5" quotePrefix="1" applyBorder="1" applyAlignment="1">
      <alignment horizontal="center" vertical="center"/>
    </xf>
    <xf numFmtId="167" fontId="14" fillId="0" borderId="20" xfId="5" applyNumberFormat="1" applyFont="1" applyBorder="1" applyAlignment="1">
      <alignment horizontal="left" vertical="center"/>
    </xf>
    <xf numFmtId="168" fontId="14" fillId="0" borderId="20" xfId="5" applyNumberFormat="1" applyFont="1" applyBorder="1" applyAlignment="1">
      <alignment horizontal="center" vertical="center"/>
    </xf>
    <xf numFmtId="169" fontId="14" fillId="0" borderId="20" xfId="6" quotePrefix="1" applyNumberFormat="1" applyFont="1" applyFill="1" applyBorder="1" applyAlignment="1" applyProtection="1">
      <alignment horizontal="center" vertical="center"/>
    </xf>
    <xf numFmtId="0" fontId="14" fillId="0" borderId="20" xfId="10" applyFont="1" applyBorder="1" applyAlignment="1">
      <alignment horizontal="center" vertical="center"/>
    </xf>
    <xf numFmtId="0" fontId="10" fillId="0" borderId="20" xfId="10" applyBorder="1" applyAlignment="1">
      <alignment horizontal="center" vertical="center"/>
    </xf>
    <xf numFmtId="164" fontId="14" fillId="0" borderId="20" xfId="6" applyFont="1" applyFill="1" applyBorder="1" applyAlignment="1" applyProtection="1">
      <alignment horizontal="left" vertical="center"/>
    </xf>
    <xf numFmtId="0" fontId="10" fillId="0" borderId="21" xfId="5" quotePrefix="1" applyBorder="1" applyAlignment="1">
      <alignment vertical="center"/>
    </xf>
    <xf numFmtId="164" fontId="10" fillId="0" borderId="21" xfId="6" applyFont="1" applyFill="1" applyBorder="1" applyAlignment="1">
      <alignment vertical="center"/>
    </xf>
    <xf numFmtId="166" fontId="12" fillId="0" borderId="0" xfId="8" applyNumberFormat="1" applyFont="1" applyFill="1" applyAlignment="1">
      <alignment vertical="center"/>
    </xf>
    <xf numFmtId="164" fontId="12" fillId="0" borderId="0" xfId="9" applyFont="1" applyFill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5" applyFont="1"/>
    <xf numFmtId="0" fontId="10" fillId="0" borderId="0" xfId="5"/>
    <xf numFmtId="0" fontId="10" fillId="0" borderId="0" xfId="11"/>
    <xf numFmtId="0" fontId="10" fillId="4" borderId="19" xfId="10" applyFill="1" applyBorder="1" applyAlignment="1">
      <alignment horizontal="center" vertical="center"/>
    </xf>
    <xf numFmtId="164" fontId="12" fillId="4" borderId="0" xfId="6" applyFont="1" applyFill="1" applyAlignment="1">
      <alignment vertical="center"/>
    </xf>
    <xf numFmtId="10" fontId="10" fillId="0" borderId="0" xfId="6" applyNumberFormat="1" applyFont="1" applyFill="1" applyAlignment="1">
      <alignment horizontal="center" vertical="center"/>
    </xf>
    <xf numFmtId="0" fontId="10" fillId="4" borderId="20" xfId="10" applyFill="1" applyBorder="1" applyAlignment="1">
      <alignment horizontal="center" vertical="center"/>
    </xf>
    <xf numFmtId="164" fontId="14" fillId="0" borderId="32" xfId="6" applyFont="1" applyFill="1" applyBorder="1" applyAlignment="1" applyProtection="1">
      <alignment horizontal="left" vertical="center"/>
    </xf>
    <xf numFmtId="164" fontId="14" fillId="0" borderId="33" xfId="6" applyFont="1" applyFill="1" applyBorder="1" applyAlignment="1" applyProtection="1">
      <alignment horizontal="left" vertical="center"/>
    </xf>
    <xf numFmtId="164" fontId="14" fillId="4" borderId="19" xfId="6" applyFont="1" applyFill="1" applyBorder="1" applyAlignment="1" applyProtection="1">
      <alignment horizontal="left" vertical="center"/>
    </xf>
    <xf numFmtId="164" fontId="14" fillId="4" borderId="20" xfId="6" applyFont="1" applyFill="1" applyBorder="1" applyAlignment="1" applyProtection="1">
      <alignment horizontal="left" vertical="center"/>
    </xf>
    <xf numFmtId="10" fontId="14" fillId="4" borderId="20" xfId="6" applyNumberFormat="1" applyFont="1" applyFill="1" applyBorder="1" applyAlignment="1" applyProtection="1">
      <alignment horizontal="center" vertical="center"/>
    </xf>
    <xf numFmtId="164" fontId="14" fillId="4" borderId="22" xfId="6" applyFont="1" applyFill="1" applyBorder="1" applyAlignment="1" applyProtection="1">
      <alignment horizontal="left" vertical="center"/>
    </xf>
    <xf numFmtId="0" fontId="21" fillId="0" borderId="0" xfId="8" applyNumberFormat="1" applyFont="1" applyFill="1" applyAlignment="1">
      <alignment horizontal="center" vertical="center"/>
    </xf>
    <xf numFmtId="0" fontId="21" fillId="0" borderId="0" xfId="9" applyNumberFormat="1" applyFont="1" applyFill="1" applyAlignment="1">
      <alignment horizontal="center" vertical="center"/>
    </xf>
    <xf numFmtId="168" fontId="10" fillId="0" borderId="21" xfId="6" applyNumberFormat="1" applyFont="1" applyFill="1" applyBorder="1" applyAlignment="1">
      <alignment horizontal="center" vertical="center"/>
    </xf>
    <xf numFmtId="169" fontId="14" fillId="0" borderId="21" xfId="6" quotePrefix="1" applyNumberFormat="1" applyFont="1" applyFill="1" applyBorder="1" applyAlignment="1" applyProtection="1">
      <alignment horizontal="center" vertical="center"/>
    </xf>
    <xf numFmtId="167" fontId="14" fillId="0" borderId="21" xfId="5" applyNumberFormat="1" applyFont="1" applyBorder="1" applyAlignment="1">
      <alignment horizontal="left" vertical="center"/>
    </xf>
    <xf numFmtId="0" fontId="14" fillId="0" borderId="21" xfId="10" applyFont="1" applyBorder="1" applyAlignment="1">
      <alignment horizontal="center" vertical="center"/>
    </xf>
    <xf numFmtId="0" fontId="10" fillId="0" borderId="21" xfId="10" applyBorder="1" applyAlignment="1">
      <alignment horizontal="center" vertical="center"/>
    </xf>
    <xf numFmtId="0" fontId="10" fillId="4" borderId="21" xfId="10" applyFill="1" applyBorder="1" applyAlignment="1">
      <alignment horizontal="center" vertical="center"/>
    </xf>
    <xf numFmtId="164" fontId="14" fillId="4" borderId="21" xfId="6" applyFont="1" applyFill="1" applyBorder="1" applyAlignment="1" applyProtection="1">
      <alignment horizontal="left" vertical="center"/>
    </xf>
    <xf numFmtId="41" fontId="7" fillId="0" borderId="0" xfId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9" fontId="10" fillId="0" borderId="0" xfId="6" applyNumberFormat="1" applyFont="1" applyFill="1" applyAlignment="1">
      <alignment vertical="center"/>
    </xf>
    <xf numFmtId="164" fontId="12" fillId="2" borderId="11" xfId="6" applyFont="1" applyFill="1" applyBorder="1" applyAlignment="1">
      <alignment horizontal="center" vertical="center"/>
    </xf>
    <xf numFmtId="10" fontId="12" fillId="2" borderId="26" xfId="6" applyNumberFormat="1" applyFont="1" applyFill="1" applyBorder="1" applyAlignment="1">
      <alignment horizontal="center" vertical="center" wrapText="1"/>
    </xf>
    <xf numFmtId="0" fontId="12" fillId="2" borderId="2" xfId="5" applyFont="1" applyFill="1" applyBorder="1" applyAlignment="1">
      <alignment horizontal="center" vertical="center"/>
    </xf>
    <xf numFmtId="0" fontId="12" fillId="2" borderId="3" xfId="5" applyFont="1" applyFill="1" applyBorder="1" applyAlignment="1">
      <alignment horizontal="center" vertical="center"/>
    </xf>
    <xf numFmtId="0" fontId="12" fillId="2" borderId="2" xfId="5" quotePrefix="1" applyFont="1" applyFill="1" applyBorder="1" applyAlignment="1">
      <alignment vertical="center"/>
    </xf>
    <xf numFmtId="0" fontId="12" fillId="2" borderId="16" xfId="5" quotePrefix="1" applyFont="1" applyFill="1" applyBorder="1" applyAlignment="1">
      <alignment vertical="center"/>
    </xf>
    <xf numFmtId="166" fontId="12" fillId="2" borderId="3" xfId="3" applyNumberFormat="1" applyFont="1" applyFill="1" applyBorder="1" applyAlignment="1">
      <alignment vertical="center"/>
    </xf>
    <xf numFmtId="0" fontId="12" fillId="2" borderId="4" xfId="6" applyNumberFormat="1" applyFont="1" applyFill="1" applyBorder="1" applyAlignment="1">
      <alignment horizontal="center" vertical="center"/>
    </xf>
    <xf numFmtId="164" fontId="14" fillId="4" borderId="31" xfId="6" applyFont="1" applyFill="1" applyBorder="1" applyAlignment="1" applyProtection="1">
      <alignment horizontal="left" vertical="center"/>
    </xf>
    <xf numFmtId="166" fontId="12" fillId="2" borderId="2" xfId="3" applyNumberFormat="1" applyFont="1" applyFill="1" applyBorder="1" applyAlignment="1">
      <alignment vertical="center"/>
    </xf>
    <xf numFmtId="164" fontId="10" fillId="0" borderId="20" xfId="6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10" fillId="0" borderId="0" xfId="1" applyFont="1" applyAlignment="1">
      <alignment vertical="center"/>
    </xf>
    <xf numFmtId="164" fontId="10" fillId="0" borderId="0" xfId="5" applyNumberFormat="1" applyAlignment="1">
      <alignment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38" fontId="14" fillId="0" borderId="33" xfId="6" applyNumberFormat="1" applyFont="1" applyFill="1" applyBorder="1" applyAlignment="1" applyProtection="1">
      <alignment horizontal="right" vertical="center"/>
    </xf>
    <xf numFmtId="38" fontId="14" fillId="0" borderId="33" xfId="6" applyNumberFormat="1" applyFont="1" applyFill="1" applyBorder="1" applyAlignment="1" applyProtection="1">
      <alignment horizontal="left" vertical="center"/>
    </xf>
    <xf numFmtId="0" fontId="10" fillId="0" borderId="37" xfId="5" quotePrefix="1" applyBorder="1" applyAlignment="1">
      <alignment horizontal="center" vertical="center"/>
    </xf>
    <xf numFmtId="167" fontId="14" fillId="0" borderId="37" xfId="5" applyNumberFormat="1" applyFont="1" applyBorder="1" applyAlignment="1">
      <alignment horizontal="left" vertical="center"/>
    </xf>
    <xf numFmtId="0" fontId="14" fillId="0" borderId="37" xfId="10" applyFont="1" applyBorder="1" applyAlignment="1">
      <alignment horizontal="center" vertical="center"/>
    </xf>
    <xf numFmtId="0" fontId="10" fillId="0" borderId="37" xfId="10" applyBorder="1" applyAlignment="1">
      <alignment horizontal="center" vertical="center"/>
    </xf>
    <xf numFmtId="164" fontId="14" fillId="0" borderId="37" xfId="6" applyFont="1" applyFill="1" applyBorder="1" applyAlignment="1" applyProtection="1">
      <alignment horizontal="left" vertical="center"/>
    </xf>
    <xf numFmtId="10" fontId="12" fillId="2" borderId="3" xfId="6" applyNumberFormat="1" applyFont="1" applyFill="1" applyBorder="1" applyAlignment="1">
      <alignment horizontal="center" vertical="center" wrapText="1"/>
    </xf>
    <xf numFmtId="0" fontId="12" fillId="2" borderId="3" xfId="6" applyNumberFormat="1" applyFont="1" applyFill="1" applyBorder="1" applyAlignment="1">
      <alignment horizontal="center" vertical="center"/>
    </xf>
    <xf numFmtId="164" fontId="14" fillId="4" borderId="37" xfId="6" applyFont="1" applyFill="1" applyBorder="1" applyAlignment="1" applyProtection="1">
      <alignment horizontal="left" vertical="center"/>
    </xf>
    <xf numFmtId="10" fontId="14" fillId="4" borderId="37" xfId="6" applyNumberFormat="1" applyFont="1" applyFill="1" applyBorder="1" applyAlignment="1" applyProtection="1">
      <alignment horizontal="center" vertical="center"/>
    </xf>
    <xf numFmtId="164" fontId="14" fillId="4" borderId="39" xfId="6" applyFont="1" applyFill="1" applyBorder="1" applyAlignment="1" applyProtection="1">
      <alignment horizontal="left" vertical="center"/>
    </xf>
    <xf numFmtId="167" fontId="14" fillId="0" borderId="37" xfId="5" applyNumberFormat="1" applyFont="1" applyBorder="1" applyAlignment="1">
      <alignment horizontal="center" vertical="center"/>
    </xf>
    <xf numFmtId="164" fontId="14" fillId="4" borderId="40" xfId="6" applyFont="1" applyFill="1" applyBorder="1" applyAlignment="1" applyProtection="1">
      <alignment horizontal="left" vertical="center"/>
    </xf>
    <xf numFmtId="166" fontId="22" fillId="3" borderId="19" xfId="3" applyNumberFormat="1" applyFont="1" applyFill="1" applyBorder="1" applyAlignment="1">
      <alignment horizontal="right" vertical="center"/>
    </xf>
    <xf numFmtId="169" fontId="22" fillId="3" borderId="19" xfId="3" applyNumberFormat="1" applyFont="1" applyFill="1" applyBorder="1" applyAlignment="1">
      <alignment horizontal="right" vertical="center"/>
    </xf>
    <xf numFmtId="0" fontId="23" fillId="0" borderId="7" xfId="0" applyFont="1" applyFill="1" applyBorder="1" applyAlignment="1">
      <alignment vertical="center"/>
    </xf>
    <xf numFmtId="166" fontId="22" fillId="3" borderId="20" xfId="3" applyNumberFormat="1" applyFont="1" applyFill="1" applyBorder="1" applyAlignment="1">
      <alignment horizontal="right" vertical="center"/>
    </xf>
    <xf numFmtId="169" fontId="22" fillId="3" borderId="20" xfId="3" applyNumberFormat="1" applyFont="1" applyFill="1" applyBorder="1" applyAlignment="1">
      <alignment horizontal="right" vertical="center"/>
    </xf>
    <xf numFmtId="0" fontId="23" fillId="0" borderId="14" xfId="0" applyFont="1" applyFill="1" applyBorder="1" applyAlignment="1">
      <alignment vertical="center"/>
    </xf>
    <xf numFmtId="169" fontId="22" fillId="5" borderId="20" xfId="3" applyNumberFormat="1" applyFont="1" applyFill="1" applyBorder="1" applyAlignment="1">
      <alignment horizontal="right" vertical="center"/>
    </xf>
    <xf numFmtId="166" fontId="22" fillId="5" borderId="20" xfId="3" applyNumberFormat="1" applyFont="1" applyFill="1" applyBorder="1" applyAlignment="1">
      <alignment horizontal="right" vertical="center"/>
    </xf>
    <xf numFmtId="166" fontId="22" fillId="3" borderId="21" xfId="3" applyNumberFormat="1" applyFont="1" applyFill="1" applyBorder="1" applyAlignment="1">
      <alignment horizontal="right" vertical="center"/>
    </xf>
    <xf numFmtId="169" fontId="22" fillId="5" borderId="21" xfId="3" applyNumberFormat="1" applyFont="1" applyFill="1" applyBorder="1" applyAlignment="1">
      <alignment horizontal="right" vertical="center"/>
    </xf>
    <xf numFmtId="164" fontId="14" fillId="0" borderId="7" xfId="6" applyFont="1" applyFill="1" applyBorder="1" applyAlignment="1" applyProtection="1">
      <alignment horizontal="left" vertical="center"/>
    </xf>
    <xf numFmtId="3" fontId="10" fillId="0" borderId="0" xfId="5" applyNumberFormat="1" applyAlignment="1">
      <alignment vertical="center"/>
    </xf>
    <xf numFmtId="169" fontId="22" fillId="5" borderId="20" xfId="3" quotePrefix="1" applyNumberFormat="1" applyFont="1" applyFill="1" applyBorder="1" applyAlignment="1">
      <alignment horizontal="center" vertical="center"/>
    </xf>
    <xf numFmtId="0" fontId="25" fillId="5" borderId="19" xfId="0" applyFont="1" applyFill="1" applyBorder="1" applyAlignment="1">
      <alignment horizontal="left" vertical="center"/>
    </xf>
    <xf numFmtId="0" fontId="25" fillId="5" borderId="20" xfId="0" applyFont="1" applyFill="1" applyBorder="1" applyAlignment="1">
      <alignment vertical="center"/>
    </xf>
    <xf numFmtId="0" fontId="26" fillId="5" borderId="20" xfId="0" applyFont="1" applyFill="1" applyBorder="1" applyAlignment="1">
      <alignment vertical="center"/>
    </xf>
    <xf numFmtId="0" fontId="25" fillId="5" borderId="21" xfId="0" applyFont="1" applyFill="1" applyBorder="1" applyAlignment="1">
      <alignment vertical="center"/>
    </xf>
    <xf numFmtId="0" fontId="25" fillId="3" borderId="20" xfId="0" applyFont="1" applyFill="1" applyBorder="1" applyAlignment="1">
      <alignment vertical="center"/>
    </xf>
    <xf numFmtId="0" fontId="25" fillId="0" borderId="19" xfId="5" quotePrefix="1" applyFont="1" applyBorder="1" applyAlignment="1">
      <alignment horizontal="center" vertical="center"/>
    </xf>
    <xf numFmtId="0" fontId="25" fillId="4" borderId="19" xfId="10" applyFont="1" applyFill="1" applyBorder="1" applyAlignment="1">
      <alignment horizontal="center" vertical="center"/>
    </xf>
    <xf numFmtId="0" fontId="25" fillId="0" borderId="37" xfId="5" quotePrefix="1" applyFont="1" applyBorder="1" applyAlignment="1">
      <alignment horizontal="center" vertical="center"/>
    </xf>
    <xf numFmtId="167" fontId="27" fillId="0" borderId="37" xfId="5" applyNumberFormat="1" applyFont="1" applyBorder="1" applyAlignment="1">
      <alignment horizontal="left" vertical="center"/>
    </xf>
    <xf numFmtId="167" fontId="27" fillId="0" borderId="37" xfId="5" applyNumberFormat="1" applyFont="1" applyBorder="1" applyAlignment="1">
      <alignment horizontal="center" vertical="center"/>
    </xf>
    <xf numFmtId="0" fontId="25" fillId="4" borderId="20" xfId="10" applyFont="1" applyFill="1" applyBorder="1" applyAlignment="1">
      <alignment horizontal="center" vertical="center"/>
    </xf>
    <xf numFmtId="168" fontId="27" fillId="0" borderId="20" xfId="5" applyNumberFormat="1" applyFont="1" applyBorder="1" applyAlignment="1">
      <alignment horizontal="center" vertical="center"/>
    </xf>
    <xf numFmtId="169" fontId="27" fillId="0" borderId="20" xfId="6" quotePrefix="1" applyNumberFormat="1" applyFont="1" applyFill="1" applyBorder="1" applyAlignment="1" applyProtection="1">
      <alignment horizontal="center" vertical="center"/>
    </xf>
    <xf numFmtId="167" fontId="27" fillId="0" borderId="20" xfId="5" applyNumberFormat="1" applyFont="1" applyBorder="1" applyAlignment="1">
      <alignment horizontal="left" vertical="center"/>
    </xf>
    <xf numFmtId="0" fontId="27" fillId="0" borderId="20" xfId="10" applyFont="1" applyBorder="1" applyAlignment="1">
      <alignment horizontal="center" vertical="center"/>
    </xf>
    <xf numFmtId="0" fontId="25" fillId="0" borderId="20" xfId="10" applyFont="1" applyBorder="1" applyAlignment="1">
      <alignment horizontal="center" vertical="center"/>
    </xf>
    <xf numFmtId="164" fontId="24" fillId="0" borderId="38" xfId="6" applyFont="1" applyFill="1" applyBorder="1" applyAlignment="1" applyProtection="1">
      <alignment horizontal="left" vertical="center"/>
    </xf>
    <xf numFmtId="164" fontId="24" fillId="0" borderId="37" xfId="6" applyFont="1" applyFill="1" applyBorder="1" applyAlignment="1" applyProtection="1">
      <alignment horizontal="left" vertical="center"/>
    </xf>
    <xf numFmtId="164" fontId="14" fillId="7" borderId="20" xfId="6" applyFont="1" applyFill="1" applyBorder="1" applyAlignment="1" applyProtection="1">
      <alignment horizontal="left" vertical="center"/>
    </xf>
    <xf numFmtId="164" fontId="14" fillId="8" borderId="19" xfId="6" applyFont="1" applyFill="1" applyBorder="1" applyAlignment="1" applyProtection="1">
      <alignment horizontal="left" vertical="center"/>
    </xf>
    <xf numFmtId="164" fontId="14" fillId="8" borderId="20" xfId="6" applyFont="1" applyFill="1" applyBorder="1" applyAlignment="1" applyProtection="1">
      <alignment horizontal="left" vertical="center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164" fontId="14" fillId="0" borderId="22" xfId="6" applyFont="1" applyFill="1" applyBorder="1" applyAlignment="1" applyProtection="1">
      <alignment horizontal="left" vertical="center"/>
    </xf>
    <xf numFmtId="166" fontId="10" fillId="0" borderId="0" xfId="5" applyNumberFormat="1" applyAlignment="1">
      <alignment vertical="center"/>
    </xf>
    <xf numFmtId="164" fontId="14" fillId="5" borderId="20" xfId="6" applyFont="1" applyFill="1" applyBorder="1" applyAlignment="1" applyProtection="1">
      <alignment horizontal="left" vertical="center"/>
    </xf>
    <xf numFmtId="164" fontId="14" fillId="9" borderId="19" xfId="6" applyFont="1" applyFill="1" applyBorder="1" applyAlignment="1" applyProtection="1">
      <alignment horizontal="left" vertical="center"/>
    </xf>
    <xf numFmtId="164" fontId="14" fillId="9" borderId="20" xfId="6" applyFont="1" applyFill="1" applyBorder="1" applyAlignment="1" applyProtection="1">
      <alignment horizontal="left" vertical="center"/>
    </xf>
    <xf numFmtId="0" fontId="28" fillId="0" borderId="0" xfId="5" applyFont="1" applyAlignment="1">
      <alignment horizontal="center" vertical="center"/>
    </xf>
    <xf numFmtId="164" fontId="12" fillId="0" borderId="3" xfId="5" applyNumberFormat="1" applyFont="1" applyBorder="1" applyAlignment="1">
      <alignment vertical="center"/>
    </xf>
    <xf numFmtId="164" fontId="14" fillId="0" borderId="0" xfId="6" applyFont="1" applyFill="1" applyBorder="1" applyAlignment="1" applyProtection="1">
      <alignment horizontal="left" vertical="center"/>
    </xf>
    <xf numFmtId="3" fontId="12" fillId="0" borderId="3" xfId="5" applyNumberFormat="1" applyFont="1" applyBorder="1" applyAlignment="1">
      <alignment vertical="center"/>
    </xf>
    <xf numFmtId="164" fontId="14" fillId="6" borderId="20" xfId="6" applyFont="1" applyFill="1" applyBorder="1" applyAlignment="1" applyProtection="1">
      <alignment horizontal="left" vertical="center"/>
    </xf>
    <xf numFmtId="164" fontId="14" fillId="6" borderId="37" xfId="6" applyFont="1" applyFill="1" applyBorder="1" applyAlignment="1" applyProtection="1">
      <alignment horizontal="left" vertical="center"/>
    </xf>
    <xf numFmtId="164" fontId="10" fillId="6" borderId="0" xfId="5" applyNumberFormat="1" applyFill="1" applyAlignment="1">
      <alignment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164" fontId="12" fillId="0" borderId="3" xfId="5" applyNumberFormat="1" applyFont="1" applyBorder="1" applyAlignment="1">
      <alignment horizontal="center" vertical="center"/>
    </xf>
    <xf numFmtId="0" fontId="12" fillId="2" borderId="41" xfId="6" applyNumberFormat="1" applyFont="1" applyFill="1" applyBorder="1" applyAlignment="1">
      <alignment horizontal="center" vertical="center" wrapText="1"/>
    </xf>
    <xf numFmtId="164" fontId="14" fillId="4" borderId="42" xfId="6" applyFont="1" applyFill="1" applyBorder="1" applyAlignment="1" applyProtection="1">
      <alignment horizontal="left" vertical="center"/>
    </xf>
    <xf numFmtId="164" fontId="14" fillId="4" borderId="43" xfId="6" applyFont="1" applyFill="1" applyBorder="1" applyAlignment="1" applyProtection="1">
      <alignment horizontal="left" vertical="center"/>
    </xf>
    <xf numFmtId="164" fontId="14" fillId="4" borderId="44" xfId="6" applyFont="1" applyFill="1" applyBorder="1" applyAlignment="1" applyProtection="1">
      <alignment horizontal="left" vertical="center"/>
    </xf>
    <xf numFmtId="0" fontId="12" fillId="2" borderId="45" xfId="6" applyNumberFormat="1" applyFont="1" applyFill="1" applyBorder="1" applyAlignment="1">
      <alignment horizontal="center" vertical="center" wrapText="1"/>
    </xf>
    <xf numFmtId="164" fontId="14" fillId="4" borderId="46" xfId="6" applyFont="1" applyFill="1" applyBorder="1" applyAlignment="1" applyProtection="1">
      <alignment horizontal="left" vertical="center"/>
    </xf>
    <xf numFmtId="164" fontId="14" fillId="4" borderId="47" xfId="6" applyFont="1" applyFill="1" applyBorder="1" applyAlignment="1" applyProtection="1">
      <alignment horizontal="left" vertical="center"/>
    </xf>
    <xf numFmtId="164" fontId="14" fillId="4" borderId="48" xfId="6" applyFont="1" applyFill="1" applyBorder="1" applyAlignment="1" applyProtection="1">
      <alignment horizontal="left" vertical="center"/>
    </xf>
    <xf numFmtId="164" fontId="14" fillId="0" borderId="21" xfId="6" applyFont="1" applyFill="1" applyBorder="1" applyAlignment="1" applyProtection="1">
      <alignment horizontal="left" vertical="center"/>
    </xf>
    <xf numFmtId="164" fontId="12" fillId="2" borderId="11" xfId="6" applyFont="1" applyFill="1" applyBorder="1" applyAlignment="1">
      <alignment horizontal="center" vertical="center" wrapText="1"/>
    </xf>
    <xf numFmtId="169" fontId="14" fillId="0" borderId="19" xfId="5" applyNumberFormat="1" applyFont="1" applyBorder="1" applyAlignment="1">
      <alignment horizontal="center" vertical="center"/>
    </xf>
    <xf numFmtId="10" fontId="14" fillId="4" borderId="19" xfId="6" applyNumberFormat="1" applyFont="1" applyFill="1" applyBorder="1" applyAlignment="1" applyProtection="1">
      <alignment horizontal="center" vertical="center"/>
    </xf>
    <xf numFmtId="164" fontId="14" fillId="4" borderId="30" xfId="6" applyFont="1" applyFill="1" applyBorder="1" applyAlignment="1" applyProtection="1">
      <alignment horizontal="left" vertical="center"/>
    </xf>
    <xf numFmtId="38" fontId="14" fillId="0" borderId="32" xfId="6" applyNumberFormat="1" applyFont="1" applyFill="1" applyBorder="1" applyAlignment="1" applyProtection="1">
      <alignment horizontal="right" vertical="center"/>
    </xf>
    <xf numFmtId="10" fontId="10" fillId="0" borderId="0" xfId="5" applyNumberFormat="1" applyAlignment="1">
      <alignment vertical="center"/>
    </xf>
    <xf numFmtId="169" fontId="14" fillId="0" borderId="20" xfId="5" applyNumberFormat="1" applyFont="1" applyBorder="1" applyAlignment="1">
      <alignment horizontal="center" vertical="center"/>
    </xf>
    <xf numFmtId="164" fontId="10" fillId="0" borderId="49" xfId="6" applyFont="1" applyFill="1" applyBorder="1" applyAlignment="1">
      <alignment vertical="center"/>
    </xf>
    <xf numFmtId="164" fontId="14" fillId="4" borderId="35" xfId="6" applyFont="1" applyFill="1" applyBorder="1" applyAlignment="1" applyProtection="1">
      <alignment horizontal="left"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10" fillId="0" borderId="20" xfId="5" quotePrefix="1" applyFill="1" applyBorder="1" applyAlignment="1">
      <alignment horizontal="center" vertical="center"/>
    </xf>
    <xf numFmtId="0" fontId="22" fillId="0" borderId="20" xfId="0" applyFont="1" applyFill="1" applyBorder="1" applyAlignment="1">
      <alignment vertical="center"/>
    </xf>
    <xf numFmtId="166" fontId="22" fillId="0" borderId="20" xfId="3" applyNumberFormat="1" applyFont="1" applyFill="1" applyBorder="1" applyAlignment="1">
      <alignment horizontal="right" vertical="center"/>
    </xf>
    <xf numFmtId="0" fontId="14" fillId="0" borderId="37" xfId="10" applyFont="1" applyFill="1" applyBorder="1" applyAlignment="1">
      <alignment horizontal="center" vertical="center"/>
    </xf>
    <xf numFmtId="0" fontId="10" fillId="0" borderId="37" xfId="10" applyFill="1" applyBorder="1" applyAlignment="1">
      <alignment horizontal="center" vertical="center"/>
    </xf>
    <xf numFmtId="0" fontId="10" fillId="0" borderId="0" xfId="5" applyFill="1" applyAlignment="1">
      <alignment vertical="center"/>
    </xf>
    <xf numFmtId="164" fontId="14" fillId="4" borderId="0" xfId="6" applyFont="1" applyFill="1" applyBorder="1" applyAlignment="1" applyProtection="1">
      <alignment horizontal="left" vertical="center"/>
    </xf>
    <xf numFmtId="168" fontId="10" fillId="0" borderId="20" xfId="6" applyNumberFormat="1" applyFont="1" applyFill="1" applyBorder="1" applyAlignment="1">
      <alignment horizontal="center" vertical="center"/>
    </xf>
    <xf numFmtId="168" fontId="14" fillId="0" borderId="19" xfId="5" applyNumberFormat="1" applyFont="1" applyBorder="1" applyAlignment="1">
      <alignment horizontal="center" vertical="center"/>
    </xf>
    <xf numFmtId="167" fontId="14" fillId="0" borderId="19" xfId="5" applyNumberFormat="1" applyFont="1" applyBorder="1" applyAlignment="1">
      <alignment horizontal="center" vertical="center"/>
    </xf>
    <xf numFmtId="166" fontId="10" fillId="0" borderId="0" xfId="3" applyNumberFormat="1" applyFont="1" applyAlignment="1">
      <alignment vertical="center"/>
    </xf>
    <xf numFmtId="166" fontId="10" fillId="6" borderId="0" xfId="5" applyNumberFormat="1" applyFill="1" applyAlignment="1">
      <alignment vertical="center"/>
    </xf>
    <xf numFmtId="168" fontId="14" fillId="0" borderId="37" xfId="5" applyNumberFormat="1" applyFont="1" applyBorder="1" applyAlignment="1">
      <alignment horizontal="center" vertical="center"/>
    </xf>
    <xf numFmtId="169" fontId="14" fillId="0" borderId="37" xfId="6" quotePrefix="1" applyNumberFormat="1" applyFont="1" applyFill="1" applyBorder="1" applyAlignment="1" applyProtection="1">
      <alignment horizontal="center" vertical="center"/>
    </xf>
    <xf numFmtId="164" fontId="14" fillId="0" borderId="38" xfId="6" applyFont="1" applyFill="1" applyBorder="1" applyAlignment="1" applyProtection="1">
      <alignment horizontal="left" vertical="center"/>
    </xf>
    <xf numFmtId="166" fontId="12" fillId="0" borderId="0" xfId="5" applyNumberFormat="1" applyFont="1"/>
    <xf numFmtId="166" fontId="10" fillId="0" borderId="0" xfId="5" applyNumberFormat="1"/>
    <xf numFmtId="164" fontId="33" fillId="0" borderId="0" xfId="6" applyFont="1" applyFill="1" applyAlignment="1">
      <alignment vertical="center"/>
    </xf>
    <xf numFmtId="164" fontId="34" fillId="0" borderId="0" xfId="6" applyFont="1" applyFill="1" applyAlignment="1">
      <alignment horizontal="center" vertical="center"/>
    </xf>
    <xf numFmtId="164" fontId="28" fillId="0" borderId="0" xfId="6" applyFont="1" applyFill="1" applyAlignment="1">
      <alignment vertical="center"/>
    </xf>
    <xf numFmtId="164" fontId="34" fillId="0" borderId="0" xfId="6" applyFont="1" applyFill="1" applyAlignment="1">
      <alignment vertical="center"/>
    </xf>
    <xf numFmtId="164" fontId="35" fillId="0" borderId="0" xfId="6" applyFont="1" applyFill="1" applyAlignment="1">
      <alignment horizontal="center" vertical="center"/>
    </xf>
    <xf numFmtId="164" fontId="36" fillId="0" borderId="0" xfId="6" applyFont="1" applyFill="1" applyAlignment="1">
      <alignment vertical="center"/>
    </xf>
    <xf numFmtId="0" fontId="12" fillId="2" borderId="0" xfId="6" applyNumberFormat="1" applyFont="1" applyFill="1" applyBorder="1" applyAlignment="1">
      <alignment horizontal="center" vertical="center" wrapText="1"/>
    </xf>
    <xf numFmtId="164" fontId="14" fillId="4" borderId="54" xfId="6" applyFont="1" applyFill="1" applyBorder="1" applyAlignment="1" applyProtection="1">
      <alignment horizontal="center" vertical="center"/>
    </xf>
    <xf numFmtId="164" fontId="14" fillId="4" borderId="0" xfId="6" applyFont="1" applyFill="1" applyBorder="1" applyAlignment="1" applyProtection="1">
      <alignment horizontal="center" vertical="center"/>
    </xf>
    <xf numFmtId="164" fontId="14" fillId="4" borderId="47" xfId="6" applyFont="1" applyFill="1" applyBorder="1" applyAlignment="1" applyProtection="1">
      <alignment horizontal="center" vertical="center"/>
    </xf>
    <xf numFmtId="164" fontId="14" fillId="4" borderId="48" xfId="6" applyFont="1" applyFill="1" applyBorder="1" applyAlignment="1" applyProtection="1">
      <alignment horizontal="center" vertical="center"/>
    </xf>
    <xf numFmtId="164" fontId="14" fillId="4" borderId="55" xfId="6" applyFont="1" applyFill="1" applyBorder="1" applyAlignment="1" applyProtection="1">
      <alignment horizontal="center" vertical="center"/>
    </xf>
    <xf numFmtId="166" fontId="12" fillId="2" borderId="3" xfId="3" applyNumberFormat="1" applyFont="1" applyFill="1" applyBorder="1" applyAlignment="1">
      <alignment horizontal="center" vertical="center"/>
    </xf>
    <xf numFmtId="166" fontId="12" fillId="2" borderId="0" xfId="3" applyNumberFormat="1" applyFont="1" applyFill="1" applyBorder="1" applyAlignment="1">
      <alignment horizontal="center" vertical="center"/>
    </xf>
    <xf numFmtId="164" fontId="10" fillId="6" borderId="0" xfId="6" applyFont="1" applyFill="1" applyAlignment="1">
      <alignment vertical="center"/>
    </xf>
    <xf numFmtId="164" fontId="10" fillId="0" borderId="0" xfId="11" applyNumberFormat="1"/>
    <xf numFmtId="164" fontId="14" fillId="0" borderId="19" xfId="6" applyFont="1" applyFill="1" applyBorder="1" applyAlignment="1" applyProtection="1">
      <alignment horizontal="center" vertical="center"/>
    </xf>
    <xf numFmtId="164" fontId="14" fillId="0" borderId="37" xfId="6" applyFont="1" applyFill="1" applyBorder="1" applyAlignment="1" applyProtection="1">
      <alignment horizontal="center" vertical="center"/>
    </xf>
    <xf numFmtId="164" fontId="14" fillId="0" borderId="20" xfId="6" applyFont="1" applyFill="1" applyBorder="1" applyAlignment="1" applyProtection="1">
      <alignment horizontal="center" vertical="center"/>
    </xf>
    <xf numFmtId="41" fontId="10" fillId="0" borderId="0" xfId="1" applyFont="1"/>
    <xf numFmtId="3" fontId="10" fillId="0" borderId="0" xfId="11" applyNumberFormat="1"/>
    <xf numFmtId="167" fontId="14" fillId="10" borderId="37" xfId="5" applyNumberFormat="1" applyFont="1" applyFill="1" applyBorder="1" applyAlignment="1">
      <alignment horizontal="left" vertical="center"/>
    </xf>
    <xf numFmtId="168" fontId="14" fillId="0" borderId="20" xfId="5" quotePrefix="1" applyNumberFormat="1" applyFont="1" applyBorder="1" applyAlignment="1">
      <alignment horizontal="center" vertical="center"/>
    </xf>
    <xf numFmtId="167" fontId="14" fillId="6" borderId="37" xfId="5" applyNumberFormat="1" applyFont="1" applyFill="1" applyBorder="1" applyAlignment="1">
      <alignment horizontal="left" vertical="center"/>
    </xf>
    <xf numFmtId="168" fontId="14" fillId="6" borderId="20" xfId="5" applyNumberFormat="1" applyFont="1" applyFill="1" applyBorder="1" applyAlignment="1">
      <alignment horizontal="center" vertical="center"/>
    </xf>
    <xf numFmtId="0" fontId="10" fillId="0" borderId="22" xfId="5" quotePrefix="1" applyBorder="1" applyAlignment="1">
      <alignment horizontal="center" vertical="center"/>
    </xf>
    <xf numFmtId="167" fontId="14" fillId="0" borderId="22" xfId="5" applyNumberFormat="1" applyFont="1" applyBorder="1" applyAlignment="1">
      <alignment horizontal="left" vertical="center"/>
    </xf>
    <xf numFmtId="168" fontId="14" fillId="0" borderId="22" xfId="5" applyNumberFormat="1" applyFont="1" applyBorder="1" applyAlignment="1">
      <alignment horizontal="center" vertical="center"/>
    </xf>
    <xf numFmtId="169" fontId="14" fillId="0" borderId="22" xfId="6" quotePrefix="1" applyNumberFormat="1" applyFont="1" applyFill="1" applyBorder="1" applyAlignment="1" applyProtection="1">
      <alignment horizontal="center" vertical="center"/>
    </xf>
    <xf numFmtId="167" fontId="14" fillId="0" borderId="22" xfId="5" applyNumberFormat="1" applyFont="1" applyBorder="1" applyAlignment="1">
      <alignment horizontal="center" vertical="center"/>
    </xf>
    <xf numFmtId="0" fontId="14" fillId="0" borderId="22" xfId="10" applyFont="1" applyBorder="1" applyAlignment="1">
      <alignment horizontal="center" vertical="center"/>
    </xf>
    <xf numFmtId="0" fontId="10" fillId="0" borderId="22" xfId="10" applyBorder="1" applyAlignment="1">
      <alignment horizontal="center" vertical="center"/>
    </xf>
    <xf numFmtId="0" fontId="10" fillId="4" borderId="22" xfId="10" applyFill="1" applyBorder="1" applyAlignment="1">
      <alignment horizontal="center" vertical="center"/>
    </xf>
    <xf numFmtId="164" fontId="14" fillId="0" borderId="56" xfId="6" applyFont="1" applyFill="1" applyBorder="1" applyAlignment="1" applyProtection="1">
      <alignment horizontal="left" vertical="center"/>
    </xf>
    <xf numFmtId="164" fontId="14" fillId="0" borderId="22" xfId="6" applyFont="1" applyFill="1" applyBorder="1" applyAlignment="1" applyProtection="1">
      <alignment horizontal="center" vertical="center"/>
    </xf>
    <xf numFmtId="10" fontId="14" fillId="4" borderId="22" xfId="6" applyNumberFormat="1" applyFont="1" applyFill="1" applyBorder="1" applyAlignment="1" applyProtection="1">
      <alignment horizontal="center" vertical="center"/>
    </xf>
    <xf numFmtId="167" fontId="14" fillId="0" borderId="37" xfId="5" applyNumberFormat="1" applyFont="1" applyFill="1" applyBorder="1" applyAlignment="1">
      <alignment horizontal="left" vertical="center"/>
    </xf>
    <xf numFmtId="168" fontId="14" fillId="0" borderId="37" xfId="5" quotePrefix="1" applyNumberFormat="1" applyFont="1" applyBorder="1" applyAlignment="1">
      <alignment horizontal="center" vertical="center"/>
    </xf>
    <xf numFmtId="0" fontId="10" fillId="4" borderId="37" xfId="10" applyFill="1" applyBorder="1" applyAlignment="1">
      <alignment horizontal="center" vertical="center"/>
    </xf>
    <xf numFmtId="166" fontId="12" fillId="2" borderId="3" xfId="3" applyNumberFormat="1" applyFont="1" applyFill="1" applyBorder="1" applyAlignment="1">
      <alignment horizontal="left" vertical="center"/>
    </xf>
    <xf numFmtId="0" fontId="23" fillId="0" borderId="20" xfId="0" applyFont="1" applyFill="1" applyBorder="1" applyAlignment="1">
      <alignment vertical="center"/>
    </xf>
    <xf numFmtId="0" fontId="37" fillId="5" borderId="0" xfId="0" applyFont="1" applyFill="1"/>
    <xf numFmtId="0" fontId="23" fillId="5" borderId="0" xfId="0" applyFont="1" applyFill="1"/>
    <xf numFmtId="0" fontId="38" fillId="5" borderId="0" xfId="0" applyFont="1" applyFill="1"/>
    <xf numFmtId="0" fontId="0" fillId="0" borderId="0" xfId="0" applyFill="1"/>
    <xf numFmtId="0" fontId="39" fillId="5" borderId="0" xfId="0" applyFont="1" applyFill="1" applyAlignment="1"/>
    <xf numFmtId="0" fontId="40" fillId="5" borderId="0" xfId="0" applyFont="1" applyFill="1" applyAlignment="1"/>
    <xf numFmtId="0" fontId="23" fillId="5" borderId="15" xfId="0" applyFont="1" applyFill="1" applyBorder="1"/>
    <xf numFmtId="0" fontId="37" fillId="5" borderId="23" xfId="0" applyFont="1" applyFill="1" applyBorder="1" applyAlignment="1">
      <alignment horizontal="center" vertical="center"/>
    </xf>
    <xf numFmtId="0" fontId="41" fillId="5" borderId="24" xfId="0" applyFont="1" applyFill="1" applyBorder="1" applyAlignment="1">
      <alignment horizontal="center" vertical="center"/>
    </xf>
    <xf numFmtId="0" fontId="37" fillId="5" borderId="57" xfId="0" applyFont="1" applyFill="1" applyBorder="1" applyAlignment="1">
      <alignment horizontal="center" vertical="center"/>
    </xf>
    <xf numFmtId="0" fontId="37" fillId="5" borderId="14" xfId="0" applyFont="1" applyFill="1" applyBorder="1" applyAlignment="1">
      <alignment horizontal="center" vertical="center"/>
    </xf>
    <xf numFmtId="0" fontId="37" fillId="5" borderId="59" xfId="0" applyFont="1" applyFill="1" applyBorder="1" applyAlignment="1">
      <alignment horizontal="center" vertical="center"/>
    </xf>
    <xf numFmtId="0" fontId="37" fillId="5" borderId="60" xfId="0" applyFont="1" applyFill="1" applyBorder="1" applyAlignment="1">
      <alignment horizontal="center" vertical="center"/>
    </xf>
    <xf numFmtId="0" fontId="41" fillId="5" borderId="51" xfId="0" applyFont="1" applyFill="1" applyBorder="1" applyAlignment="1">
      <alignment horizontal="center" vertical="center"/>
    </xf>
    <xf numFmtId="0" fontId="37" fillId="5" borderId="61" xfId="0" applyFont="1" applyFill="1" applyBorder="1" applyAlignment="1">
      <alignment horizontal="center" vertical="center"/>
    </xf>
    <xf numFmtId="0" fontId="37" fillId="5" borderId="63" xfId="0" applyFont="1" applyFill="1" applyBorder="1" applyAlignment="1">
      <alignment horizontal="center" vertical="center"/>
    </xf>
    <xf numFmtId="0" fontId="37" fillId="5" borderId="65" xfId="0" applyFont="1" applyFill="1" applyBorder="1" applyAlignment="1">
      <alignment horizontal="center" vertical="center"/>
    </xf>
    <xf numFmtId="0" fontId="37" fillId="5" borderId="66" xfId="0" applyFont="1" applyFill="1" applyBorder="1" applyAlignment="1">
      <alignment horizontal="center" vertical="center"/>
    </xf>
    <xf numFmtId="0" fontId="41" fillId="5" borderId="67" xfId="0" applyFont="1" applyFill="1" applyBorder="1" applyAlignment="1">
      <alignment horizontal="center" vertical="center"/>
    </xf>
    <xf numFmtId="0" fontId="37" fillId="5" borderId="29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166" fontId="42" fillId="5" borderId="1" xfId="3" applyNumberFormat="1" applyFont="1" applyFill="1" applyBorder="1" applyAlignment="1">
      <alignment horizontal="left" vertical="center"/>
    </xf>
    <xf numFmtId="0" fontId="42" fillId="5" borderId="1" xfId="0" applyFont="1" applyFill="1" applyBorder="1" applyAlignment="1">
      <alignment horizontal="center"/>
    </xf>
    <xf numFmtId="166" fontId="42" fillId="5" borderId="1" xfId="3" applyNumberFormat="1" applyFont="1" applyFill="1" applyBorder="1" applyAlignment="1">
      <alignment vertical="center"/>
    </xf>
    <xf numFmtId="3" fontId="37" fillId="0" borderId="1" xfId="0" applyNumberFormat="1" applyFont="1" applyFill="1" applyBorder="1"/>
    <xf numFmtId="3" fontId="30" fillId="0" borderId="1" xfId="0" applyNumberFormat="1" applyFont="1" applyFill="1" applyBorder="1"/>
    <xf numFmtId="3" fontId="42" fillId="0" borderId="1" xfId="0" applyNumberFormat="1" applyFont="1" applyFill="1" applyBorder="1"/>
    <xf numFmtId="41" fontId="30" fillId="5" borderId="1" xfId="1" applyFont="1" applyFill="1" applyBorder="1"/>
    <xf numFmtId="166" fontId="42" fillId="0" borderId="1" xfId="3" applyNumberFormat="1" applyFont="1" applyFill="1" applyBorder="1" applyAlignment="1">
      <alignment vertical="center"/>
    </xf>
    <xf numFmtId="41" fontId="3" fillId="0" borderId="1" xfId="1" applyFont="1" applyFill="1" applyBorder="1"/>
    <xf numFmtId="3" fontId="30" fillId="5" borderId="68" xfId="0" applyNumberFormat="1" applyFont="1" applyFill="1" applyBorder="1"/>
    <xf numFmtId="164" fontId="0" fillId="0" borderId="0" xfId="0" applyNumberFormat="1" applyFill="1"/>
    <xf numFmtId="3" fontId="30" fillId="0" borderId="14" xfId="0" applyNumberFormat="1" applyFont="1" applyFill="1" applyBorder="1"/>
    <xf numFmtId="164" fontId="3" fillId="0" borderId="1" xfId="9" applyFont="1" applyFill="1" applyBorder="1"/>
    <xf numFmtId="41" fontId="3" fillId="0" borderId="68" xfId="1" applyFont="1" applyFill="1" applyBorder="1"/>
    <xf numFmtId="41" fontId="43" fillId="0" borderId="1" xfId="1" applyFont="1" applyFill="1" applyBorder="1"/>
    <xf numFmtId="166" fontId="42" fillId="5" borderId="68" xfId="3" applyNumberFormat="1" applyFont="1" applyFill="1" applyBorder="1" applyAlignment="1">
      <alignment horizontal="left" vertical="center"/>
    </xf>
    <xf numFmtId="0" fontId="42" fillId="5" borderId="68" xfId="0" applyFont="1" applyFill="1" applyBorder="1" applyAlignment="1">
      <alignment horizontal="center"/>
    </xf>
    <xf numFmtId="41" fontId="43" fillId="0" borderId="59" xfId="1" applyFont="1" applyFill="1" applyBorder="1"/>
    <xf numFmtId="3" fontId="30" fillId="0" borderId="59" xfId="0" applyNumberFormat="1" applyFont="1" applyFill="1" applyBorder="1"/>
    <xf numFmtId="164" fontId="42" fillId="0" borderId="1" xfId="9" applyFont="1" applyFill="1" applyBorder="1"/>
    <xf numFmtId="166" fontId="42" fillId="5" borderId="0" xfId="3" applyNumberFormat="1" applyFont="1" applyFill="1" applyBorder="1" applyAlignment="1">
      <alignment horizontal="left" vertical="center"/>
    </xf>
    <xf numFmtId="49" fontId="42" fillId="5" borderId="1" xfId="0" applyNumberFormat="1" applyFont="1" applyFill="1" applyBorder="1" applyAlignment="1">
      <alignment horizontal="center"/>
    </xf>
    <xf numFmtId="166" fontId="42" fillId="5" borderId="59" xfId="3" applyNumberFormat="1" applyFont="1" applyFill="1" applyBorder="1" applyAlignment="1">
      <alignment horizontal="left" vertical="center"/>
    </xf>
    <xf numFmtId="0" fontId="42" fillId="5" borderId="59" xfId="0" applyFont="1" applyFill="1" applyBorder="1" applyAlignment="1">
      <alignment horizontal="center"/>
    </xf>
    <xf numFmtId="3" fontId="30" fillId="5" borderId="1" xfId="0" applyNumberFormat="1" applyFont="1" applyFill="1" applyBorder="1"/>
    <xf numFmtId="166" fontId="42" fillId="0" borderId="1" xfId="3" applyNumberFormat="1" applyFont="1" applyFill="1" applyBorder="1" applyAlignment="1">
      <alignment horizontal="left" vertical="center"/>
    </xf>
    <xf numFmtId="166" fontId="43" fillId="0" borderId="68" xfId="3" applyNumberFormat="1" applyFont="1" applyFill="1" applyBorder="1" applyAlignment="1">
      <alignment horizontal="left" vertical="center"/>
    </xf>
    <xf numFmtId="41" fontId="30" fillId="5" borderId="59" xfId="1" applyFont="1" applyFill="1" applyBorder="1"/>
    <xf numFmtId="166" fontId="42" fillId="5" borderId="59" xfId="3" applyNumberFormat="1" applyFont="1" applyFill="1" applyBorder="1" applyAlignment="1">
      <alignment vertical="center"/>
    </xf>
    <xf numFmtId="3" fontId="30" fillId="5" borderId="59" xfId="0" applyNumberFormat="1" applyFont="1" applyFill="1" applyBorder="1"/>
    <xf numFmtId="41" fontId="30" fillId="5" borderId="68" xfId="1" applyFont="1" applyFill="1" applyBorder="1"/>
    <xf numFmtId="166" fontId="42" fillId="5" borderId="68" xfId="3" applyNumberFormat="1" applyFont="1" applyFill="1" applyBorder="1" applyAlignment="1">
      <alignment vertical="center"/>
    </xf>
    <xf numFmtId="166" fontId="39" fillId="5" borderId="8" xfId="0" applyNumberFormat="1" applyFont="1" applyFill="1" applyBorder="1"/>
    <xf numFmtId="166" fontId="42" fillId="0" borderId="68" xfId="3" applyNumberFormat="1" applyFont="1" applyFill="1" applyBorder="1" applyAlignment="1">
      <alignment vertical="center"/>
    </xf>
    <xf numFmtId="3" fontId="30" fillId="0" borderId="68" xfId="0" applyNumberFormat="1" applyFont="1" applyFill="1" applyBorder="1"/>
    <xf numFmtId="0" fontId="23" fillId="5" borderId="1" xfId="0" applyFont="1" applyFill="1" applyBorder="1"/>
    <xf numFmtId="0" fontId="44" fillId="0" borderId="0" xfId="0" applyFont="1" applyFill="1"/>
    <xf numFmtId="0" fontId="45" fillId="0" borderId="0" xfId="0" applyFont="1" applyFill="1"/>
    <xf numFmtId="0" fontId="46" fillId="0" borderId="24" xfId="0" applyFont="1" applyFill="1" applyBorder="1" applyAlignment="1">
      <alignment horizontal="center" vertical="center"/>
    </xf>
    <xf numFmtId="0" fontId="45" fillId="0" borderId="23" xfId="0" applyFont="1" applyFill="1" applyBorder="1" applyAlignment="1">
      <alignment horizontal="center"/>
    </xf>
    <xf numFmtId="0" fontId="44" fillId="0" borderId="24" xfId="0" applyFont="1" applyFill="1" applyBorder="1" applyAlignment="1">
      <alignment horizontal="center" vertical="center"/>
    </xf>
    <xf numFmtId="0" fontId="44" fillId="0" borderId="57" xfId="0" applyFont="1" applyFill="1" applyBorder="1" applyAlignment="1">
      <alignment horizontal="center"/>
    </xf>
    <xf numFmtId="0" fontId="0" fillId="0" borderId="0" xfId="0" applyFont="1" applyFill="1"/>
    <xf numFmtId="0" fontId="46" fillId="0" borderId="51" xfId="0" applyFont="1" applyFill="1" applyBorder="1" applyAlignment="1">
      <alignment horizontal="center" vertical="center"/>
    </xf>
    <xf numFmtId="0" fontId="44" fillId="0" borderId="59" xfId="0" applyFont="1" applyFill="1" applyBorder="1" applyAlignment="1">
      <alignment horizontal="center" vertical="center"/>
    </xf>
    <xf numFmtId="0" fontId="44" fillId="0" borderId="59" xfId="0" applyFont="1" applyFill="1" applyBorder="1" applyAlignment="1">
      <alignment horizontal="center"/>
    </xf>
    <xf numFmtId="0" fontId="44" fillId="0" borderId="72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/>
    </xf>
    <xf numFmtId="0" fontId="44" fillId="0" borderId="14" xfId="0" applyFont="1" applyFill="1" applyBorder="1" applyAlignment="1">
      <alignment horizontal="center"/>
    </xf>
    <xf numFmtId="0" fontId="44" fillId="0" borderId="7" xfId="0" applyFont="1" applyFill="1" applyBorder="1" applyAlignment="1">
      <alignment horizontal="center"/>
    </xf>
    <xf numFmtId="0" fontId="44" fillId="0" borderId="52" xfId="0" applyFont="1" applyFill="1" applyBorder="1" applyAlignment="1">
      <alignment horizontal="center"/>
    </xf>
    <xf numFmtId="0" fontId="44" fillId="0" borderId="14" xfId="0" applyFont="1" applyFill="1" applyBorder="1" applyAlignment="1">
      <alignment horizontal="center" vertical="center"/>
    </xf>
    <xf numFmtId="0" fontId="44" fillId="0" borderId="61" xfId="0" applyFont="1" applyFill="1" applyBorder="1" applyAlignment="1">
      <alignment horizontal="center"/>
    </xf>
    <xf numFmtId="0" fontId="46" fillId="0" borderId="28" xfId="0" applyFont="1" applyFill="1" applyBorder="1" applyAlignment="1">
      <alignment horizontal="center" vertical="center"/>
    </xf>
    <xf numFmtId="0" fontId="44" fillId="0" borderId="18" xfId="0" applyFont="1" applyFill="1" applyBorder="1" applyAlignment="1">
      <alignment horizontal="center" vertical="center"/>
    </xf>
    <xf numFmtId="10" fontId="44" fillId="0" borderId="18" xfId="0" applyNumberFormat="1" applyFont="1" applyFill="1" applyBorder="1" applyAlignment="1">
      <alignment horizontal="center"/>
    </xf>
    <xf numFmtId="0" fontId="44" fillId="0" borderId="25" xfId="0" applyFont="1" applyFill="1" applyBorder="1" applyAlignment="1">
      <alignment horizontal="center" vertical="center"/>
    </xf>
    <xf numFmtId="9" fontId="45" fillId="0" borderId="18" xfId="0" applyNumberFormat="1" applyFont="1" applyFill="1" applyBorder="1" applyAlignment="1">
      <alignment horizontal="center"/>
    </xf>
    <xf numFmtId="9" fontId="44" fillId="0" borderId="18" xfId="0" applyNumberFormat="1" applyFont="1" applyFill="1" applyBorder="1" applyAlignment="1">
      <alignment horizontal="center"/>
    </xf>
    <xf numFmtId="0" fontId="44" fillId="0" borderId="18" xfId="0" applyFont="1" applyFill="1" applyBorder="1" applyAlignment="1">
      <alignment horizontal="center"/>
    </xf>
    <xf numFmtId="0" fontId="44" fillId="0" borderId="29" xfId="0" applyFont="1" applyFill="1" applyBorder="1" applyAlignment="1">
      <alignment horizontal="center"/>
    </xf>
    <xf numFmtId="3" fontId="49" fillId="11" borderId="68" xfId="0" applyNumberFormat="1" applyFont="1" applyFill="1" applyBorder="1"/>
    <xf numFmtId="166" fontId="47" fillId="11" borderId="68" xfId="3" applyNumberFormat="1" applyFont="1" applyFill="1" applyBorder="1" applyAlignment="1">
      <alignment vertical="center"/>
    </xf>
    <xf numFmtId="3" fontId="49" fillId="11" borderId="1" xfId="0" applyNumberFormat="1" applyFont="1" applyFill="1" applyBorder="1"/>
    <xf numFmtId="166" fontId="47" fillId="11" borderId="1" xfId="3" applyNumberFormat="1" applyFont="1" applyFill="1" applyBorder="1" applyAlignment="1">
      <alignment vertical="center"/>
    </xf>
    <xf numFmtId="3" fontId="49" fillId="11" borderId="78" xfId="0" applyNumberFormat="1" applyFont="1" applyFill="1" applyBorder="1"/>
    <xf numFmtId="3" fontId="0" fillId="0" borderId="0" xfId="0" applyNumberFormat="1" applyFont="1" applyFill="1"/>
    <xf numFmtId="164" fontId="0" fillId="0" borderId="0" xfId="0" applyNumberFormat="1" applyFont="1" applyFill="1"/>
    <xf numFmtId="0" fontId="47" fillId="0" borderId="75" xfId="0" applyFont="1" applyFill="1" applyBorder="1" applyAlignment="1">
      <alignment horizontal="center" vertical="center"/>
    </xf>
    <xf numFmtId="0" fontId="48" fillId="0" borderId="74" xfId="0" applyFont="1" applyFill="1" applyBorder="1" applyAlignment="1">
      <alignment horizontal="center" vertical="center"/>
    </xf>
    <xf numFmtId="166" fontId="47" fillId="0" borderId="68" xfId="3" applyNumberFormat="1" applyFont="1" applyFill="1" applyBorder="1" applyAlignment="1">
      <alignment horizontal="left" vertical="center"/>
    </xf>
    <xf numFmtId="0" fontId="47" fillId="0" borderId="68" xfId="0" applyFont="1" applyFill="1" applyBorder="1" applyAlignment="1">
      <alignment horizontal="center"/>
    </xf>
    <xf numFmtId="3" fontId="49" fillId="0" borderId="68" xfId="0" applyNumberFormat="1" applyFont="1" applyFill="1" applyBorder="1"/>
    <xf numFmtId="166" fontId="47" fillId="0" borderId="68" xfId="3" applyNumberFormat="1" applyFont="1" applyFill="1" applyBorder="1" applyAlignment="1">
      <alignment vertical="center"/>
    </xf>
    <xf numFmtId="3" fontId="49" fillId="0" borderId="1" xfId="0" applyNumberFormat="1" applyFont="1" applyFill="1" applyBorder="1"/>
    <xf numFmtId="166" fontId="47" fillId="0" borderId="1" xfId="3" applyNumberFormat="1" applyFont="1" applyFill="1" applyBorder="1" applyAlignment="1">
      <alignment vertical="center"/>
    </xf>
    <xf numFmtId="3" fontId="49" fillId="0" borderId="78" xfId="0" applyNumberFormat="1" applyFont="1" applyFill="1" applyBorder="1"/>
    <xf numFmtId="0" fontId="48" fillId="0" borderId="0" xfId="0" applyFont="1" applyFill="1" applyBorder="1" applyAlignment="1">
      <alignment horizontal="center" vertical="center"/>
    </xf>
    <xf numFmtId="3" fontId="49" fillId="0" borderId="59" xfId="0" applyNumberFormat="1" applyFont="1" applyFill="1" applyBorder="1"/>
    <xf numFmtId="3" fontId="49" fillId="0" borderId="14" xfId="0" applyNumberFormat="1" applyFont="1" applyFill="1" applyBorder="1"/>
    <xf numFmtId="166" fontId="47" fillId="0" borderId="1" xfId="3" applyNumberFormat="1" applyFont="1" applyFill="1" applyBorder="1" applyAlignment="1">
      <alignment horizontal="left" vertical="center"/>
    </xf>
    <xf numFmtId="0" fontId="47" fillId="0" borderId="1" xfId="0" applyFont="1" applyFill="1" applyBorder="1" applyAlignment="1">
      <alignment horizontal="center"/>
    </xf>
    <xf numFmtId="0" fontId="0" fillId="0" borderId="50" xfId="0" applyFont="1" applyFill="1" applyBorder="1"/>
    <xf numFmtId="0" fontId="0" fillId="0" borderId="8" xfId="0" applyFont="1" applyFill="1" applyBorder="1"/>
    <xf numFmtId="41" fontId="50" fillId="0" borderId="8" xfId="1" applyFont="1" applyFill="1" applyBorder="1"/>
    <xf numFmtId="0" fontId="37" fillId="0" borderId="0" xfId="0" applyFont="1" applyFill="1" applyBorder="1" applyAlignment="1">
      <alignment horizontal="center"/>
    </xf>
    <xf numFmtId="0" fontId="41" fillId="0" borderId="0" xfId="0" applyFont="1" applyFill="1" applyBorder="1" applyAlignment="1">
      <alignment horizontal="center" vertical="center"/>
    </xf>
    <xf numFmtId="0" fontId="23" fillId="0" borderId="0" xfId="0" applyFont="1" applyFill="1" applyBorder="1"/>
    <xf numFmtId="0" fontId="23" fillId="0" borderId="0" xfId="0" applyFont="1" applyFill="1"/>
    <xf numFmtId="3" fontId="41" fillId="0" borderId="0" xfId="0" applyNumberFormat="1" applyFont="1" applyFill="1" applyBorder="1"/>
    <xf numFmtId="0" fontId="48" fillId="0" borderId="80" xfId="0" applyFont="1" applyFill="1" applyBorder="1" applyAlignment="1">
      <alignment horizontal="center" vertical="center"/>
    </xf>
    <xf numFmtId="0" fontId="48" fillId="11" borderId="0" xfId="0" applyFont="1" applyFill="1" applyBorder="1" applyAlignment="1">
      <alignment horizontal="center" vertical="center"/>
    </xf>
    <xf numFmtId="166" fontId="47" fillId="11" borderId="1" xfId="3" applyNumberFormat="1" applyFont="1" applyFill="1" applyBorder="1" applyAlignment="1">
      <alignment horizontal="left" vertical="center"/>
    </xf>
    <xf numFmtId="0" fontId="47" fillId="11" borderId="1" xfId="0" applyFont="1" applyFill="1" applyBorder="1" applyAlignment="1">
      <alignment horizontal="center"/>
    </xf>
    <xf numFmtId="0" fontId="0" fillId="5" borderId="0" xfId="0" applyFill="1"/>
    <xf numFmtId="0" fontId="0" fillId="0" borderId="70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50" fillId="5" borderId="82" xfId="0" applyFont="1" applyFill="1" applyBorder="1" applyAlignment="1">
      <alignment horizontal="center" vertical="center"/>
    </xf>
    <xf numFmtId="0" fontId="42" fillId="0" borderId="75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/>
    </xf>
    <xf numFmtId="166" fontId="43" fillId="0" borderId="68" xfId="3" applyNumberFormat="1" applyFont="1" applyFill="1" applyBorder="1" applyAlignment="1">
      <alignment horizontal="left" vertical="center" wrapText="1"/>
    </xf>
    <xf numFmtId="166" fontId="0" fillId="0" borderId="78" xfId="0" applyNumberFormat="1" applyFill="1" applyBorder="1"/>
    <xf numFmtId="0" fontId="42" fillId="0" borderId="73" xfId="0" applyFont="1" applyFill="1" applyBorder="1" applyAlignment="1">
      <alignment horizontal="center"/>
    </xf>
    <xf numFmtId="166" fontId="43" fillId="0" borderId="1" xfId="3" applyNumberFormat="1" applyFont="1" applyFill="1" applyBorder="1" applyAlignment="1">
      <alignment horizontal="left" vertical="center" wrapText="1"/>
    </xf>
    <xf numFmtId="0" fontId="42" fillId="0" borderId="14" xfId="0" applyFont="1" applyFill="1" applyBorder="1" applyAlignment="1">
      <alignment horizontal="center"/>
    </xf>
    <xf numFmtId="166" fontId="42" fillId="0" borderId="59" xfId="3" applyNumberFormat="1" applyFont="1" applyFill="1" applyBorder="1" applyAlignment="1">
      <alignment horizontal="left" vertical="center"/>
    </xf>
    <xf numFmtId="0" fontId="50" fillId="0" borderId="8" xfId="0" applyFont="1" applyFill="1" applyBorder="1" applyAlignment="1">
      <alignment horizontal="center" vertical="center"/>
    </xf>
    <xf numFmtId="166" fontId="50" fillId="5" borderId="8" xfId="0" applyNumberFormat="1" applyFont="1" applyFill="1" applyBorder="1" applyAlignment="1">
      <alignment horizontal="center" vertical="center"/>
    </xf>
    <xf numFmtId="49" fontId="42" fillId="5" borderId="68" xfId="0" applyNumberFormat="1" applyFont="1" applyFill="1" applyBorder="1" applyAlignment="1">
      <alignment horizontal="center"/>
    </xf>
    <xf numFmtId="3" fontId="42" fillId="0" borderId="68" xfId="0" applyNumberFormat="1" applyFont="1" applyFill="1" applyBorder="1"/>
    <xf numFmtId="41" fontId="43" fillId="0" borderId="68" xfId="1" applyFont="1" applyFill="1" applyBorder="1"/>
    <xf numFmtId="49" fontId="42" fillId="5" borderId="59" xfId="0" applyNumberFormat="1" applyFont="1" applyFill="1" applyBorder="1" applyAlignment="1">
      <alignment horizontal="center"/>
    </xf>
    <xf numFmtId="3" fontId="42" fillId="0" borderId="59" xfId="0" applyNumberFormat="1" applyFont="1" applyFill="1" applyBorder="1"/>
    <xf numFmtId="0" fontId="41" fillId="5" borderId="69" xfId="0" applyFont="1" applyFill="1" applyBorder="1"/>
    <xf numFmtId="0" fontId="39" fillId="5" borderId="8" xfId="0" applyFont="1" applyFill="1" applyBorder="1" applyAlignment="1">
      <alignment horizontal="center"/>
    </xf>
    <xf numFmtId="0" fontId="39" fillId="5" borderId="8" xfId="0" applyFont="1" applyFill="1" applyBorder="1"/>
    <xf numFmtId="0" fontId="50" fillId="0" borderId="0" xfId="0" applyFont="1" applyFill="1"/>
    <xf numFmtId="166" fontId="43" fillId="0" borderId="14" xfId="3" applyNumberFormat="1" applyFont="1" applyFill="1" applyBorder="1" applyAlignment="1">
      <alignment horizontal="left" vertical="center" wrapText="1"/>
    </xf>
    <xf numFmtId="166" fontId="43" fillId="0" borderId="14" xfId="3" applyNumberFormat="1" applyFont="1" applyFill="1" applyBorder="1" applyAlignment="1">
      <alignment horizontal="left" vertical="center"/>
    </xf>
    <xf numFmtId="166" fontId="0" fillId="0" borderId="60" xfId="0" applyNumberFormat="1" applyFill="1" applyBorder="1"/>
    <xf numFmtId="166" fontId="0" fillId="0" borderId="83" xfId="0" applyNumberFormat="1" applyFill="1" applyBorder="1"/>
    <xf numFmtId="166" fontId="43" fillId="0" borderId="1" xfId="3" applyNumberFormat="1" applyFont="1" applyFill="1" applyBorder="1" applyAlignment="1">
      <alignment horizontal="left" vertical="center"/>
    </xf>
    <xf numFmtId="166" fontId="0" fillId="0" borderId="1" xfId="0" applyNumberFormat="1" applyFill="1" applyBorder="1"/>
    <xf numFmtId="0" fontId="0" fillId="0" borderId="1" xfId="0" applyFill="1" applyBorder="1"/>
    <xf numFmtId="0" fontId="10" fillId="0" borderId="33" xfId="10" applyFill="1" applyBorder="1" applyAlignment="1">
      <alignment horizontal="center" vertical="center"/>
    </xf>
    <xf numFmtId="0" fontId="43" fillId="0" borderId="0" xfId="0" applyFont="1" applyFill="1"/>
    <xf numFmtId="41" fontId="43" fillId="0" borderId="0" xfId="1" applyFont="1" applyFill="1"/>
    <xf numFmtId="166" fontId="42" fillId="0" borderId="1" xfId="3" applyNumberFormat="1" applyFont="1" applyFill="1" applyBorder="1" applyAlignment="1">
      <alignment horizontal="center" vertical="center"/>
    </xf>
    <xf numFmtId="41" fontId="43" fillId="0" borderId="74" xfId="1" applyFont="1" applyFill="1" applyBorder="1"/>
    <xf numFmtId="164" fontId="43" fillId="0" borderId="0" xfId="0" applyNumberFormat="1" applyFont="1" applyFill="1"/>
    <xf numFmtId="0" fontId="43" fillId="0" borderId="1" xfId="0" applyFont="1" applyFill="1" applyBorder="1"/>
    <xf numFmtId="3" fontId="43" fillId="0" borderId="1" xfId="0" applyNumberFormat="1" applyFont="1" applyFill="1" applyBorder="1"/>
    <xf numFmtId="0" fontId="43" fillId="0" borderId="1" xfId="0" applyFont="1" applyFill="1" applyBorder="1" applyAlignment="1">
      <alignment horizontal="center"/>
    </xf>
    <xf numFmtId="41" fontId="51" fillId="0" borderId="1" xfId="1" applyFont="1" applyFill="1" applyBorder="1"/>
    <xf numFmtId="3" fontId="37" fillId="0" borderId="57" xfId="0" applyNumberFormat="1" applyFont="1" applyFill="1" applyBorder="1"/>
    <xf numFmtId="3" fontId="37" fillId="0" borderId="40" xfId="0" applyNumberFormat="1" applyFont="1" applyFill="1" applyBorder="1"/>
    <xf numFmtId="3" fontId="37" fillId="0" borderId="61" xfId="0" applyNumberFormat="1" applyFont="1" applyFill="1" applyBorder="1"/>
    <xf numFmtId="164" fontId="10" fillId="0" borderId="0" xfId="6" applyFont="1" applyFill="1" applyBorder="1" applyAlignment="1">
      <alignment vertical="center"/>
    </xf>
    <xf numFmtId="169" fontId="22" fillId="0" borderId="20" xfId="3" applyNumberFormat="1" applyFont="1" applyFill="1" applyBorder="1" applyAlignment="1">
      <alignment horizontal="center" vertical="center"/>
    </xf>
    <xf numFmtId="3" fontId="40" fillId="5" borderId="0" xfId="0" applyNumberFormat="1" applyFont="1" applyFill="1" applyAlignment="1"/>
    <xf numFmtId="3" fontId="43" fillId="0" borderId="14" xfId="3" applyNumberFormat="1" applyFont="1" applyFill="1" applyBorder="1" applyAlignment="1">
      <alignment horizontal="center" vertical="center"/>
    </xf>
    <xf numFmtId="3" fontId="43" fillId="0" borderId="1" xfId="3" applyNumberFormat="1" applyFont="1" applyFill="1" applyBorder="1" applyAlignment="1">
      <alignment horizontal="center" vertical="center" wrapText="1"/>
    </xf>
    <xf numFmtId="3" fontId="43" fillId="0" borderId="1" xfId="1" applyNumberFormat="1" applyFont="1" applyFill="1" applyBorder="1"/>
    <xf numFmtId="164" fontId="10" fillId="0" borderId="0" xfId="6" applyFont="1" applyFill="1" applyAlignment="1">
      <alignment horizontal="center" vertical="center"/>
    </xf>
    <xf numFmtId="41" fontId="43" fillId="0" borderId="1" xfId="1" applyFont="1" applyFill="1" applyBorder="1" applyAlignment="1">
      <alignment horizontal="center"/>
    </xf>
    <xf numFmtId="164" fontId="12" fillId="0" borderId="0" xfId="6" applyFont="1" applyFill="1" applyAlignment="1">
      <alignment vertical="center"/>
    </xf>
    <xf numFmtId="0" fontId="10" fillId="0" borderId="0" xfId="5" applyFill="1" applyAlignment="1">
      <alignment horizontal="left" vertical="center"/>
    </xf>
    <xf numFmtId="0" fontId="10" fillId="0" borderId="0" xfId="5" applyFill="1" applyAlignment="1">
      <alignment horizontal="center" vertical="center"/>
    </xf>
    <xf numFmtId="0" fontId="12" fillId="0" borderId="18" xfId="5" applyFont="1" applyFill="1" applyBorder="1" applyAlignment="1">
      <alignment horizontal="center" vertical="center"/>
    </xf>
    <xf numFmtId="0" fontId="12" fillId="0" borderId="29" xfId="5" applyFont="1" applyFill="1" applyBorder="1" applyAlignment="1">
      <alignment horizontal="center" vertical="center"/>
    </xf>
    <xf numFmtId="0" fontId="12" fillId="0" borderId="18" xfId="6" applyNumberFormat="1" applyFont="1" applyFill="1" applyBorder="1" applyAlignment="1">
      <alignment horizontal="center" vertical="center" wrapText="1"/>
    </xf>
    <xf numFmtId="0" fontId="12" fillId="0" borderId="8" xfId="6" applyNumberFormat="1" applyFont="1" applyFill="1" applyBorder="1" applyAlignment="1">
      <alignment horizontal="center" vertical="center" wrapText="1"/>
    </xf>
    <xf numFmtId="0" fontId="20" fillId="0" borderId="3" xfId="5" applyFont="1" applyFill="1" applyBorder="1" applyAlignment="1">
      <alignment horizontal="center" vertical="center"/>
    </xf>
    <xf numFmtId="0" fontId="20" fillId="0" borderId="3" xfId="6" applyNumberFormat="1" applyFont="1" applyFill="1" applyBorder="1" applyAlignment="1">
      <alignment horizontal="center" vertical="center"/>
    </xf>
    <xf numFmtId="0" fontId="21" fillId="0" borderId="0" xfId="5" applyFont="1" applyFill="1" applyAlignment="1">
      <alignment horizontal="center" vertical="center"/>
    </xf>
    <xf numFmtId="0" fontId="22" fillId="0" borderId="19" xfId="0" applyFont="1" applyFill="1" applyBorder="1" applyAlignment="1">
      <alignment horizontal="left" vertical="center"/>
    </xf>
    <xf numFmtId="166" fontId="22" fillId="0" borderId="19" xfId="3" applyNumberFormat="1" applyFont="1" applyFill="1" applyBorder="1" applyAlignment="1">
      <alignment horizontal="right" vertical="center"/>
    </xf>
    <xf numFmtId="169" fontId="22" fillId="0" borderId="19" xfId="3" applyNumberFormat="1" applyFont="1" applyFill="1" applyBorder="1" applyAlignment="1">
      <alignment horizontal="right" vertical="center"/>
    </xf>
    <xf numFmtId="167" fontId="14" fillId="0" borderId="37" xfId="5" applyNumberFormat="1" applyFont="1" applyFill="1" applyBorder="1" applyAlignment="1">
      <alignment horizontal="center" vertical="center"/>
    </xf>
    <xf numFmtId="0" fontId="14" fillId="0" borderId="19" xfId="10" applyFont="1" applyFill="1" applyBorder="1" applyAlignment="1">
      <alignment horizontal="center" vertical="center"/>
    </xf>
    <xf numFmtId="0" fontId="10" fillId="0" borderId="19" xfId="10" applyFill="1" applyBorder="1" applyAlignment="1">
      <alignment horizontal="center" vertical="center"/>
    </xf>
    <xf numFmtId="0" fontId="10" fillId="0" borderId="20" xfId="10" applyFill="1" applyBorder="1" applyAlignment="1">
      <alignment horizontal="center" vertical="center"/>
    </xf>
    <xf numFmtId="170" fontId="14" fillId="0" borderId="20" xfId="5" quotePrefix="1" applyNumberFormat="1" applyFont="1" applyFill="1" applyBorder="1" applyAlignment="1">
      <alignment horizontal="center" vertical="center"/>
    </xf>
    <xf numFmtId="170" fontId="14" fillId="0" borderId="31" xfId="5" quotePrefix="1" applyNumberFormat="1" applyFont="1" applyFill="1" applyBorder="1" applyAlignment="1">
      <alignment horizontal="center" vertical="center"/>
    </xf>
    <xf numFmtId="166" fontId="10" fillId="0" borderId="20" xfId="8" applyNumberFormat="1" applyFont="1" applyFill="1" applyBorder="1" applyAlignment="1">
      <alignment vertical="center"/>
    </xf>
    <xf numFmtId="169" fontId="22" fillId="0" borderId="20" xfId="3" applyNumberFormat="1" applyFont="1" applyFill="1" applyBorder="1" applyAlignment="1">
      <alignment horizontal="right" vertical="center"/>
    </xf>
    <xf numFmtId="0" fontId="14" fillId="0" borderId="20" xfId="10" applyFont="1" applyFill="1" applyBorder="1" applyAlignment="1">
      <alignment horizontal="center" vertical="center"/>
    </xf>
    <xf numFmtId="169" fontId="22" fillId="0" borderId="20" xfId="3" quotePrefix="1" applyNumberFormat="1" applyFont="1" applyFill="1" applyBorder="1" applyAlignment="1">
      <alignment horizontal="center" vertical="center"/>
    </xf>
    <xf numFmtId="166" fontId="22" fillId="0" borderId="21" xfId="3" applyNumberFormat="1" applyFont="1" applyFill="1" applyBorder="1" applyAlignment="1">
      <alignment horizontal="right" vertical="center"/>
    </xf>
    <xf numFmtId="169" fontId="22" fillId="0" borderId="21" xfId="3" applyNumberFormat="1" applyFont="1" applyFill="1" applyBorder="1" applyAlignment="1">
      <alignment horizontal="right" vertical="center"/>
    </xf>
    <xf numFmtId="166" fontId="22" fillId="0" borderId="21" xfId="3" quotePrefix="1" applyNumberFormat="1" applyFont="1" applyFill="1" applyBorder="1" applyAlignment="1">
      <alignment horizontal="right" vertical="center"/>
    </xf>
    <xf numFmtId="169" fontId="22" fillId="0" borderId="35" xfId="3" quotePrefix="1" applyNumberFormat="1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vertical="center"/>
    </xf>
    <xf numFmtId="0" fontId="30" fillId="0" borderId="20" xfId="0" applyFont="1" applyFill="1" applyBorder="1" applyAlignment="1">
      <alignment horizontal="center" vertical="center"/>
    </xf>
    <xf numFmtId="3" fontId="22" fillId="0" borderId="35" xfId="3" quotePrefix="1" applyNumberFormat="1" applyFont="1" applyFill="1" applyBorder="1" applyAlignment="1">
      <alignment horizontal="center" vertical="center"/>
    </xf>
    <xf numFmtId="0" fontId="29" fillId="0" borderId="21" xfId="0" applyFont="1" applyFill="1" applyBorder="1" applyAlignment="1">
      <alignment vertical="center"/>
    </xf>
    <xf numFmtId="167" fontId="14" fillId="0" borderId="14" xfId="5" applyNumberFormat="1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10" fillId="0" borderId="49" xfId="10" applyFill="1" applyBorder="1" applyAlignment="1">
      <alignment horizontal="center" vertical="center"/>
    </xf>
    <xf numFmtId="167" fontId="14" fillId="0" borderId="20" xfId="5" applyNumberFormat="1" applyFont="1" applyFill="1" applyBorder="1" applyAlignment="1">
      <alignment horizontal="left" vertical="center"/>
    </xf>
    <xf numFmtId="167" fontId="14" fillId="0" borderId="20" xfId="5" applyNumberFormat="1" applyFont="1" applyFill="1" applyBorder="1" applyAlignment="1">
      <alignment horizontal="center" vertical="center"/>
    </xf>
    <xf numFmtId="0" fontId="10" fillId="0" borderId="21" xfId="10" applyFill="1" applyBorder="1" applyAlignment="1">
      <alignment horizontal="center" vertical="center"/>
    </xf>
    <xf numFmtId="166" fontId="10" fillId="0" borderId="21" xfId="8" applyNumberFormat="1" applyFont="1" applyFill="1" applyBorder="1" applyAlignment="1">
      <alignment vertical="center"/>
    </xf>
    <xf numFmtId="167" fontId="14" fillId="0" borderId="21" xfId="5" applyNumberFormat="1" applyFont="1" applyFill="1" applyBorder="1" applyAlignment="1">
      <alignment horizontal="center" vertical="center"/>
    </xf>
    <xf numFmtId="0" fontId="14" fillId="0" borderId="21" xfId="10" applyFont="1" applyFill="1" applyBorder="1" applyAlignment="1">
      <alignment horizontal="center" vertical="center"/>
    </xf>
    <xf numFmtId="0" fontId="12" fillId="0" borderId="34" xfId="5" quotePrefix="1" applyFont="1" applyFill="1" applyBorder="1" applyAlignment="1">
      <alignment vertical="center"/>
    </xf>
    <xf numFmtId="0" fontId="12" fillId="0" borderId="36" xfId="5" quotePrefix="1" applyFont="1" applyFill="1" applyBorder="1" applyAlignment="1">
      <alignment vertical="center"/>
    </xf>
    <xf numFmtId="166" fontId="12" fillId="0" borderId="34" xfId="3" applyNumberFormat="1" applyFont="1" applyFill="1" applyBorder="1" applyAlignment="1">
      <alignment vertical="center"/>
    </xf>
    <xf numFmtId="0" fontId="12" fillId="0" borderId="0" xfId="5" applyFont="1" applyFill="1" applyAlignment="1">
      <alignment vertical="center"/>
    </xf>
    <xf numFmtId="0" fontId="12" fillId="0" borderId="0" xfId="5" applyFont="1" applyFill="1"/>
    <xf numFmtId="0" fontId="10" fillId="0" borderId="0" xfId="5" applyFill="1"/>
    <xf numFmtId="0" fontId="10" fillId="0" borderId="0" xfId="11" applyFill="1"/>
    <xf numFmtId="0" fontId="10" fillId="0" borderId="0" xfId="11" applyFill="1" applyAlignment="1">
      <alignment horizontal="left"/>
    </xf>
    <xf numFmtId="0" fontId="10" fillId="0" borderId="0" xfId="11" applyFill="1" applyAlignment="1">
      <alignment vertical="center"/>
    </xf>
    <xf numFmtId="1" fontId="14" fillId="0" borderId="0" xfId="12" applyNumberFormat="1" applyFont="1" applyFill="1" applyAlignment="1">
      <alignment horizontal="left" vertical="center"/>
    </xf>
    <xf numFmtId="0" fontId="14" fillId="0" borderId="0" xfId="13" applyFont="1" applyFill="1"/>
    <xf numFmtId="0" fontId="14" fillId="0" borderId="0" xfId="5" applyFont="1" applyFill="1" applyAlignment="1">
      <alignment horizontal="left"/>
    </xf>
    <xf numFmtId="0" fontId="14" fillId="0" borderId="0" xfId="13" applyFont="1" applyFill="1" applyAlignment="1">
      <alignment vertical="center"/>
    </xf>
    <xf numFmtId="0" fontId="14" fillId="0" borderId="0" xfId="5" applyFont="1" applyFill="1"/>
    <xf numFmtId="0" fontId="14" fillId="0" borderId="0" xfId="14" applyFont="1" applyFill="1"/>
    <xf numFmtId="0" fontId="14" fillId="0" borderId="0" xfId="15" applyFill="1" applyAlignment="1">
      <alignment vertical="center"/>
    </xf>
    <xf numFmtId="0" fontId="14" fillId="0" borderId="0" xfId="16" applyFont="1" applyFill="1"/>
    <xf numFmtId="0" fontId="14" fillId="0" borderId="0" xfId="13" applyFont="1" applyFill="1" applyAlignment="1" applyProtection="1">
      <alignment vertical="center"/>
      <protection locked="0"/>
    </xf>
    <xf numFmtId="0" fontId="14" fillId="0" borderId="0" xfId="17" applyFont="1" applyFill="1" applyAlignment="1" applyProtection="1">
      <alignment vertical="center"/>
      <protection locked="0"/>
    </xf>
    <xf numFmtId="0" fontId="17" fillId="0" borderId="0" xfId="14" applyFont="1" applyFill="1"/>
    <xf numFmtId="0" fontId="14" fillId="0" borderId="0" xfId="14" applyFont="1" applyFill="1" applyAlignment="1">
      <alignment horizontal="left"/>
    </xf>
    <xf numFmtId="0" fontId="14" fillId="0" borderId="0" xfId="5" applyFont="1" applyFill="1" applyAlignment="1">
      <alignment vertical="center"/>
    </xf>
    <xf numFmtId="0" fontId="14" fillId="0" borderId="0" xfId="13" applyFont="1" applyFill="1" applyAlignment="1">
      <alignment horizontal="left"/>
    </xf>
    <xf numFmtId="0" fontId="10" fillId="0" borderId="0" xfId="5" applyFill="1" applyAlignment="1" applyProtection="1">
      <alignment horizontal="left" vertical="center"/>
      <protection locked="0"/>
    </xf>
    <xf numFmtId="0" fontId="14" fillId="0" borderId="0" xfId="5" applyFont="1" applyFill="1" applyAlignment="1" applyProtection="1">
      <alignment vertical="center"/>
      <protection locked="0"/>
    </xf>
    <xf numFmtId="0" fontId="14" fillId="0" borderId="0" xfId="13" applyFont="1" applyFill="1" applyAlignment="1" applyProtection="1">
      <alignment horizontal="left" vertical="center"/>
      <protection locked="0"/>
    </xf>
    <xf numFmtId="3" fontId="23" fillId="0" borderId="1" xfId="0" applyNumberFormat="1" applyFont="1" applyFill="1" applyBorder="1"/>
    <xf numFmtId="3" fontId="38" fillId="0" borderId="1" xfId="0" applyNumberFormat="1" applyFont="1" applyFill="1" applyBorder="1"/>
    <xf numFmtId="0" fontId="23" fillId="0" borderId="1" xfId="0" applyFont="1" applyFill="1" applyBorder="1"/>
    <xf numFmtId="164" fontId="42" fillId="0" borderId="59" xfId="9" applyFont="1" applyFill="1" applyBorder="1"/>
    <xf numFmtId="41" fontId="23" fillId="0" borderId="1" xfId="1" applyFont="1" applyFill="1" applyBorder="1"/>
    <xf numFmtId="3" fontId="0" fillId="0" borderId="1" xfId="0" applyNumberFormat="1" applyFill="1" applyBorder="1"/>
    <xf numFmtId="3" fontId="0" fillId="0" borderId="1" xfId="0" applyNumberFormat="1" applyFill="1" applyBorder="1" applyAlignment="1">
      <alignment horizontal="center"/>
    </xf>
    <xf numFmtId="41" fontId="51" fillId="0" borderId="1" xfId="1" applyFont="1" applyFill="1" applyBorder="1" applyAlignment="1">
      <alignment horizontal="center"/>
    </xf>
    <xf numFmtId="0" fontId="43" fillId="0" borderId="0" xfId="0" applyFont="1" applyFill="1" applyAlignment="1">
      <alignment horizontal="center"/>
    </xf>
    <xf numFmtId="0" fontId="47" fillId="0" borderId="0" xfId="0" applyFont="1" applyFill="1" applyBorder="1" applyAlignment="1">
      <alignment horizontal="center" vertical="center"/>
    </xf>
    <xf numFmtId="166" fontId="42" fillId="0" borderId="14" xfId="3" applyNumberFormat="1" applyFont="1" applyFill="1" applyBorder="1" applyAlignment="1">
      <alignment horizontal="left" vertical="center"/>
    </xf>
    <xf numFmtId="3" fontId="30" fillId="12" borderId="1" xfId="0" applyNumberFormat="1" applyFont="1" applyFill="1" applyBorder="1"/>
    <xf numFmtId="3" fontId="42" fillId="12" borderId="1" xfId="0" applyNumberFormat="1" applyFont="1" applyFill="1" applyBorder="1"/>
    <xf numFmtId="166" fontId="43" fillId="12" borderId="68" xfId="3" applyNumberFormat="1" applyFont="1" applyFill="1" applyBorder="1" applyAlignment="1">
      <alignment horizontal="left" vertical="center"/>
    </xf>
    <xf numFmtId="41" fontId="43" fillId="12" borderId="1" xfId="1" applyFont="1" applyFill="1" applyBorder="1"/>
    <xf numFmtId="166" fontId="42" fillId="12" borderId="1" xfId="3" applyNumberFormat="1" applyFont="1" applyFill="1" applyBorder="1" applyAlignment="1">
      <alignment horizontal="left" vertical="center"/>
    </xf>
    <xf numFmtId="166" fontId="42" fillId="13" borderId="1" xfId="3" applyNumberFormat="1" applyFont="1" applyFill="1" applyBorder="1" applyAlignment="1">
      <alignment horizontal="left" vertical="center"/>
    </xf>
    <xf numFmtId="0" fontId="43" fillId="13" borderId="1" xfId="0" applyFont="1" applyFill="1" applyBorder="1" applyAlignment="1">
      <alignment horizontal="center"/>
    </xf>
    <xf numFmtId="41" fontId="43" fillId="13" borderId="1" xfId="1" applyFont="1" applyFill="1" applyBorder="1"/>
    <xf numFmtId="164" fontId="43" fillId="13" borderId="0" xfId="0" applyNumberFormat="1" applyFont="1" applyFill="1"/>
    <xf numFmtId="41" fontId="43" fillId="13" borderId="0" xfId="1" applyFont="1" applyFill="1"/>
    <xf numFmtId="0" fontId="43" fillId="13" borderId="0" xfId="0" applyFont="1" applyFill="1"/>
    <xf numFmtId="0" fontId="0" fillId="0" borderId="70" xfId="0" applyFill="1" applyBorder="1" applyAlignment="1">
      <alignment horizontal="center" vertical="center"/>
    </xf>
    <xf numFmtId="0" fontId="50" fillId="0" borderId="8" xfId="0" applyFont="1" applyFill="1" applyBorder="1" applyAlignment="1">
      <alignment horizontal="center" vertical="center"/>
    </xf>
    <xf numFmtId="0" fontId="22" fillId="12" borderId="20" xfId="0" applyFont="1" applyFill="1" applyBorder="1" applyAlignment="1">
      <alignment vertical="center"/>
    </xf>
    <xf numFmtId="168" fontId="10" fillId="12" borderId="20" xfId="6" applyNumberFormat="1" applyFont="1" applyFill="1" applyBorder="1" applyAlignment="1">
      <alignment horizontal="center" vertical="center"/>
    </xf>
    <xf numFmtId="169" fontId="14" fillId="12" borderId="20" xfId="6" quotePrefix="1" applyNumberFormat="1" applyFont="1" applyFill="1" applyBorder="1" applyAlignment="1" applyProtection="1">
      <alignment horizontal="center" vertical="center"/>
    </xf>
    <xf numFmtId="167" fontId="14" fillId="12" borderId="20" xfId="5" applyNumberFormat="1" applyFont="1" applyFill="1" applyBorder="1" applyAlignment="1">
      <alignment horizontal="left" vertical="center"/>
    </xf>
    <xf numFmtId="0" fontId="14" fillId="12" borderId="20" xfId="10" applyFont="1" applyFill="1" applyBorder="1" applyAlignment="1">
      <alignment horizontal="center" vertical="center"/>
    </xf>
    <xf numFmtId="0" fontId="10" fillId="12" borderId="20" xfId="10" applyFill="1" applyBorder="1" applyAlignment="1">
      <alignment horizontal="center" vertical="center"/>
    </xf>
    <xf numFmtId="170" fontId="14" fillId="12" borderId="20" xfId="5" quotePrefix="1" applyNumberFormat="1" applyFont="1" applyFill="1" applyBorder="1" applyAlignment="1">
      <alignment horizontal="center" vertical="center"/>
    </xf>
    <xf numFmtId="164" fontId="10" fillId="12" borderId="20" xfId="6" applyFont="1" applyFill="1" applyBorder="1" applyAlignment="1">
      <alignment vertical="center"/>
    </xf>
    <xf numFmtId="164" fontId="14" fillId="12" borderId="20" xfId="6" applyFont="1" applyFill="1" applyBorder="1" applyAlignment="1" applyProtection="1">
      <alignment horizontal="left" vertical="center"/>
    </xf>
    <xf numFmtId="166" fontId="10" fillId="12" borderId="20" xfId="8" applyNumberFormat="1" applyFont="1" applyFill="1" applyBorder="1" applyAlignment="1">
      <alignment vertical="center"/>
    </xf>
    <xf numFmtId="3" fontId="37" fillId="12" borderId="40" xfId="0" applyNumberFormat="1" applyFont="1" applyFill="1" applyBorder="1"/>
    <xf numFmtId="0" fontId="50" fillId="5" borderId="0" xfId="0" applyFont="1" applyFill="1"/>
    <xf numFmtId="0" fontId="0" fillId="12" borderId="0" xfId="0" applyFill="1"/>
    <xf numFmtId="0" fontId="43" fillId="14" borderId="0" xfId="0" applyFont="1" applyFill="1"/>
    <xf numFmtId="166" fontId="42" fillId="14" borderId="1" xfId="3" applyNumberFormat="1" applyFont="1" applyFill="1" applyBorder="1" applyAlignment="1">
      <alignment horizontal="left" vertical="center"/>
    </xf>
    <xf numFmtId="0" fontId="43" fillId="14" borderId="1" xfId="0" applyFont="1" applyFill="1" applyBorder="1" applyAlignment="1">
      <alignment horizontal="center"/>
    </xf>
    <xf numFmtId="41" fontId="43" fillId="14" borderId="1" xfId="1" applyFont="1" applyFill="1" applyBorder="1"/>
    <xf numFmtId="164" fontId="43" fillId="14" borderId="0" xfId="0" applyNumberFormat="1" applyFont="1" applyFill="1"/>
    <xf numFmtId="41" fontId="43" fillId="14" borderId="0" xfId="1" applyFont="1" applyFill="1"/>
    <xf numFmtId="0" fontId="10" fillId="12" borderId="0" xfId="5" applyFill="1" applyAlignment="1">
      <alignment vertical="center"/>
    </xf>
    <xf numFmtId="164" fontId="10" fillId="0" borderId="1" xfId="5" applyNumberFormat="1" applyFill="1" applyBorder="1" applyAlignment="1">
      <alignment vertical="center"/>
    </xf>
    <xf numFmtId="171" fontId="43" fillId="0" borderId="1" xfId="0" applyNumberFormat="1" applyFont="1" applyFill="1" applyBorder="1"/>
    <xf numFmtId="166" fontId="22" fillId="0" borderId="20" xfId="3" quotePrefix="1" applyNumberFormat="1" applyFont="1" applyFill="1" applyBorder="1" applyAlignment="1">
      <alignment horizontal="right" vertical="center"/>
    </xf>
    <xf numFmtId="168" fontId="52" fillId="0" borderId="21" xfId="6" quotePrefix="1" applyNumberFormat="1" applyFont="1" applyFill="1" applyBorder="1" applyAlignment="1">
      <alignment horizontal="center" vertical="center"/>
    </xf>
    <xf numFmtId="0" fontId="53" fillId="0" borderId="20" xfId="0" applyFont="1" applyFill="1" applyBorder="1" applyAlignment="1">
      <alignment vertical="center"/>
    </xf>
    <xf numFmtId="168" fontId="52" fillId="0" borderId="20" xfId="6" quotePrefix="1" applyNumberFormat="1" applyFont="1" applyFill="1" applyBorder="1" applyAlignment="1">
      <alignment horizontal="center" vertical="center"/>
    </xf>
    <xf numFmtId="168" fontId="10" fillId="0" borderId="20" xfId="6" quotePrefix="1" applyNumberFormat="1" applyFont="1" applyFill="1" applyBorder="1" applyAlignment="1">
      <alignment horizontal="center" vertical="center"/>
    </xf>
    <xf numFmtId="166" fontId="43" fillId="0" borderId="68" xfId="3" applyNumberFormat="1" applyFont="1" applyFill="1" applyBorder="1" applyAlignment="1">
      <alignment horizontal="center" vertical="center"/>
    </xf>
    <xf numFmtId="166" fontId="43" fillId="0" borderId="1" xfId="3" applyNumberFormat="1" applyFont="1" applyFill="1" applyBorder="1" applyAlignment="1">
      <alignment horizontal="center" vertical="center" wrapText="1"/>
    </xf>
    <xf numFmtId="3" fontId="43" fillId="0" borderId="14" xfId="3" applyNumberFormat="1" applyFont="1" applyFill="1" applyBorder="1" applyAlignment="1">
      <alignment vertical="center"/>
    </xf>
    <xf numFmtId="3" fontId="43" fillId="0" borderId="1" xfId="3" applyNumberFormat="1" applyFont="1" applyFill="1" applyBorder="1" applyAlignment="1">
      <alignment vertical="center" wrapText="1"/>
    </xf>
    <xf numFmtId="3" fontId="0" fillId="0" borderId="1" xfId="0" applyNumberFormat="1" applyFill="1" applyBorder="1" applyAlignment="1"/>
    <xf numFmtId="166" fontId="0" fillId="0" borderId="0" xfId="0" applyNumberFormat="1" applyFill="1"/>
    <xf numFmtId="166" fontId="0" fillId="0" borderId="1" xfId="3" applyNumberFormat="1" applyFont="1" applyFill="1" applyBorder="1"/>
    <xf numFmtId="166" fontId="0" fillId="5" borderId="0" xfId="3" applyNumberFormat="1" applyFont="1" applyFill="1"/>
    <xf numFmtId="164" fontId="34" fillId="0" borderId="0" xfId="6" applyFont="1" applyFill="1" applyAlignment="1">
      <alignment horizontal="center" vertical="center"/>
    </xf>
    <xf numFmtId="164" fontId="35" fillId="0" borderId="0" xfId="6" applyFont="1" applyFill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23" xfId="6" applyNumberFormat="1" applyFont="1" applyFill="1" applyBorder="1" applyAlignment="1">
      <alignment horizontal="center" vertical="center" wrapText="1"/>
    </xf>
    <xf numFmtId="0" fontId="12" fillId="0" borderId="52" xfId="6" applyNumberFormat="1" applyFont="1" applyFill="1" applyBorder="1" applyAlignment="1">
      <alignment horizontal="center" vertical="center" wrapText="1"/>
    </xf>
    <xf numFmtId="0" fontId="12" fillId="0" borderId="18" xfId="6" applyNumberFormat="1" applyFont="1" applyFill="1" applyBorder="1" applyAlignment="1">
      <alignment horizontal="center" vertical="center" wrapText="1"/>
    </xf>
    <xf numFmtId="0" fontId="12" fillId="0" borderId="4" xfId="6" applyNumberFormat="1" applyFont="1" applyFill="1" applyBorder="1" applyAlignment="1">
      <alignment horizontal="center" vertical="center" wrapText="1"/>
    </xf>
    <xf numFmtId="0" fontId="12" fillId="0" borderId="11" xfId="6" applyNumberFormat="1" applyFont="1" applyFill="1" applyBorder="1" applyAlignment="1">
      <alignment horizontal="center" vertical="center" wrapText="1"/>
    </xf>
    <xf numFmtId="0" fontId="12" fillId="0" borderId="5" xfId="6" applyNumberFormat="1" applyFont="1" applyFill="1" applyBorder="1" applyAlignment="1">
      <alignment horizontal="center" vertical="center" wrapText="1"/>
    </xf>
    <xf numFmtId="0" fontId="12" fillId="0" borderId="53" xfId="6" applyNumberFormat="1" applyFont="1" applyFill="1" applyBorder="1" applyAlignment="1">
      <alignment horizontal="center" vertical="center" wrapText="1"/>
    </xf>
    <xf numFmtId="0" fontId="12" fillId="0" borderId="50" xfId="6" applyNumberFormat="1" applyFont="1" applyFill="1" applyBorder="1" applyAlignment="1">
      <alignment horizontal="center" vertical="center" wrapText="1"/>
    </xf>
    <xf numFmtId="0" fontId="12" fillId="0" borderId="8" xfId="6" applyNumberFormat="1" applyFont="1" applyFill="1" applyBorder="1" applyAlignment="1">
      <alignment horizontal="center" vertical="center" wrapText="1"/>
    </xf>
    <xf numFmtId="0" fontId="12" fillId="0" borderId="24" xfId="6" applyNumberFormat="1" applyFont="1" applyFill="1" applyBorder="1" applyAlignment="1">
      <alignment horizontal="center" vertical="center" wrapText="1"/>
    </xf>
    <xf numFmtId="0" fontId="12" fillId="0" borderId="51" xfId="6" applyNumberFormat="1" applyFont="1" applyFill="1" applyBorder="1" applyAlignment="1">
      <alignment horizontal="center" vertical="center" wrapText="1"/>
    </xf>
    <xf numFmtId="0" fontId="12" fillId="0" borderId="28" xfId="6" applyNumberFormat="1" applyFont="1" applyFill="1" applyBorder="1" applyAlignment="1">
      <alignment horizontal="center" vertical="center" wrapText="1"/>
    </xf>
    <xf numFmtId="0" fontId="12" fillId="0" borderId="7" xfId="6" applyNumberFormat="1" applyFont="1" applyFill="1" applyBorder="1" applyAlignment="1">
      <alignment horizontal="center" vertical="center" wrapText="1"/>
    </xf>
    <xf numFmtId="0" fontId="12" fillId="0" borderId="14" xfId="6" applyNumberFormat="1" applyFont="1" applyFill="1" applyBorder="1" applyAlignment="1">
      <alignment horizontal="center" vertical="center" wrapText="1"/>
    </xf>
    <xf numFmtId="0" fontId="12" fillId="0" borderId="2" xfId="6" applyNumberFormat="1" applyFont="1" applyFill="1" applyBorder="1" applyAlignment="1">
      <alignment horizontal="center" vertical="center"/>
    </xf>
    <xf numFmtId="0" fontId="12" fillId="0" borderId="16" xfId="6" applyNumberFormat="1" applyFont="1" applyFill="1" applyBorder="1" applyAlignment="1">
      <alignment horizontal="center" vertical="center"/>
    </xf>
    <xf numFmtId="0" fontId="12" fillId="0" borderId="6" xfId="6" applyNumberFormat="1" applyFont="1" applyFill="1" applyBorder="1" applyAlignment="1">
      <alignment horizontal="center" vertical="center"/>
    </xf>
    <xf numFmtId="0" fontId="12" fillId="0" borderId="17" xfId="6" applyNumberFormat="1" applyFont="1" applyFill="1" applyBorder="1" applyAlignment="1">
      <alignment horizontal="center" vertical="center"/>
    </xf>
    <xf numFmtId="0" fontId="12" fillId="0" borderId="7" xfId="6" applyNumberFormat="1" applyFont="1" applyFill="1" applyBorder="1" applyAlignment="1">
      <alignment horizontal="center" vertical="center"/>
    </xf>
    <xf numFmtId="0" fontId="12" fillId="0" borderId="18" xfId="6" applyNumberFormat="1" applyFont="1" applyFill="1" applyBorder="1" applyAlignment="1">
      <alignment horizontal="center" vertical="center"/>
    </xf>
    <xf numFmtId="0" fontId="12" fillId="0" borderId="23" xfId="6" applyNumberFormat="1" applyFont="1" applyFill="1" applyBorder="1" applyAlignment="1">
      <alignment horizontal="center" vertical="center"/>
    </xf>
    <xf numFmtId="0" fontId="12" fillId="0" borderId="25" xfId="6" applyNumberFormat="1" applyFont="1" applyFill="1" applyBorder="1" applyAlignment="1">
      <alignment horizontal="center" vertical="center"/>
    </xf>
    <xf numFmtId="0" fontId="12" fillId="0" borderId="3" xfId="6" applyNumberFormat="1" applyFont="1" applyFill="1" applyBorder="1" applyAlignment="1">
      <alignment horizontal="center" vertical="center" wrapText="1"/>
    </xf>
    <xf numFmtId="0" fontId="12" fillId="0" borderId="4" xfId="5" applyFont="1" applyFill="1" applyBorder="1" applyAlignment="1">
      <alignment horizontal="center" vertical="center"/>
    </xf>
    <xf numFmtId="0" fontId="12" fillId="0" borderId="10" xfId="5" applyFont="1" applyFill="1" applyBorder="1" applyAlignment="1">
      <alignment horizontal="center" vertical="center"/>
    </xf>
    <xf numFmtId="0" fontId="12" fillId="0" borderId="5" xfId="5" applyFont="1" applyFill="1" applyBorder="1" applyAlignment="1">
      <alignment horizontal="center" vertical="center"/>
    </xf>
    <xf numFmtId="0" fontId="12" fillId="0" borderId="15" xfId="5" applyFont="1" applyFill="1" applyBorder="1" applyAlignment="1">
      <alignment horizontal="center" vertical="center"/>
    </xf>
    <xf numFmtId="0" fontId="13" fillId="0" borderId="2" xfId="6" applyNumberFormat="1" applyFont="1" applyFill="1" applyBorder="1" applyAlignment="1">
      <alignment horizontal="center" vertical="center"/>
    </xf>
    <xf numFmtId="0" fontId="13" fillId="0" borderId="16" xfId="6" applyNumberFormat="1" applyFont="1" applyFill="1" applyBorder="1" applyAlignment="1">
      <alignment horizontal="center" vertical="center"/>
    </xf>
    <xf numFmtId="164" fontId="12" fillId="0" borderId="26" xfId="6" applyFont="1" applyFill="1" applyBorder="1" applyAlignment="1">
      <alignment horizontal="center" vertical="center"/>
    </xf>
    <xf numFmtId="164" fontId="12" fillId="0" borderId="27" xfId="6" applyFont="1" applyFill="1" applyBorder="1" applyAlignment="1">
      <alignment horizontal="center" vertical="center"/>
    </xf>
    <xf numFmtId="0" fontId="12" fillId="0" borderId="26" xfId="6" applyNumberFormat="1" applyFont="1" applyFill="1" applyBorder="1" applyAlignment="1">
      <alignment horizontal="center" vertical="center" wrapText="1"/>
    </xf>
    <xf numFmtId="0" fontId="12" fillId="0" borderId="27" xfId="6" applyNumberFormat="1" applyFont="1" applyFill="1" applyBorder="1" applyAlignment="1">
      <alignment horizontal="center" vertical="center"/>
    </xf>
    <xf numFmtId="0" fontId="12" fillId="0" borderId="10" xfId="6" applyNumberFormat="1" applyFont="1" applyFill="1" applyBorder="1" applyAlignment="1">
      <alignment horizontal="center" vertical="center" wrapText="1"/>
    </xf>
    <xf numFmtId="0" fontId="12" fillId="0" borderId="15" xfId="6" applyNumberFormat="1" applyFont="1" applyFill="1" applyBorder="1" applyAlignment="1">
      <alignment horizontal="center" vertical="center"/>
    </xf>
    <xf numFmtId="0" fontId="12" fillId="0" borderId="2" xfId="5" applyFont="1" applyFill="1" applyBorder="1" applyAlignment="1">
      <alignment horizontal="center" vertical="center" wrapText="1"/>
    </xf>
    <xf numFmtId="0" fontId="12" fillId="0" borderId="16" xfId="5" applyFont="1" applyFill="1" applyBorder="1" applyAlignment="1">
      <alignment horizontal="center" vertical="center" wrapText="1"/>
    </xf>
    <xf numFmtId="0" fontId="12" fillId="0" borderId="26" xfId="6" applyNumberFormat="1" applyFont="1" applyFill="1" applyBorder="1" applyAlignment="1">
      <alignment horizontal="center" vertical="center"/>
    </xf>
    <xf numFmtId="0" fontId="12" fillId="0" borderId="12" xfId="6" applyNumberFormat="1" applyFont="1" applyFill="1" applyBorder="1" applyAlignment="1">
      <alignment horizontal="center" vertical="center" wrapText="1"/>
    </xf>
    <xf numFmtId="0" fontId="12" fillId="0" borderId="25" xfId="6" applyNumberFormat="1" applyFont="1" applyFill="1" applyBorder="1" applyAlignment="1">
      <alignment horizontal="center" vertical="center" wrapText="1"/>
    </xf>
    <xf numFmtId="0" fontId="12" fillId="0" borderId="9" xfId="5" applyFont="1" applyFill="1" applyBorder="1" applyAlignment="1">
      <alignment horizontal="center" vertical="center" wrapText="1"/>
    </xf>
    <xf numFmtId="0" fontId="12" fillId="0" borderId="8" xfId="5" applyFont="1" applyFill="1" applyBorder="1" applyAlignment="1">
      <alignment horizontal="center" vertical="center" wrapText="1"/>
    </xf>
    <xf numFmtId="0" fontId="12" fillId="0" borderId="6" xfId="5" applyFont="1" applyFill="1" applyBorder="1" applyAlignment="1">
      <alignment horizontal="center" vertical="center" textRotation="90" wrapText="1"/>
    </xf>
    <xf numFmtId="0" fontId="12" fillId="0" borderId="13" xfId="5" applyFont="1" applyFill="1" applyBorder="1" applyAlignment="1">
      <alignment horizontal="center" vertical="center" textRotation="90" wrapText="1"/>
    </xf>
    <xf numFmtId="0" fontId="12" fillId="0" borderId="17" xfId="5" applyFont="1" applyFill="1" applyBorder="1" applyAlignment="1">
      <alignment horizontal="center" vertical="center" textRotation="90" wrapText="1"/>
    </xf>
    <xf numFmtId="164" fontId="12" fillId="0" borderId="7" xfId="6" applyFont="1" applyFill="1" applyBorder="1" applyAlignment="1">
      <alignment horizontal="center" vertical="center"/>
    </xf>
    <xf numFmtId="164" fontId="12" fillId="0" borderId="14" xfId="6" applyFont="1" applyFill="1" applyBorder="1" applyAlignment="1">
      <alignment horizontal="center" vertical="center"/>
    </xf>
    <xf numFmtId="164" fontId="12" fillId="0" borderId="18" xfId="6" applyFont="1" applyFill="1" applyBorder="1" applyAlignment="1">
      <alignment horizontal="center" vertical="center"/>
    </xf>
    <xf numFmtId="164" fontId="12" fillId="0" borderId="7" xfId="6" applyFont="1" applyFill="1" applyBorder="1" applyAlignment="1">
      <alignment horizontal="center" vertical="center" wrapText="1"/>
    </xf>
    <xf numFmtId="0" fontId="12" fillId="0" borderId="8" xfId="6" applyNumberFormat="1" applyFont="1" applyFill="1" applyBorder="1" applyAlignment="1">
      <alignment horizontal="center" vertical="center"/>
    </xf>
    <xf numFmtId="164" fontId="34" fillId="0" borderId="0" xfId="6" applyFont="1" applyFill="1" applyAlignment="1">
      <alignment horizontal="center" vertical="center"/>
    </xf>
    <xf numFmtId="164" fontId="35" fillId="0" borderId="0" xfId="6" applyFont="1" applyFill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37" fillId="5" borderId="59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center" vertical="center" wrapText="1"/>
    </xf>
    <xf numFmtId="0" fontId="37" fillId="5" borderId="7" xfId="0" applyFont="1" applyFill="1" applyBorder="1" applyAlignment="1">
      <alignment horizontal="center" vertical="center"/>
    </xf>
    <xf numFmtId="0" fontId="37" fillId="5" borderId="14" xfId="0" applyFont="1" applyFill="1" applyBorder="1" applyAlignment="1">
      <alignment horizontal="center" vertical="center"/>
    </xf>
    <xf numFmtId="0" fontId="37" fillId="5" borderId="63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7" fillId="5" borderId="64" xfId="0" applyFont="1" applyFill="1" applyBorder="1" applyAlignment="1">
      <alignment horizontal="center" vertical="center"/>
    </xf>
    <xf numFmtId="0" fontId="41" fillId="5" borderId="23" xfId="0" applyFont="1" applyFill="1" applyBorder="1" applyAlignment="1">
      <alignment horizontal="center"/>
    </xf>
    <xf numFmtId="0" fontId="41" fillId="5" borderId="10" xfId="0" applyFont="1" applyFill="1" applyBorder="1" applyAlignment="1">
      <alignment horizontal="center"/>
    </xf>
    <xf numFmtId="0" fontId="41" fillId="5" borderId="11" xfId="0" applyFont="1" applyFill="1" applyBorder="1" applyAlignment="1">
      <alignment horizontal="center"/>
    </xf>
    <xf numFmtId="0" fontId="37" fillId="5" borderId="59" xfId="0" applyFont="1" applyFill="1" applyBorder="1" applyAlignment="1">
      <alignment horizontal="center" vertical="center"/>
    </xf>
    <xf numFmtId="0" fontId="37" fillId="5" borderId="26" xfId="0" applyFont="1" applyFill="1" applyBorder="1" applyAlignment="1">
      <alignment horizontal="center" vertical="center"/>
    </xf>
    <xf numFmtId="0" fontId="37" fillId="5" borderId="58" xfId="0" applyFont="1" applyFill="1" applyBorder="1" applyAlignment="1">
      <alignment horizontal="center" vertical="center"/>
    </xf>
    <xf numFmtId="0" fontId="37" fillId="5" borderId="27" xfId="0" applyFont="1" applyFill="1" applyBorder="1" applyAlignment="1">
      <alignment horizontal="center" vertical="center"/>
    </xf>
    <xf numFmtId="0" fontId="37" fillId="5" borderId="24" xfId="0" applyFont="1" applyFill="1" applyBorder="1" applyAlignment="1">
      <alignment horizontal="center" vertical="center"/>
    </xf>
    <xf numFmtId="0" fontId="37" fillId="5" borderId="51" xfId="0" applyFont="1" applyFill="1" applyBorder="1" applyAlignment="1">
      <alignment horizontal="center" vertical="center"/>
    </xf>
    <xf numFmtId="0" fontId="37" fillId="5" borderId="62" xfId="0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horizontal="center"/>
    </xf>
    <xf numFmtId="0" fontId="44" fillId="0" borderId="16" xfId="0" applyFont="1" applyFill="1" applyBorder="1" applyAlignment="1">
      <alignment horizontal="center"/>
    </xf>
    <xf numFmtId="0" fontId="44" fillId="0" borderId="7" xfId="0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center" vertical="center"/>
    </xf>
    <xf numFmtId="0" fontId="44" fillId="0" borderId="18" xfId="0" applyFont="1" applyFill="1" applyBorder="1" applyAlignment="1">
      <alignment horizontal="center" vertical="center"/>
    </xf>
    <xf numFmtId="0" fontId="45" fillId="0" borderId="59" xfId="0" applyFont="1" applyFill="1" applyBorder="1" applyAlignment="1">
      <alignment horizontal="center" vertical="center"/>
    </xf>
    <xf numFmtId="0" fontId="45" fillId="0" borderId="18" xfId="0" applyFont="1" applyFill="1" applyBorder="1" applyAlignment="1">
      <alignment horizontal="center" vertical="center"/>
    </xf>
    <xf numFmtId="0" fontId="44" fillId="0" borderId="59" xfId="0" applyFont="1" applyFill="1" applyBorder="1" applyAlignment="1">
      <alignment horizontal="center" vertical="center"/>
    </xf>
    <xf numFmtId="0" fontId="44" fillId="0" borderId="23" xfId="0" applyFont="1" applyFill="1" applyBorder="1" applyAlignment="1">
      <alignment horizontal="center"/>
    </xf>
    <xf numFmtId="0" fontId="44" fillId="0" borderId="76" xfId="0" applyFont="1" applyFill="1" applyBorder="1" applyAlignment="1">
      <alignment horizontal="center"/>
    </xf>
    <xf numFmtId="0" fontId="44" fillId="0" borderId="77" xfId="0" applyFont="1" applyFill="1" applyBorder="1" applyAlignment="1">
      <alignment horizontal="center"/>
    </xf>
    <xf numFmtId="0" fontId="45" fillId="0" borderId="2" xfId="0" applyFont="1" applyFill="1" applyBorder="1" applyAlignment="1">
      <alignment horizontal="center" vertical="center"/>
    </xf>
    <xf numFmtId="0" fontId="45" fillId="0" borderId="16" xfId="0" applyFont="1" applyFill="1" applyBorder="1" applyAlignment="1">
      <alignment horizontal="center" vertical="center"/>
    </xf>
    <xf numFmtId="0" fontId="0" fillId="0" borderId="79" xfId="0" applyFont="1" applyFill="1" applyBorder="1" applyAlignment="1">
      <alignment horizontal="center"/>
    </xf>
    <xf numFmtId="0" fontId="44" fillId="0" borderId="6" xfId="0" applyFont="1" applyFill="1" applyBorder="1" applyAlignment="1">
      <alignment horizontal="center" vertical="center"/>
    </xf>
    <xf numFmtId="0" fontId="44" fillId="0" borderId="13" xfId="0" applyFont="1" applyFill="1" applyBorder="1" applyAlignment="1">
      <alignment horizontal="center" vertical="center"/>
    </xf>
    <xf numFmtId="41" fontId="43" fillId="0" borderId="1" xfId="1" applyFont="1" applyFill="1" applyBorder="1" applyAlignment="1">
      <alignment horizontal="center" vertical="center"/>
    </xf>
    <xf numFmtId="41" fontId="43" fillId="0" borderId="59" xfId="1" applyFont="1" applyFill="1" applyBorder="1" applyAlignment="1">
      <alignment horizontal="center" vertical="center"/>
    </xf>
    <xf numFmtId="41" fontId="43" fillId="0" borderId="14" xfId="1" applyFont="1" applyFill="1" applyBorder="1" applyAlignment="1">
      <alignment horizontal="center" vertical="center"/>
    </xf>
    <xf numFmtId="41" fontId="43" fillId="0" borderId="1" xfId="1" applyFont="1" applyFill="1" applyBorder="1" applyAlignment="1">
      <alignment horizontal="center"/>
    </xf>
    <xf numFmtId="0" fontId="0" fillId="0" borderId="81" xfId="0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0" fontId="50" fillId="5" borderId="70" xfId="0" applyFont="1" applyFill="1" applyBorder="1" applyAlignment="1">
      <alignment horizontal="center" vertical="center"/>
    </xf>
    <xf numFmtId="0" fontId="50" fillId="5" borderId="7" xfId="0" applyFont="1" applyFill="1" applyBorder="1" applyAlignment="1">
      <alignment horizontal="center" vertical="center"/>
    </xf>
    <xf numFmtId="0" fontId="50" fillId="5" borderId="84" xfId="0" applyFont="1" applyFill="1" applyBorder="1" applyAlignment="1">
      <alignment horizontal="center" vertical="center"/>
    </xf>
    <xf numFmtId="0" fontId="50" fillId="0" borderId="45" xfId="0" applyFont="1" applyFill="1" applyBorder="1" applyAlignment="1">
      <alignment horizontal="center" vertical="center"/>
    </xf>
    <xf numFmtId="0" fontId="50" fillId="0" borderId="85" xfId="0" applyFont="1" applyFill="1" applyBorder="1" applyAlignment="1">
      <alignment horizontal="center" vertical="center"/>
    </xf>
    <xf numFmtId="0" fontId="50" fillId="0" borderId="69" xfId="0" applyFont="1" applyFill="1" applyBorder="1" applyAlignment="1">
      <alignment horizontal="center" vertical="center"/>
    </xf>
    <xf numFmtId="0" fontId="50" fillId="0" borderId="8" xfId="0" applyFont="1" applyFill="1" applyBorder="1" applyAlignment="1">
      <alignment horizontal="center" vertical="center"/>
    </xf>
    <xf numFmtId="10" fontId="34" fillId="0" borderId="0" xfId="6" applyNumberFormat="1" applyFont="1" applyFill="1" applyAlignment="1">
      <alignment horizontal="center" vertical="center"/>
    </xf>
    <xf numFmtId="10" fontId="54" fillId="0" borderId="0" xfId="6" applyNumberFormat="1" applyFont="1" applyFill="1" applyAlignment="1">
      <alignment horizontal="center" vertical="center"/>
    </xf>
    <xf numFmtId="10" fontId="34" fillId="0" borderId="0" xfId="6" applyNumberFormat="1" applyFont="1" applyFill="1" applyAlignment="1">
      <alignment horizontal="center" vertical="center"/>
    </xf>
  </cellXfs>
  <cellStyles count="20">
    <cellStyle name="Comma" xfId="3" builtinId="3"/>
    <cellStyle name="Comma [0]" xfId="1" builtinId="6"/>
    <cellStyle name="Comma [0] 2" xfId="9"/>
    <cellStyle name="Comma [0] 4" xfId="6"/>
    <cellStyle name="Comma 2" xfId="8"/>
    <cellStyle name="Comma 3" xfId="19"/>
    <cellStyle name="Normal" xfId="0" builtinId="0"/>
    <cellStyle name="Normal 2" xfId="4"/>
    <cellStyle name="Normal 3" xfId="5"/>
    <cellStyle name="Normal 4" xfId="18"/>
    <cellStyle name="Normal 6 2" xfId="11"/>
    <cellStyle name="Normal_Absent2007 NEWOO" xfId="17"/>
    <cellStyle name="Normal_Book1" xfId="12"/>
    <cellStyle name="Normal_Sheet1" xfId="13"/>
    <cellStyle name="Normal_Sheet1_1" xfId="15"/>
    <cellStyle name="Normal_Sheet3" xfId="16"/>
    <cellStyle name="Normal_TAGIHAN APR-MEI'06" xfId="14"/>
    <cellStyle name="Normal_Tetap" xfId="10"/>
    <cellStyle name="Percent" xfId="2" builtinId="5"/>
    <cellStyle name="Percent 2" xfId="7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99FFCC"/>
      <color rgb="FFC4E77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41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STATE%20PG1A\AppData\Local\Microsoft\Windows\INetCache\Content.Outlook\ZPMW3BX9\FIELD%20CONDUC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jak\Downloads\KERTAS-KERJA-PPH-21-PP-58-PPh-21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!%20TAX\01.%20TAX%20COMPLIANCE\PPH%20&amp;%20PPN\2024\01.%20JANUARI%202024\PPH%2021\GAJI%20JANUARI%202024\PG%201B\A.GAJI%20G%20RUM%20JANUARI%202024%20-%20-%20-%20-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1.JANUARI\GAJI%20JANUARI%202024%20VERSI%20BARU\PG%201B\STAFF\PPh%2021Salaries%20-%20Jan'24%20Ass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2.FEBRUARI\PG%201B\GUNUNG%20RUM\MARETA%20NEW\SALARY%202024\A.GAJI%20G%20RUM%20FEBRUARI%202024%20-%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2.FEBRUARI\PG%201B\GUNUNG%20RUM\A.GAJI%20G%20RUM%20FEBRUARI%202024%20-%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THR%20IDUL%20FITRI\PGE%201B\MARETA%20NEW\SALARY%202024\A.GAJI%20G%20RUM%20FEBRUARI%202024%20-%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THR%20IDUL%20FITRI\PGE%201B\A.GAJI%20G%20RUM%20FEBRUARI%202024%20-%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THR%20IDUL%20FITRI\PGE%201B\THR%20G%20RUM%202024%20pjak%20FEBRUAR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THR%20IDUL%20FITRI\PGE%201B\PERHITUNGAN%20PPH%2021%202024%20DIV%20G%20RUM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THR%20IDUL%20FITRI\PGE%201B\!%20TAX\01.%20TAX%20COMPLIANCE\PPH%20&amp;%20PPN\2024\01.%20JANUARI%202024\PPH%2021\GAJI%20JANUARI%202024\STAFF\SALARY_JANUARI_2024%20PT%20RJ%20-%20STAFF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3.MARET\PG%201B\A.GAJI%20G%20RUM%20MARET%202024%20-%20%20-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3.MARET\PG%201B\THR%20G%20RUM%202024%20pjak%20FEBRUAR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3.MARET\PG%201B\MARETA%20NEW\SALARY%202024\A.GAJI%20G%20RUM%20FEBRUARI%202024%20-%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3.MARET\PG%201B\PERHITUNGAN%20PPH%2021%202024%20DIV%20G%20RUM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3.MARET\PG%201B\!%20TAX\01.%20TAX%20COMPLIANCE\PPH%20&amp;%20PPN\2024\01.%20JANUARI%202024\PPH%2021\GAJI%20JANUARI%202024\STAFF\SALARY_JANUARI_2024%20PT%20RJ%20-%20STAF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4.APRIL\PG%201B\GUNUNG%20RUM\A.GAJI%20G%20RUM%20APRIL%202024%20-%20%20-%20-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4.APRIL\PG%201B\GUNUNG%20RUM\!%20TAX\01.%20TAX%20COMPLIANCE\PPH%20&amp;%20PPN\2024\01.%20JANUARI%202024\PPH%2021\GAJI%20JANUARI%202024\STAFF\SALARY_JANUARI_2024%20PT%20RJ%20-%20STAF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5.MEI\PG%201B\GUNUNG%20RUM\A.GAJI%20G%20RUM%20APRIL%202024%20-%20%20-%20-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5.MEI\PG%201B\GUNUNG%20RUM\A.GAJI%20G%20RUM%20MEI%202024%20-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6.JUNI\PG%201B\GUNUNG%20RUM\A.GAJI%20G%20RUM%20JUNI%202024%20-%20-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7.JULI\PG%201B\GUNUNG%20RUM\A.GAJI%20G%20RUM%20JULI%202024%20-%20-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8.AGUSTUS\PG%201B\GUNUNG%20RUM\A.GAJI%20G%20RUM%20AGUSTUS%202024%20-%20-%20-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8.AGUSTUS\PG%201B\GUNUNG%20RUM\PERHITUNGAN%20PPH%2021%202024%20DIV%20G%20RU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8.AGUSTUS\PG%201B\GUNUNG%20RUM\A.GAJI%20G%20RUM%20JULI%202024%20-%20-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H%2021%202024%20(%20Gaji%20Karyawan)\09.SEPTEMBER\PG%201B\GUNUNG%20RUM\A.GAJI%20G%20RUM%20SEPTEMBER%202024%20-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STATE%20PG1A\AppData\Local\Microsoft\Windows\INetCache\Content.Outlook\ZPMW3BX9\!%20TAX\01.%20TAX%20COMPLIANCE\PPH%20&amp;%20PPN\2024\01.%20JANUARI%202024\PPH%2021\GAJI%20JANUARI%202024\STAFF\SALARY_JANUARI_2024%20PT%20RJ%20-%20STAF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STATE%20PG1A\AppData\Local\Microsoft\Windows\INetCache\Content.Outlook\ZPMW3BX9\PPH%2021%20SETAHUN%20G.RUM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Bulanan (Jan s.d Nop)"/>
      <sheetName val="Des"/>
    </sheetNames>
    <sheetDataSet>
      <sheetData sheetId="0" refreshError="1">
        <row r="3">
          <cell r="B3">
            <v>0</v>
          </cell>
        </row>
        <row r="18">
          <cell r="S18" t="str">
            <v>TK/0</v>
          </cell>
          <cell r="T18">
            <v>0</v>
          </cell>
          <cell r="U18">
            <v>54000000</v>
          </cell>
        </row>
        <row r="19">
          <cell r="S19" t="str">
            <v>TK/1</v>
          </cell>
          <cell r="T19">
            <v>0</v>
          </cell>
          <cell r="U19">
            <v>58500000</v>
          </cell>
        </row>
        <row r="20">
          <cell r="S20" t="str">
            <v>TK/2</v>
          </cell>
          <cell r="T20">
            <v>0</v>
          </cell>
          <cell r="U20">
            <v>63000000</v>
          </cell>
        </row>
        <row r="21">
          <cell r="S21" t="str">
            <v>TK/3</v>
          </cell>
          <cell r="T21">
            <v>0</v>
          </cell>
          <cell r="U21">
            <v>67500000</v>
          </cell>
        </row>
        <row r="22">
          <cell r="S22" t="str">
            <v>K/0</v>
          </cell>
          <cell r="T22">
            <v>0</v>
          </cell>
          <cell r="U22">
            <v>58500000</v>
          </cell>
        </row>
        <row r="23">
          <cell r="S23" t="str">
            <v>K/1</v>
          </cell>
          <cell r="T23">
            <v>0</v>
          </cell>
          <cell r="U23">
            <v>63000000</v>
          </cell>
        </row>
        <row r="24">
          <cell r="S24" t="str">
            <v>K/2</v>
          </cell>
          <cell r="T24">
            <v>0</v>
          </cell>
          <cell r="U24">
            <v>67500000</v>
          </cell>
        </row>
        <row r="25">
          <cell r="S25" t="str">
            <v>K/3</v>
          </cell>
          <cell r="T25">
            <v>0</v>
          </cell>
          <cell r="U25">
            <v>72000000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>
        <row r="50">
          <cell r="F50">
            <v>175250013.02000004</v>
          </cell>
          <cell r="G50">
            <v>1223291.9999999998</v>
          </cell>
          <cell r="H50">
            <v>5878740</v>
          </cell>
          <cell r="K50">
            <v>182352045.02000004</v>
          </cell>
        </row>
      </sheetData>
      <sheetData sheetId="5">
        <row r="51">
          <cell r="N51">
            <v>547989.33927000011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'21"/>
      <sheetName val="Dec'22"/>
      <sheetName val="Jan'23"/>
      <sheetName val="Feb'23"/>
      <sheetName val="Mar'23"/>
      <sheetName val="Apr;23"/>
      <sheetName val="THR"/>
      <sheetName val="Ex-Gratia"/>
      <sheetName val="May'23"/>
      <sheetName val="Jun'23"/>
      <sheetName val="Jul'23"/>
      <sheetName val="Aug'23"/>
      <sheetName val="Sep'23"/>
      <sheetName val="Oct'23"/>
      <sheetName val="Nov'23"/>
      <sheetName val="THR-Dec'23"/>
      <sheetName val="Dec'23"/>
      <sheetName val="Jan'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H7">
            <v>88082.4</v>
          </cell>
        </row>
        <row r="35">
          <cell r="I35">
            <v>16575000</v>
          </cell>
          <cell r="J35">
            <v>3820500</v>
          </cell>
          <cell r="K35">
            <v>14700000</v>
          </cell>
          <cell r="L35">
            <v>1925000</v>
          </cell>
          <cell r="M35">
            <v>400000</v>
          </cell>
          <cell r="O35">
            <v>2250000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 refreshError="1">
        <row r="11">
          <cell r="T11">
            <v>27000</v>
          </cell>
          <cell r="AJ11">
            <v>147340</v>
          </cell>
        </row>
        <row r="12">
          <cell r="AJ12">
            <v>146800</v>
          </cell>
        </row>
        <row r="13">
          <cell r="AJ13">
            <v>148040</v>
          </cell>
        </row>
        <row r="14">
          <cell r="AJ14">
            <v>148040</v>
          </cell>
        </row>
      </sheetData>
      <sheetData sheetId="1" refreshError="1">
        <row r="11">
          <cell r="X11">
            <v>27000</v>
          </cell>
          <cell r="AS11">
            <v>146100</v>
          </cell>
        </row>
        <row r="12">
          <cell r="AS12">
            <v>146100</v>
          </cell>
        </row>
      </sheetData>
      <sheetData sheetId="2" refreshError="1">
        <row r="11">
          <cell r="X11">
            <v>13500</v>
          </cell>
          <cell r="AP11">
            <v>148540</v>
          </cell>
        </row>
        <row r="12">
          <cell r="AP12">
            <v>146200</v>
          </cell>
        </row>
        <row r="13">
          <cell r="AP13">
            <v>147480</v>
          </cell>
        </row>
        <row r="14">
          <cell r="AP14">
            <v>146680</v>
          </cell>
        </row>
        <row r="15">
          <cell r="AP15">
            <v>147620</v>
          </cell>
        </row>
        <row r="16">
          <cell r="AP16">
            <v>147620</v>
          </cell>
        </row>
        <row r="17">
          <cell r="AP17">
            <v>147480</v>
          </cell>
        </row>
        <row r="18">
          <cell r="AP18">
            <v>148040</v>
          </cell>
        </row>
        <row r="19">
          <cell r="AP19">
            <v>147340</v>
          </cell>
        </row>
        <row r="20">
          <cell r="AP20">
            <v>148040</v>
          </cell>
        </row>
        <row r="21">
          <cell r="AP21">
            <v>146440</v>
          </cell>
        </row>
        <row r="22">
          <cell r="AP22">
            <v>146800</v>
          </cell>
        </row>
        <row r="23">
          <cell r="AP23">
            <v>146800</v>
          </cell>
        </row>
        <row r="24">
          <cell r="AP24">
            <v>146440</v>
          </cell>
        </row>
        <row r="25">
          <cell r="AP25">
            <v>145900</v>
          </cell>
        </row>
        <row r="26">
          <cell r="AP26">
            <v>147340</v>
          </cell>
        </row>
        <row r="27">
          <cell r="AP27">
            <v>147620</v>
          </cell>
        </row>
        <row r="28">
          <cell r="AP28">
            <v>146560</v>
          </cell>
        </row>
        <row r="29">
          <cell r="AP29">
            <v>148040</v>
          </cell>
        </row>
        <row r="30">
          <cell r="AP30">
            <v>147620</v>
          </cell>
        </row>
        <row r="31">
          <cell r="AP31">
            <v>147340</v>
          </cell>
        </row>
        <row r="32">
          <cell r="AP32">
            <v>146200</v>
          </cell>
        </row>
        <row r="33">
          <cell r="AP33">
            <v>146200</v>
          </cell>
        </row>
        <row r="34">
          <cell r="AP34">
            <v>146200</v>
          </cell>
        </row>
        <row r="35">
          <cell r="AP35">
            <v>146200</v>
          </cell>
        </row>
        <row r="36">
          <cell r="AP36">
            <v>146920</v>
          </cell>
        </row>
        <row r="37">
          <cell r="AP37">
            <v>147340</v>
          </cell>
        </row>
        <row r="38">
          <cell r="AP38">
            <v>147480</v>
          </cell>
        </row>
        <row r="39">
          <cell r="AP39">
            <v>146440</v>
          </cell>
        </row>
        <row r="40">
          <cell r="AP40">
            <v>146200</v>
          </cell>
        </row>
        <row r="41">
          <cell r="AP41">
            <v>147480</v>
          </cell>
        </row>
        <row r="42">
          <cell r="AP42">
            <v>150340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>
        <row r="11">
          <cell r="T11">
            <v>130500</v>
          </cell>
          <cell r="AA11">
            <v>915260.01</v>
          </cell>
        </row>
        <row r="12">
          <cell r="T12">
            <v>130500</v>
          </cell>
          <cell r="AA12">
            <v>925780.24</v>
          </cell>
        </row>
        <row r="13">
          <cell r="T13">
            <v>156600</v>
          </cell>
          <cell r="AA13">
            <v>1031422.54</v>
          </cell>
        </row>
        <row r="14">
          <cell r="T14">
            <v>156600</v>
          </cell>
          <cell r="AA14">
            <v>957340.93</v>
          </cell>
        </row>
        <row r="15">
          <cell r="AE15">
            <v>24053180</v>
          </cell>
        </row>
      </sheetData>
      <sheetData sheetId="1">
        <row r="11">
          <cell r="X11">
            <v>130500</v>
          </cell>
        </row>
        <row r="12">
          <cell r="X12">
            <v>130500</v>
          </cell>
        </row>
        <row r="13">
          <cell r="AN13">
            <v>8370170.1400000006</v>
          </cell>
        </row>
        <row r="27">
          <cell r="AH27">
            <v>6349441.0299999993</v>
          </cell>
        </row>
        <row r="28">
          <cell r="AA28">
            <v>309000</v>
          </cell>
        </row>
      </sheetData>
      <sheetData sheetId="2">
        <row r="11">
          <cell r="X11">
            <v>60750</v>
          </cell>
          <cell r="AH11">
            <v>0</v>
          </cell>
        </row>
        <row r="12">
          <cell r="X12">
            <v>63000</v>
          </cell>
          <cell r="AH12">
            <v>1420231.05</v>
          </cell>
        </row>
        <row r="13">
          <cell r="X13">
            <v>60750</v>
          </cell>
          <cell r="AH13">
            <v>0</v>
          </cell>
        </row>
        <row r="14">
          <cell r="X14">
            <v>121500</v>
          </cell>
          <cell r="AH14">
            <v>0</v>
          </cell>
        </row>
        <row r="15">
          <cell r="X15">
            <v>65250</v>
          </cell>
          <cell r="AH15">
            <v>0</v>
          </cell>
        </row>
        <row r="16">
          <cell r="X16">
            <v>65250</v>
          </cell>
          <cell r="AH16">
            <v>0</v>
          </cell>
        </row>
        <row r="17">
          <cell r="X17">
            <v>65250</v>
          </cell>
          <cell r="AH17">
            <v>0</v>
          </cell>
        </row>
        <row r="18">
          <cell r="X18">
            <v>65250</v>
          </cell>
          <cell r="AH18">
            <v>0</v>
          </cell>
        </row>
        <row r="19">
          <cell r="X19">
            <v>65250</v>
          </cell>
          <cell r="AH19">
            <v>0</v>
          </cell>
        </row>
        <row r="20">
          <cell r="X20">
            <v>104400</v>
          </cell>
          <cell r="AH20">
            <v>0</v>
          </cell>
        </row>
        <row r="21">
          <cell r="X21">
            <v>60750</v>
          </cell>
          <cell r="AH21">
            <v>0</v>
          </cell>
        </row>
        <row r="22">
          <cell r="X22">
            <v>65250</v>
          </cell>
          <cell r="AH22">
            <v>0</v>
          </cell>
        </row>
        <row r="23">
          <cell r="X23">
            <v>126000</v>
          </cell>
          <cell r="AH23">
            <v>147283.22</v>
          </cell>
        </row>
        <row r="24">
          <cell r="X24">
            <v>151200</v>
          </cell>
          <cell r="AH24">
            <v>0</v>
          </cell>
        </row>
        <row r="25">
          <cell r="X25">
            <v>130500</v>
          </cell>
          <cell r="AH25">
            <v>0</v>
          </cell>
        </row>
        <row r="26">
          <cell r="X26">
            <v>65250</v>
          </cell>
          <cell r="AH26">
            <v>0</v>
          </cell>
        </row>
        <row r="27">
          <cell r="X27">
            <v>65250</v>
          </cell>
          <cell r="AH27">
            <v>0</v>
          </cell>
        </row>
        <row r="28">
          <cell r="X28">
            <v>65250</v>
          </cell>
          <cell r="AH28">
            <v>0</v>
          </cell>
        </row>
        <row r="29">
          <cell r="X29">
            <v>156600</v>
          </cell>
          <cell r="AH29">
            <v>568092.42000000004</v>
          </cell>
        </row>
        <row r="30">
          <cell r="X30">
            <v>65250</v>
          </cell>
          <cell r="AH30">
            <v>31560.69</v>
          </cell>
        </row>
        <row r="31">
          <cell r="X31">
            <v>60750</v>
          </cell>
          <cell r="AH31">
            <v>0</v>
          </cell>
        </row>
        <row r="32">
          <cell r="X32">
            <v>65250</v>
          </cell>
          <cell r="AH32">
            <v>0</v>
          </cell>
        </row>
        <row r="33">
          <cell r="X33">
            <v>65250</v>
          </cell>
          <cell r="AH33">
            <v>31560.69</v>
          </cell>
        </row>
        <row r="34">
          <cell r="X34">
            <v>65250</v>
          </cell>
          <cell r="AH34">
            <v>31560.69</v>
          </cell>
        </row>
        <row r="35">
          <cell r="X35">
            <v>65250</v>
          </cell>
          <cell r="AH35">
            <v>31560.69</v>
          </cell>
        </row>
        <row r="36">
          <cell r="X36">
            <v>100800</v>
          </cell>
          <cell r="AH36">
            <v>0</v>
          </cell>
        </row>
        <row r="37">
          <cell r="X37">
            <v>63000</v>
          </cell>
          <cell r="AH37">
            <v>0</v>
          </cell>
        </row>
        <row r="38">
          <cell r="X38">
            <v>145800</v>
          </cell>
          <cell r="AH38">
            <v>0</v>
          </cell>
        </row>
        <row r="39">
          <cell r="X39">
            <v>145800</v>
          </cell>
          <cell r="AH39">
            <v>0</v>
          </cell>
        </row>
        <row r="40">
          <cell r="X40">
            <v>63000</v>
          </cell>
          <cell r="AH40">
            <v>0</v>
          </cell>
        </row>
        <row r="41">
          <cell r="X41">
            <v>65250</v>
          </cell>
          <cell r="AH41">
            <v>0</v>
          </cell>
        </row>
        <row r="42">
          <cell r="X42">
            <v>151200</v>
          </cell>
          <cell r="AH42">
            <v>257787.86</v>
          </cell>
        </row>
        <row r="43">
          <cell r="AK43">
            <v>116680917.61999997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 refreshError="1">
        <row r="11">
          <cell r="T11">
            <v>27000</v>
          </cell>
          <cell r="AJ11">
            <v>147340</v>
          </cell>
        </row>
        <row r="12">
          <cell r="AJ12">
            <v>146800</v>
          </cell>
        </row>
        <row r="13">
          <cell r="AJ13">
            <v>148040</v>
          </cell>
        </row>
        <row r="14">
          <cell r="AJ14">
            <v>148040</v>
          </cell>
        </row>
      </sheetData>
      <sheetData sheetId="1" refreshError="1">
        <row r="11">
          <cell r="X11">
            <v>27000</v>
          </cell>
          <cell r="AS11">
            <v>146100</v>
          </cell>
        </row>
        <row r="12">
          <cell r="AS12">
            <v>146100</v>
          </cell>
        </row>
      </sheetData>
      <sheetData sheetId="2" refreshError="1">
        <row r="11">
          <cell r="X11">
            <v>13500</v>
          </cell>
          <cell r="AP11">
            <v>148540</v>
          </cell>
        </row>
        <row r="12">
          <cell r="AP12">
            <v>146200</v>
          </cell>
        </row>
        <row r="13">
          <cell r="AP13">
            <v>147480</v>
          </cell>
        </row>
        <row r="14">
          <cell r="AP14">
            <v>146680</v>
          </cell>
        </row>
        <row r="15">
          <cell r="AP15">
            <v>147620</v>
          </cell>
        </row>
        <row r="16">
          <cell r="AP16">
            <v>147620</v>
          </cell>
        </row>
        <row r="17">
          <cell r="AP17">
            <v>147480</v>
          </cell>
        </row>
        <row r="18">
          <cell r="AP18">
            <v>148040</v>
          </cell>
        </row>
        <row r="19">
          <cell r="AP19">
            <v>147340</v>
          </cell>
        </row>
        <row r="20">
          <cell r="AP20">
            <v>148040</v>
          </cell>
        </row>
        <row r="21">
          <cell r="AP21">
            <v>146440</v>
          </cell>
        </row>
        <row r="22">
          <cell r="AP22">
            <v>146800</v>
          </cell>
        </row>
        <row r="23">
          <cell r="AP23">
            <v>146800</v>
          </cell>
        </row>
        <row r="24">
          <cell r="AP24">
            <v>146440</v>
          </cell>
        </row>
        <row r="25">
          <cell r="AP25">
            <v>145900</v>
          </cell>
        </row>
        <row r="26">
          <cell r="AP26">
            <v>147340</v>
          </cell>
        </row>
        <row r="27">
          <cell r="AP27">
            <v>147620</v>
          </cell>
        </row>
        <row r="28">
          <cell r="AP28">
            <v>146560</v>
          </cell>
        </row>
        <row r="29">
          <cell r="AP29">
            <v>148040</v>
          </cell>
        </row>
        <row r="30">
          <cell r="AP30">
            <v>147620</v>
          </cell>
        </row>
        <row r="31">
          <cell r="AP31">
            <v>147340</v>
          </cell>
        </row>
        <row r="32">
          <cell r="AP32">
            <v>146200</v>
          </cell>
        </row>
        <row r="33">
          <cell r="AP33">
            <v>146200</v>
          </cell>
        </row>
        <row r="34">
          <cell r="AP34">
            <v>146200</v>
          </cell>
        </row>
        <row r="35">
          <cell r="AP35">
            <v>146200</v>
          </cell>
        </row>
        <row r="36">
          <cell r="AP36">
            <v>146920</v>
          </cell>
        </row>
        <row r="37">
          <cell r="AP37">
            <v>147340</v>
          </cell>
        </row>
        <row r="38">
          <cell r="AP38">
            <v>147480</v>
          </cell>
        </row>
        <row r="39">
          <cell r="AP39">
            <v>146440</v>
          </cell>
        </row>
        <row r="40">
          <cell r="AP40">
            <v>146200</v>
          </cell>
        </row>
        <row r="41">
          <cell r="AP41">
            <v>147480</v>
          </cell>
        </row>
        <row r="42">
          <cell r="AP42">
            <v>150340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 refreshError="1">
        <row r="11">
          <cell r="T11">
            <v>130500</v>
          </cell>
        </row>
        <row r="12">
          <cell r="T12">
            <v>130500</v>
          </cell>
        </row>
        <row r="13">
          <cell r="T13">
            <v>156600</v>
          </cell>
        </row>
        <row r="14">
          <cell r="T14">
            <v>156600</v>
          </cell>
        </row>
      </sheetData>
      <sheetData sheetId="1" refreshError="1">
        <row r="11">
          <cell r="X11">
            <v>130500</v>
          </cell>
        </row>
        <row r="12">
          <cell r="X12">
            <v>130500</v>
          </cell>
        </row>
        <row r="27">
          <cell r="AH27">
            <v>6349441.0299999993</v>
          </cell>
        </row>
        <row r="28">
          <cell r="AA28">
            <v>309000</v>
          </cell>
        </row>
      </sheetData>
      <sheetData sheetId="2" refreshError="1">
        <row r="11">
          <cell r="X11">
            <v>60750</v>
          </cell>
        </row>
        <row r="12">
          <cell r="X12">
            <v>63000</v>
          </cell>
        </row>
        <row r="13">
          <cell r="X13">
            <v>60750</v>
          </cell>
        </row>
        <row r="14">
          <cell r="X14">
            <v>121500</v>
          </cell>
        </row>
        <row r="15">
          <cell r="X15">
            <v>65250</v>
          </cell>
        </row>
        <row r="16">
          <cell r="X16">
            <v>65250</v>
          </cell>
        </row>
        <row r="17">
          <cell r="X17">
            <v>65250</v>
          </cell>
        </row>
        <row r="18">
          <cell r="X18">
            <v>65250</v>
          </cell>
        </row>
        <row r="19">
          <cell r="X19">
            <v>65250</v>
          </cell>
        </row>
        <row r="20">
          <cell r="X20">
            <v>104400</v>
          </cell>
        </row>
        <row r="21">
          <cell r="X21">
            <v>60750</v>
          </cell>
        </row>
        <row r="22">
          <cell r="X22">
            <v>65250</v>
          </cell>
        </row>
        <row r="23">
          <cell r="X23">
            <v>126000</v>
          </cell>
        </row>
        <row r="24">
          <cell r="X24">
            <v>151200</v>
          </cell>
        </row>
        <row r="25">
          <cell r="X25">
            <v>130500</v>
          </cell>
        </row>
        <row r="26">
          <cell r="X26">
            <v>65250</v>
          </cell>
        </row>
        <row r="27">
          <cell r="X27">
            <v>65250</v>
          </cell>
        </row>
        <row r="28">
          <cell r="X28">
            <v>65250</v>
          </cell>
        </row>
        <row r="29">
          <cell r="X29">
            <v>156600</v>
          </cell>
        </row>
        <row r="30">
          <cell r="X30">
            <v>65250</v>
          </cell>
        </row>
        <row r="31">
          <cell r="X31">
            <v>60750</v>
          </cell>
        </row>
        <row r="32">
          <cell r="X32">
            <v>65250</v>
          </cell>
        </row>
        <row r="33">
          <cell r="X33">
            <v>65250</v>
          </cell>
        </row>
        <row r="34">
          <cell r="X34">
            <v>65250</v>
          </cell>
        </row>
        <row r="35">
          <cell r="X35">
            <v>65250</v>
          </cell>
        </row>
        <row r="36">
          <cell r="X36">
            <v>100800</v>
          </cell>
        </row>
        <row r="37">
          <cell r="X37">
            <v>63000</v>
          </cell>
        </row>
        <row r="38">
          <cell r="X38">
            <v>145800</v>
          </cell>
        </row>
        <row r="39">
          <cell r="X39">
            <v>145800</v>
          </cell>
        </row>
        <row r="40">
          <cell r="X40">
            <v>63000</v>
          </cell>
        </row>
        <row r="41">
          <cell r="X41">
            <v>65250</v>
          </cell>
        </row>
        <row r="42">
          <cell r="X42">
            <v>151200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jak A"/>
      <sheetName val="pajak B"/>
      <sheetName val="MAINTENANCE"/>
      <sheetName val="OPERATOR"/>
      <sheetName val="HARVESTING"/>
      <sheetName val="Slip"/>
      <sheetName val="Sheet1"/>
      <sheetName val="Lap.Kar"/>
      <sheetName val="Denomination"/>
      <sheetName val="Account"/>
      <sheetName val="Pjk Ex-Gra1"/>
      <sheetName val="Pjk Ex-Gra2"/>
      <sheetName val="Sheet7"/>
      <sheetName val="BERAS-Kontanan"/>
      <sheetName val="Sheet2"/>
      <sheetName val="REKONSILIASI"/>
      <sheetName val="Sheet3"/>
    </sheetNames>
    <sheetDataSet>
      <sheetData sheetId="0"/>
      <sheetData sheetId="1"/>
      <sheetData sheetId="2">
        <row r="10">
          <cell r="O10">
            <v>3780999.9</v>
          </cell>
        </row>
        <row r="11">
          <cell r="O11">
            <v>3722499.9</v>
          </cell>
        </row>
        <row r="12">
          <cell r="O12">
            <v>3754499.9</v>
          </cell>
        </row>
        <row r="13">
          <cell r="O13">
            <v>3801999.9</v>
          </cell>
        </row>
        <row r="14">
          <cell r="O14">
            <v>3757999.9</v>
          </cell>
        </row>
        <row r="15">
          <cell r="O15">
            <v>3757999.9</v>
          </cell>
        </row>
        <row r="16">
          <cell r="O16">
            <v>3754499.9</v>
          </cell>
        </row>
        <row r="17">
          <cell r="O17">
            <v>3768499.9</v>
          </cell>
        </row>
        <row r="18">
          <cell r="O18">
            <v>3750999.9</v>
          </cell>
        </row>
        <row r="19">
          <cell r="O19">
            <v>3808999.9</v>
          </cell>
        </row>
        <row r="20">
          <cell r="O20">
            <v>3731499.9</v>
          </cell>
        </row>
        <row r="21">
          <cell r="O21">
            <v>3737499.9</v>
          </cell>
        </row>
        <row r="22">
          <cell r="O22">
            <v>3804999.9</v>
          </cell>
        </row>
        <row r="23">
          <cell r="O23">
            <v>3822999.9</v>
          </cell>
        </row>
        <row r="24">
          <cell r="O24">
            <v>3782499.9</v>
          </cell>
        </row>
        <row r="25">
          <cell r="O25">
            <v>3750999.9</v>
          </cell>
        </row>
        <row r="26">
          <cell r="O26">
            <v>3757999.9</v>
          </cell>
        </row>
        <row r="27">
          <cell r="O27">
            <v>3731499.9</v>
          </cell>
        </row>
        <row r="28">
          <cell r="O28">
            <v>3862999.9</v>
          </cell>
        </row>
        <row r="29">
          <cell r="O29">
            <v>3757999.9</v>
          </cell>
        </row>
        <row r="30">
          <cell r="O30">
            <v>3750999.9</v>
          </cell>
        </row>
        <row r="31">
          <cell r="O31">
            <v>3722499.9</v>
          </cell>
        </row>
        <row r="32">
          <cell r="O32">
            <v>3722499.9</v>
          </cell>
        </row>
        <row r="33">
          <cell r="O33">
            <v>3722499.9</v>
          </cell>
        </row>
        <row r="34">
          <cell r="O34">
            <v>3722499.9</v>
          </cell>
        </row>
        <row r="35">
          <cell r="O35">
            <v>3780999.9</v>
          </cell>
        </row>
        <row r="36">
          <cell r="O36">
            <v>3750999.9</v>
          </cell>
        </row>
        <row r="37">
          <cell r="O37">
            <v>3848999.9</v>
          </cell>
        </row>
        <row r="38">
          <cell r="O38">
            <v>3822999.9</v>
          </cell>
        </row>
        <row r="39">
          <cell r="O39">
            <v>3722499.9</v>
          </cell>
        </row>
        <row r="40">
          <cell r="O40">
            <v>3754499.9</v>
          </cell>
        </row>
        <row r="41">
          <cell r="O41">
            <v>3920499.9</v>
          </cell>
        </row>
        <row r="42">
          <cell r="O42">
            <v>120642496.80000007</v>
          </cell>
          <cell r="P42">
            <v>3211394</v>
          </cell>
        </row>
      </sheetData>
      <sheetData sheetId="3">
        <row r="14">
          <cell r="O14">
            <v>15352999.6</v>
          </cell>
          <cell r="P14">
            <v>570191</v>
          </cell>
        </row>
      </sheetData>
      <sheetData sheetId="4">
        <row r="12">
          <cell r="O12">
            <v>7574999.7999999998</v>
          </cell>
          <cell r="P12">
            <v>162984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Jan'24"/>
      <sheetName val="Feb'24"/>
      <sheetName val="THR FEB&quot;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</sheetNames>
    <sheetDataSet>
      <sheetData sheetId="0"/>
      <sheetData sheetId="1"/>
      <sheetData sheetId="2"/>
      <sheetData sheetId="3">
        <row r="6">
          <cell r="AE6">
            <v>0</v>
          </cell>
        </row>
        <row r="7">
          <cell r="AE7">
            <v>0</v>
          </cell>
        </row>
        <row r="8">
          <cell r="AE8">
            <v>0</v>
          </cell>
        </row>
        <row r="9">
          <cell r="AE9">
            <v>0</v>
          </cell>
        </row>
        <row r="10">
          <cell r="AE10">
            <v>0</v>
          </cell>
        </row>
        <row r="11">
          <cell r="AE11">
            <v>0</v>
          </cell>
        </row>
        <row r="12">
          <cell r="AE12">
            <v>0</v>
          </cell>
        </row>
        <row r="13">
          <cell r="AE13">
            <v>0</v>
          </cell>
        </row>
        <row r="14">
          <cell r="AE14">
            <v>0</v>
          </cell>
        </row>
        <row r="15">
          <cell r="AE15">
            <v>0</v>
          </cell>
        </row>
        <row r="16">
          <cell r="AE16">
            <v>0</v>
          </cell>
        </row>
        <row r="17">
          <cell r="AE17">
            <v>0</v>
          </cell>
        </row>
        <row r="18">
          <cell r="AE18">
            <v>0</v>
          </cell>
        </row>
        <row r="19">
          <cell r="AE19">
            <v>0</v>
          </cell>
        </row>
        <row r="20">
          <cell r="AE20">
            <v>0</v>
          </cell>
        </row>
        <row r="21">
          <cell r="AE21">
            <v>0</v>
          </cell>
        </row>
        <row r="22">
          <cell r="AE22">
            <v>0</v>
          </cell>
        </row>
        <row r="23">
          <cell r="AE23">
            <v>0</v>
          </cell>
        </row>
        <row r="24">
          <cell r="AE24">
            <v>0</v>
          </cell>
        </row>
        <row r="25">
          <cell r="AE25">
            <v>0</v>
          </cell>
        </row>
        <row r="26">
          <cell r="AE26">
            <v>0</v>
          </cell>
        </row>
        <row r="27">
          <cell r="AE27">
            <v>0</v>
          </cell>
        </row>
        <row r="28">
          <cell r="AE28">
            <v>0</v>
          </cell>
        </row>
        <row r="29">
          <cell r="AE29">
            <v>0</v>
          </cell>
        </row>
        <row r="30">
          <cell r="AE30">
            <v>0</v>
          </cell>
        </row>
        <row r="31">
          <cell r="AE31">
            <v>0</v>
          </cell>
        </row>
        <row r="32">
          <cell r="AE32">
            <v>0</v>
          </cell>
        </row>
        <row r="33">
          <cell r="AE33">
            <v>0</v>
          </cell>
        </row>
        <row r="34">
          <cell r="AE34">
            <v>0</v>
          </cell>
        </row>
        <row r="35">
          <cell r="AE35">
            <v>0</v>
          </cell>
        </row>
        <row r="36">
          <cell r="AE36">
            <v>0</v>
          </cell>
        </row>
        <row r="37">
          <cell r="AE37">
            <v>0</v>
          </cell>
        </row>
        <row r="38">
          <cell r="AE38">
            <v>15540</v>
          </cell>
        </row>
        <row r="39">
          <cell r="AE39">
            <v>0</v>
          </cell>
        </row>
        <row r="40">
          <cell r="AE40">
            <v>16047</v>
          </cell>
        </row>
        <row r="41">
          <cell r="AE41">
            <v>0</v>
          </cell>
        </row>
        <row r="42">
          <cell r="AE42">
            <v>0</v>
          </cell>
        </row>
        <row r="43">
          <cell r="AE43">
            <v>0</v>
          </cell>
        </row>
        <row r="90">
          <cell r="AE9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LARY"/>
      <sheetName val="REKENING"/>
      <sheetName val="PPH21-STAFF"/>
      <sheetName val="SLIP GAJI"/>
      <sheetName val="PINJAMAN"/>
    </sheetNames>
    <sheetDataSet>
      <sheetData sheetId="0" refreshError="1"/>
      <sheetData sheetId="1" refreshError="1"/>
      <sheetData sheetId="2" refreshError="1">
        <row r="52">
          <cell r="I52">
            <v>500000</v>
          </cell>
        </row>
        <row r="81">
          <cell r="S81">
            <v>146559230.55268797</v>
          </cell>
        </row>
      </sheetData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>
        <row r="11">
          <cell r="T11">
            <v>135000</v>
          </cell>
          <cell r="W11">
            <v>69000</v>
          </cell>
          <cell r="Y11">
            <v>43500</v>
          </cell>
          <cell r="AA11">
            <v>1157225.3</v>
          </cell>
        </row>
        <row r="12">
          <cell r="T12">
            <v>135000</v>
          </cell>
          <cell r="W12">
            <v>46000</v>
          </cell>
          <cell r="Y12">
            <v>30000</v>
          </cell>
          <cell r="AA12">
            <v>1094103.92</v>
          </cell>
        </row>
        <row r="13">
          <cell r="T13">
            <v>167400</v>
          </cell>
          <cell r="W13">
            <v>72000</v>
          </cell>
          <cell r="Y13">
            <v>61000</v>
          </cell>
          <cell r="AA13">
            <v>1272947.83</v>
          </cell>
        </row>
        <row r="14">
          <cell r="T14">
            <v>162000</v>
          </cell>
          <cell r="W14">
            <v>46000</v>
          </cell>
          <cell r="Y14">
            <v>61000</v>
          </cell>
          <cell r="AA14">
            <v>1241387.1399999999</v>
          </cell>
        </row>
        <row r="15">
          <cell r="AQ15">
            <v>50121</v>
          </cell>
        </row>
      </sheetData>
      <sheetData sheetId="1">
        <row r="11">
          <cell r="X11">
            <v>139500</v>
          </cell>
          <cell r="AC11">
            <v>12500</v>
          </cell>
        </row>
        <row r="12">
          <cell r="X12">
            <v>135000</v>
          </cell>
          <cell r="AC12">
            <v>12500</v>
          </cell>
        </row>
        <row r="13">
          <cell r="AY13">
            <v>-2210</v>
          </cell>
        </row>
      </sheetData>
      <sheetData sheetId="2">
        <row r="11">
          <cell r="X11">
            <v>65250</v>
          </cell>
          <cell r="AA11">
            <v>63000</v>
          </cell>
          <cell r="AC11">
            <v>43500</v>
          </cell>
          <cell r="AP11">
            <v>148540</v>
          </cell>
        </row>
        <row r="12">
          <cell r="X12">
            <v>69750</v>
          </cell>
          <cell r="AA12">
            <v>40000</v>
          </cell>
          <cell r="AC12">
            <v>15000</v>
          </cell>
          <cell r="AP12">
            <v>146200</v>
          </cell>
        </row>
        <row r="13">
          <cell r="X13">
            <v>58500</v>
          </cell>
          <cell r="AC13">
            <v>47000</v>
          </cell>
          <cell r="AP13">
            <v>147480</v>
          </cell>
        </row>
        <row r="14">
          <cell r="X14">
            <v>135000</v>
          </cell>
          <cell r="AC14">
            <v>27000</v>
          </cell>
          <cell r="AP14">
            <v>146680</v>
          </cell>
        </row>
        <row r="15">
          <cell r="X15">
            <v>67500</v>
          </cell>
          <cell r="AC15">
            <v>50500</v>
          </cell>
          <cell r="AP15">
            <v>147620</v>
          </cell>
        </row>
        <row r="16">
          <cell r="X16">
            <v>56250</v>
          </cell>
          <cell r="AC16">
            <v>50500</v>
          </cell>
          <cell r="AP16">
            <v>147620</v>
          </cell>
        </row>
        <row r="17">
          <cell r="X17">
            <v>67500</v>
          </cell>
          <cell r="AC17">
            <v>47000</v>
          </cell>
          <cell r="AP17">
            <v>147480</v>
          </cell>
        </row>
        <row r="18">
          <cell r="X18">
            <v>69750</v>
          </cell>
          <cell r="AC18">
            <v>61000</v>
          </cell>
          <cell r="AP18">
            <v>148040</v>
          </cell>
        </row>
        <row r="19">
          <cell r="X19">
            <v>69750</v>
          </cell>
          <cell r="AC19">
            <v>43500</v>
          </cell>
          <cell r="AP19">
            <v>147340</v>
          </cell>
        </row>
        <row r="20">
          <cell r="X20">
            <v>104400</v>
          </cell>
          <cell r="AC20">
            <v>61000</v>
          </cell>
          <cell r="AP20">
            <v>148040</v>
          </cell>
        </row>
        <row r="21">
          <cell r="X21">
            <v>65250</v>
          </cell>
          <cell r="AC21">
            <v>24000</v>
          </cell>
          <cell r="AP21">
            <v>146560</v>
          </cell>
        </row>
        <row r="22">
          <cell r="X22">
            <v>69750</v>
          </cell>
          <cell r="AC22">
            <v>30000</v>
          </cell>
          <cell r="AP22">
            <v>146800</v>
          </cell>
        </row>
        <row r="23">
          <cell r="X23">
            <v>139500</v>
          </cell>
          <cell r="AC23">
            <v>30000</v>
          </cell>
          <cell r="AP23">
            <v>146800</v>
          </cell>
        </row>
        <row r="24">
          <cell r="X24">
            <v>156600</v>
          </cell>
          <cell r="AC24">
            <v>21000</v>
          </cell>
          <cell r="AP24">
            <v>146440</v>
          </cell>
        </row>
        <row r="25">
          <cell r="X25">
            <v>130500</v>
          </cell>
          <cell r="AC25">
            <v>7500</v>
          </cell>
          <cell r="AP25">
            <v>145900</v>
          </cell>
        </row>
        <row r="26">
          <cell r="X26">
            <v>69750</v>
          </cell>
          <cell r="AC26">
            <v>43500</v>
          </cell>
          <cell r="AP26">
            <v>147340</v>
          </cell>
        </row>
        <row r="27">
          <cell r="X27">
            <v>67500</v>
          </cell>
          <cell r="AC27">
            <v>50500</v>
          </cell>
          <cell r="AP27">
            <v>147620</v>
          </cell>
        </row>
        <row r="28">
          <cell r="X28">
            <v>65250</v>
          </cell>
          <cell r="AC28">
            <v>24000</v>
          </cell>
          <cell r="AP28">
            <v>146560</v>
          </cell>
        </row>
        <row r="29">
          <cell r="X29">
            <v>162000</v>
          </cell>
          <cell r="AC29">
            <v>61000</v>
          </cell>
          <cell r="AP29">
            <v>148040</v>
          </cell>
        </row>
        <row r="30">
          <cell r="X30">
            <v>65250</v>
          </cell>
          <cell r="AC30">
            <v>50500</v>
          </cell>
          <cell r="AP30">
            <v>147620</v>
          </cell>
        </row>
        <row r="31">
          <cell r="X31">
            <v>69750</v>
          </cell>
          <cell r="AC31">
            <v>43500</v>
          </cell>
          <cell r="AP31">
            <v>147340</v>
          </cell>
        </row>
        <row r="32">
          <cell r="X32">
            <v>69750</v>
          </cell>
          <cell r="AC32">
            <v>15000</v>
          </cell>
          <cell r="AP32">
            <v>146200</v>
          </cell>
        </row>
        <row r="33">
          <cell r="X33">
            <v>69750</v>
          </cell>
          <cell r="AC33">
            <v>15000</v>
          </cell>
          <cell r="AP33">
            <v>146200</v>
          </cell>
        </row>
        <row r="34">
          <cell r="X34">
            <v>69750</v>
          </cell>
          <cell r="AC34">
            <v>15000</v>
          </cell>
          <cell r="AP34">
            <v>146200</v>
          </cell>
        </row>
        <row r="35">
          <cell r="X35">
            <v>69750</v>
          </cell>
          <cell r="AC35">
            <v>15000</v>
          </cell>
          <cell r="AP35">
            <v>146200</v>
          </cell>
        </row>
        <row r="36">
          <cell r="X36">
            <v>104400</v>
          </cell>
          <cell r="AC36">
            <v>33000</v>
          </cell>
          <cell r="AP36">
            <v>146920</v>
          </cell>
        </row>
        <row r="37">
          <cell r="X37">
            <v>67500</v>
          </cell>
          <cell r="AC37">
            <v>43500</v>
          </cell>
          <cell r="AP37">
            <v>147340</v>
          </cell>
        </row>
        <row r="38">
          <cell r="X38">
            <v>145800</v>
          </cell>
          <cell r="AC38">
            <v>47000</v>
          </cell>
          <cell r="AP38">
            <v>147480</v>
          </cell>
        </row>
        <row r="39">
          <cell r="X39">
            <v>162000</v>
          </cell>
          <cell r="AC39">
            <v>21000</v>
          </cell>
          <cell r="AP39">
            <v>146440</v>
          </cell>
        </row>
        <row r="40">
          <cell r="X40">
            <v>69750</v>
          </cell>
          <cell r="AC40">
            <v>15000</v>
          </cell>
          <cell r="AP40">
            <v>146200</v>
          </cell>
        </row>
        <row r="41">
          <cell r="X41">
            <v>67500</v>
          </cell>
          <cell r="AC41">
            <v>47000</v>
          </cell>
          <cell r="AP41">
            <v>147480</v>
          </cell>
        </row>
        <row r="42">
          <cell r="X42">
            <v>162000</v>
          </cell>
          <cell r="AC42">
            <v>43500</v>
          </cell>
          <cell r="AP42">
            <v>150340</v>
          </cell>
        </row>
        <row r="43">
          <cell r="AV43">
            <v>194115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jak A"/>
      <sheetName val="pajak B"/>
      <sheetName val="MAINTENANCE"/>
      <sheetName val="OPERATOR"/>
      <sheetName val="HARVESTING"/>
      <sheetName val="Slip"/>
      <sheetName val="Sheet1"/>
      <sheetName val="Lap.Kar"/>
      <sheetName val="Denomination"/>
      <sheetName val="Account"/>
      <sheetName val="Pjk Ex-Gra1"/>
      <sheetName val="Pjk Ex-Gra2"/>
      <sheetName val="Sheet7"/>
      <sheetName val="BERAS-Kontanan"/>
      <sheetName val="Sheet2"/>
      <sheetName val="REKONSILIASI"/>
      <sheetName val="Sheet3"/>
    </sheetNames>
    <sheetDataSet>
      <sheetData sheetId="0" refreshError="1"/>
      <sheetData sheetId="1" refreshError="1"/>
      <sheetData sheetId="2" refreshError="1">
        <row r="10">
          <cell r="O10">
            <v>3780999.9</v>
          </cell>
        </row>
        <row r="11">
          <cell r="O11">
            <v>3722499.9</v>
          </cell>
        </row>
        <row r="12">
          <cell r="O12">
            <v>3754499.9</v>
          </cell>
        </row>
        <row r="13">
          <cell r="O13">
            <v>3801999.9</v>
          </cell>
        </row>
        <row r="14">
          <cell r="O14">
            <v>3757999.9</v>
          </cell>
        </row>
        <row r="15">
          <cell r="O15">
            <v>3757999.9</v>
          </cell>
        </row>
        <row r="16">
          <cell r="O16">
            <v>3754499.9</v>
          </cell>
        </row>
        <row r="17">
          <cell r="O17">
            <v>3768499.9</v>
          </cell>
        </row>
        <row r="18">
          <cell r="O18">
            <v>3750999.9</v>
          </cell>
        </row>
        <row r="19">
          <cell r="O19">
            <v>3808999.9</v>
          </cell>
        </row>
        <row r="20">
          <cell r="O20">
            <v>3731499.9</v>
          </cell>
        </row>
        <row r="21">
          <cell r="O21">
            <v>3737499.9</v>
          </cell>
        </row>
        <row r="22">
          <cell r="O22">
            <v>3804999.9</v>
          </cell>
        </row>
        <row r="23">
          <cell r="O23">
            <v>3822999.9</v>
          </cell>
        </row>
        <row r="24">
          <cell r="O24">
            <v>3782499.9</v>
          </cell>
        </row>
        <row r="25">
          <cell r="O25">
            <v>3750999.9</v>
          </cell>
        </row>
        <row r="26">
          <cell r="O26">
            <v>3757999.9</v>
          </cell>
        </row>
        <row r="27">
          <cell r="O27">
            <v>3731499.9</v>
          </cell>
        </row>
        <row r="28">
          <cell r="O28">
            <v>3862999.9</v>
          </cell>
        </row>
        <row r="29">
          <cell r="O29">
            <v>3757999.9</v>
          </cell>
        </row>
        <row r="30">
          <cell r="O30">
            <v>3750999.9</v>
          </cell>
        </row>
        <row r="31">
          <cell r="O31">
            <v>3722499.9</v>
          </cell>
        </row>
        <row r="32">
          <cell r="O32">
            <v>3722499.9</v>
          </cell>
        </row>
        <row r="33">
          <cell r="O33">
            <v>3722499.9</v>
          </cell>
        </row>
        <row r="34">
          <cell r="O34">
            <v>3722499.9</v>
          </cell>
        </row>
        <row r="35">
          <cell r="O35">
            <v>3780999.9</v>
          </cell>
        </row>
        <row r="36">
          <cell r="O36">
            <v>3750999.9</v>
          </cell>
        </row>
        <row r="37">
          <cell r="O37">
            <v>3848999.9</v>
          </cell>
        </row>
        <row r="38">
          <cell r="O38">
            <v>3822999.9</v>
          </cell>
        </row>
        <row r="39">
          <cell r="O39">
            <v>3722499.9</v>
          </cell>
        </row>
        <row r="40">
          <cell r="O40">
            <v>3754499.9</v>
          </cell>
        </row>
        <row r="41">
          <cell r="O41">
            <v>3920499.9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 refreshError="1">
        <row r="11">
          <cell r="T11">
            <v>27000</v>
          </cell>
          <cell r="AJ11">
            <v>147340</v>
          </cell>
        </row>
        <row r="12">
          <cell r="AJ12">
            <v>146800</v>
          </cell>
        </row>
        <row r="13">
          <cell r="AJ13">
            <v>148040</v>
          </cell>
        </row>
        <row r="14">
          <cell r="AJ14">
            <v>148040</v>
          </cell>
        </row>
      </sheetData>
      <sheetData sheetId="1" refreshError="1">
        <row r="11">
          <cell r="X11">
            <v>27000</v>
          </cell>
          <cell r="AS11">
            <v>146100</v>
          </cell>
        </row>
        <row r="12">
          <cell r="AS12">
            <v>146100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Jan'24"/>
      <sheetName val="Feb'24"/>
      <sheetName val="THR FEB&quot;24"/>
      <sheetName val="MAR'24"/>
    </sheetNames>
    <sheetDataSet>
      <sheetData sheetId="0"/>
      <sheetData sheetId="1"/>
      <sheetData sheetId="2"/>
      <sheetData sheetId="3">
        <row r="44">
          <cell r="AE44">
            <v>0</v>
          </cell>
        </row>
        <row r="45">
          <cell r="AE45">
            <v>0</v>
          </cell>
        </row>
        <row r="46">
          <cell r="AE46">
            <v>0</v>
          </cell>
        </row>
        <row r="47">
          <cell r="AE47">
            <v>0</v>
          </cell>
        </row>
        <row r="48">
          <cell r="AE48">
            <v>0</v>
          </cell>
        </row>
        <row r="49">
          <cell r="AE49">
            <v>0</v>
          </cell>
        </row>
        <row r="50">
          <cell r="AE50">
            <v>0</v>
          </cell>
        </row>
        <row r="51">
          <cell r="AE51">
            <v>0</v>
          </cell>
        </row>
        <row r="52">
          <cell r="AE52">
            <v>0</v>
          </cell>
        </row>
        <row r="53">
          <cell r="AE53">
            <v>0</v>
          </cell>
        </row>
        <row r="54">
          <cell r="AE54">
            <v>0</v>
          </cell>
        </row>
        <row r="55">
          <cell r="AE55">
            <v>0</v>
          </cell>
        </row>
        <row r="56">
          <cell r="AE56">
            <v>0</v>
          </cell>
        </row>
        <row r="57">
          <cell r="AE57">
            <v>0</v>
          </cell>
        </row>
        <row r="58">
          <cell r="AE58">
            <v>0</v>
          </cell>
        </row>
        <row r="59">
          <cell r="AE59">
            <v>0</v>
          </cell>
        </row>
        <row r="60">
          <cell r="AE60">
            <v>0</v>
          </cell>
        </row>
        <row r="61">
          <cell r="AE61">
            <v>0</v>
          </cell>
        </row>
        <row r="62">
          <cell r="AE62">
            <v>0</v>
          </cell>
        </row>
        <row r="63">
          <cell r="AE63">
            <v>0</v>
          </cell>
        </row>
        <row r="64">
          <cell r="AE64">
            <v>0</v>
          </cell>
        </row>
        <row r="65">
          <cell r="AE65">
            <v>0</v>
          </cell>
        </row>
        <row r="66">
          <cell r="AE66">
            <v>0</v>
          </cell>
        </row>
        <row r="67">
          <cell r="AE67">
            <v>0</v>
          </cell>
        </row>
        <row r="68">
          <cell r="AE68">
            <v>0</v>
          </cell>
        </row>
        <row r="69">
          <cell r="AE69">
            <v>0</v>
          </cell>
        </row>
        <row r="70">
          <cell r="AE70">
            <v>0</v>
          </cell>
        </row>
        <row r="71">
          <cell r="AE71">
            <v>0</v>
          </cell>
        </row>
        <row r="72">
          <cell r="AE72">
            <v>0</v>
          </cell>
        </row>
        <row r="73">
          <cell r="AE73">
            <v>0</v>
          </cell>
        </row>
        <row r="74">
          <cell r="AE74">
            <v>0</v>
          </cell>
        </row>
        <row r="75">
          <cell r="AE75">
            <v>0</v>
          </cell>
        </row>
        <row r="76">
          <cell r="AE76">
            <v>0</v>
          </cell>
        </row>
        <row r="77">
          <cell r="AE77">
            <v>0</v>
          </cell>
        </row>
        <row r="78">
          <cell r="AE78">
            <v>0</v>
          </cell>
        </row>
        <row r="79">
          <cell r="AE79">
            <v>0</v>
          </cell>
        </row>
        <row r="80">
          <cell r="AE80">
            <v>0</v>
          </cell>
        </row>
        <row r="81">
          <cell r="AE81">
            <v>0</v>
          </cell>
        </row>
        <row r="82">
          <cell r="AE82">
            <v>0</v>
          </cell>
        </row>
        <row r="83">
          <cell r="AE83">
            <v>0</v>
          </cell>
        </row>
        <row r="84">
          <cell r="AE84">
            <v>0</v>
          </cell>
        </row>
        <row r="85">
          <cell r="AE85">
            <v>0</v>
          </cell>
        </row>
        <row r="86">
          <cell r="AE86">
            <v>0</v>
          </cell>
        </row>
        <row r="87">
          <cell r="AE87">
            <v>0</v>
          </cell>
        </row>
        <row r="88">
          <cell r="AE88">
            <v>0</v>
          </cell>
        </row>
        <row r="89">
          <cell r="AE89">
            <v>0</v>
          </cell>
        </row>
        <row r="90">
          <cell r="AE90">
            <v>0</v>
          </cell>
        </row>
      </sheetData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LARY"/>
      <sheetName val="REKENING"/>
      <sheetName val="PPH21-STAFF"/>
      <sheetName val="SLIP GAJI"/>
      <sheetName val="PINJAMAN"/>
    </sheetNames>
    <sheetDataSet>
      <sheetData sheetId="0" refreshError="1"/>
      <sheetData sheetId="1" refreshError="1"/>
      <sheetData sheetId="2" refreshError="1">
        <row r="52">
          <cell r="I52">
            <v>500000</v>
          </cell>
        </row>
        <row r="81">
          <cell r="S81">
            <v>146559230.55268797</v>
          </cell>
        </row>
      </sheetData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>
        <row r="11">
          <cell r="T11">
            <v>135000</v>
          </cell>
          <cell r="Y11">
            <v>47000</v>
          </cell>
          <cell r="AJ11">
            <v>147480</v>
          </cell>
        </row>
        <row r="12">
          <cell r="T12">
            <v>135000</v>
          </cell>
          <cell r="Y12">
            <v>30000</v>
          </cell>
          <cell r="AJ12">
            <v>146800</v>
          </cell>
        </row>
        <row r="13">
          <cell r="T13">
            <v>162000</v>
          </cell>
          <cell r="Y13">
            <v>61000</v>
          </cell>
          <cell r="AJ13">
            <v>148040</v>
          </cell>
        </row>
        <row r="14">
          <cell r="T14">
            <v>162000</v>
          </cell>
          <cell r="Y14">
            <v>61000</v>
          </cell>
          <cell r="AJ14">
            <v>148040</v>
          </cell>
        </row>
        <row r="15">
          <cell r="AA15">
            <v>3661040.04</v>
          </cell>
          <cell r="AJ15">
            <v>590360</v>
          </cell>
        </row>
      </sheetData>
      <sheetData sheetId="1">
        <row r="11">
          <cell r="X11">
            <v>130500</v>
          </cell>
          <cell r="AC11">
            <v>12500</v>
          </cell>
          <cell r="AS11">
            <v>146100</v>
          </cell>
        </row>
        <row r="12">
          <cell r="X12">
            <v>130500</v>
          </cell>
          <cell r="AC12">
            <v>12500</v>
          </cell>
          <cell r="AS12">
            <v>146100</v>
          </cell>
        </row>
        <row r="13">
          <cell r="AF13">
            <v>598500</v>
          </cell>
          <cell r="AS13">
            <v>292200</v>
          </cell>
        </row>
      </sheetData>
      <sheetData sheetId="2">
        <row r="11">
          <cell r="X11">
            <v>63000</v>
          </cell>
          <cell r="AC11">
            <v>43500</v>
          </cell>
          <cell r="AP11">
            <v>148540</v>
          </cell>
        </row>
        <row r="12">
          <cell r="X12">
            <v>65250</v>
          </cell>
          <cell r="AC12">
            <v>15000</v>
          </cell>
          <cell r="AP12">
            <v>146200</v>
          </cell>
        </row>
        <row r="13">
          <cell r="X13">
            <v>65250</v>
          </cell>
          <cell r="AC13">
            <v>47000</v>
          </cell>
          <cell r="AP13">
            <v>147480</v>
          </cell>
        </row>
        <row r="14">
          <cell r="X14">
            <v>126000</v>
          </cell>
          <cell r="AC14">
            <v>27000</v>
          </cell>
          <cell r="AP14">
            <v>146680</v>
          </cell>
        </row>
        <row r="15">
          <cell r="X15">
            <v>67500</v>
          </cell>
          <cell r="AC15">
            <v>50500</v>
          </cell>
          <cell r="AP15">
            <v>147620</v>
          </cell>
        </row>
        <row r="16">
          <cell r="X16">
            <v>67500</v>
          </cell>
          <cell r="AC16">
            <v>50500</v>
          </cell>
          <cell r="AP16">
            <v>147620</v>
          </cell>
        </row>
        <row r="17">
          <cell r="X17">
            <v>67500</v>
          </cell>
          <cell r="AC17">
            <v>47000</v>
          </cell>
          <cell r="AP17">
            <v>147480</v>
          </cell>
        </row>
        <row r="18">
          <cell r="X18">
            <v>67500</v>
          </cell>
          <cell r="AC18">
            <v>61000</v>
          </cell>
          <cell r="AP18">
            <v>148040</v>
          </cell>
        </row>
        <row r="19">
          <cell r="X19">
            <v>67500</v>
          </cell>
          <cell r="AC19">
            <v>43500</v>
          </cell>
          <cell r="AP19">
            <v>147340</v>
          </cell>
        </row>
        <row r="20">
          <cell r="X20">
            <v>108000</v>
          </cell>
          <cell r="AC20">
            <v>61000</v>
          </cell>
          <cell r="AP20">
            <v>148040</v>
          </cell>
        </row>
        <row r="21">
          <cell r="X21">
            <v>65250</v>
          </cell>
          <cell r="AC21">
            <v>24000</v>
          </cell>
          <cell r="AP21">
            <v>146560</v>
          </cell>
        </row>
        <row r="22">
          <cell r="X22">
            <v>67500</v>
          </cell>
          <cell r="AC22">
            <v>30000</v>
          </cell>
          <cell r="AP22">
            <v>146800</v>
          </cell>
        </row>
        <row r="23">
          <cell r="X23">
            <v>135000</v>
          </cell>
          <cell r="AC23">
            <v>30000</v>
          </cell>
          <cell r="AP23">
            <v>146800</v>
          </cell>
        </row>
        <row r="24">
          <cell r="X24">
            <v>151200</v>
          </cell>
          <cell r="AC24">
            <v>21000</v>
          </cell>
          <cell r="AP24">
            <v>146440</v>
          </cell>
        </row>
        <row r="25">
          <cell r="X25">
            <v>130500</v>
          </cell>
          <cell r="AC25">
            <v>7500</v>
          </cell>
          <cell r="AP25">
            <v>145900</v>
          </cell>
        </row>
        <row r="26">
          <cell r="X26">
            <v>65250</v>
          </cell>
          <cell r="AC26">
            <v>43500</v>
          </cell>
          <cell r="AP26">
            <v>147340</v>
          </cell>
        </row>
        <row r="27">
          <cell r="X27">
            <v>63000</v>
          </cell>
          <cell r="AC27">
            <v>50500</v>
          </cell>
          <cell r="AP27">
            <v>147620</v>
          </cell>
        </row>
        <row r="28">
          <cell r="X28">
            <v>65250</v>
          </cell>
          <cell r="AC28">
            <v>24000</v>
          </cell>
          <cell r="AP28">
            <v>146560</v>
          </cell>
        </row>
        <row r="29">
          <cell r="X29">
            <v>162000</v>
          </cell>
          <cell r="AC29">
            <v>61000</v>
          </cell>
          <cell r="AP29">
            <v>148040</v>
          </cell>
        </row>
        <row r="30">
          <cell r="X30">
            <v>65250</v>
          </cell>
          <cell r="AC30">
            <v>50500</v>
          </cell>
          <cell r="AP30">
            <v>147620</v>
          </cell>
        </row>
        <row r="31">
          <cell r="X31">
            <v>65250</v>
          </cell>
          <cell r="AC31">
            <v>43500</v>
          </cell>
          <cell r="AP31">
            <v>147340</v>
          </cell>
        </row>
        <row r="32">
          <cell r="X32">
            <v>67500</v>
          </cell>
          <cell r="AC32">
            <v>15000</v>
          </cell>
          <cell r="AP32">
            <v>146200</v>
          </cell>
        </row>
        <row r="33">
          <cell r="X33">
            <v>67500</v>
          </cell>
          <cell r="AC33">
            <v>15000</v>
          </cell>
          <cell r="AP33">
            <v>146200</v>
          </cell>
        </row>
        <row r="34">
          <cell r="X34">
            <v>67500</v>
          </cell>
          <cell r="AC34">
            <v>15000</v>
          </cell>
          <cell r="AP34">
            <v>146200</v>
          </cell>
        </row>
        <row r="35">
          <cell r="X35">
            <v>67500</v>
          </cell>
          <cell r="AC35">
            <v>15000</v>
          </cell>
          <cell r="AP35">
            <v>146200</v>
          </cell>
        </row>
        <row r="36">
          <cell r="X36">
            <v>100800</v>
          </cell>
          <cell r="AC36">
            <v>33000</v>
          </cell>
          <cell r="AP36">
            <v>146920</v>
          </cell>
        </row>
        <row r="37">
          <cell r="X37">
            <v>65250</v>
          </cell>
          <cell r="AC37">
            <v>43500</v>
          </cell>
          <cell r="AP37">
            <v>147340</v>
          </cell>
        </row>
        <row r="38">
          <cell r="X38">
            <v>151200</v>
          </cell>
          <cell r="AC38">
            <v>47000</v>
          </cell>
          <cell r="AP38">
            <v>147480</v>
          </cell>
        </row>
        <row r="39">
          <cell r="X39">
            <v>151200</v>
          </cell>
          <cell r="AC39">
            <v>21000</v>
          </cell>
          <cell r="AP39">
            <v>146440</v>
          </cell>
        </row>
        <row r="40">
          <cell r="X40">
            <v>67500</v>
          </cell>
          <cell r="AC40">
            <v>15000</v>
          </cell>
          <cell r="AP40">
            <v>146200</v>
          </cell>
        </row>
        <row r="41">
          <cell r="X41">
            <v>65250</v>
          </cell>
          <cell r="AC41">
            <v>47000</v>
          </cell>
          <cell r="AP41">
            <v>147480</v>
          </cell>
        </row>
        <row r="42">
          <cell r="X42">
            <v>156600</v>
          </cell>
          <cell r="AC42">
            <v>43500</v>
          </cell>
          <cell r="AP42">
            <v>150340</v>
          </cell>
        </row>
        <row r="43">
          <cell r="AH43">
            <v>2299479.54</v>
          </cell>
          <cell r="AP43">
            <v>4709060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LARY"/>
      <sheetName val="REKENING"/>
      <sheetName val="PPH21-STAFF"/>
      <sheetName val="SLIP GAJI"/>
      <sheetName val="PINJAMAN"/>
    </sheetNames>
    <sheetDataSet>
      <sheetData sheetId="0" refreshError="1"/>
      <sheetData sheetId="1" refreshError="1"/>
      <sheetData sheetId="2" refreshError="1">
        <row r="52">
          <cell r="I52">
            <v>500000</v>
          </cell>
        </row>
        <row r="81">
          <cell r="S81">
            <v>146559230.55268797</v>
          </cell>
        </row>
      </sheetData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 refreshError="1">
        <row r="11">
          <cell r="T11">
            <v>135000</v>
          </cell>
          <cell r="AJ11">
            <v>147480</v>
          </cell>
        </row>
        <row r="12">
          <cell r="AJ12">
            <v>146800</v>
          </cell>
        </row>
        <row r="13">
          <cell r="AJ13">
            <v>148040</v>
          </cell>
        </row>
        <row r="14">
          <cell r="AJ14">
            <v>148040</v>
          </cell>
        </row>
      </sheetData>
      <sheetData sheetId="1" refreshError="1">
        <row r="11">
          <cell r="X11">
            <v>130500</v>
          </cell>
          <cell r="AS11">
            <v>146100</v>
          </cell>
        </row>
        <row r="12">
          <cell r="AS12">
            <v>146100</v>
          </cell>
        </row>
      </sheetData>
      <sheetData sheetId="2" refreshError="1">
        <row r="11">
          <cell r="X11">
            <v>63000</v>
          </cell>
          <cell r="AP11">
            <v>148540</v>
          </cell>
        </row>
        <row r="12">
          <cell r="AP12">
            <v>146200</v>
          </cell>
        </row>
        <row r="13">
          <cell r="AP13">
            <v>147480</v>
          </cell>
        </row>
        <row r="14">
          <cell r="AP14">
            <v>146680</v>
          </cell>
        </row>
        <row r="15">
          <cell r="AP15">
            <v>147620</v>
          </cell>
        </row>
        <row r="16">
          <cell r="AP16">
            <v>147620</v>
          </cell>
        </row>
        <row r="17">
          <cell r="AP17">
            <v>147480</v>
          </cell>
        </row>
        <row r="18">
          <cell r="AP18">
            <v>148040</v>
          </cell>
        </row>
        <row r="19">
          <cell r="AP19">
            <v>147340</v>
          </cell>
        </row>
        <row r="20">
          <cell r="AP20">
            <v>148040</v>
          </cell>
        </row>
        <row r="21">
          <cell r="AP21">
            <v>146560</v>
          </cell>
        </row>
        <row r="22">
          <cell r="AP22">
            <v>146800</v>
          </cell>
        </row>
        <row r="23">
          <cell r="AP23">
            <v>146800</v>
          </cell>
        </row>
        <row r="24">
          <cell r="AP24">
            <v>146440</v>
          </cell>
        </row>
        <row r="25">
          <cell r="AP25">
            <v>145900</v>
          </cell>
        </row>
        <row r="26">
          <cell r="AP26">
            <v>147340</v>
          </cell>
        </row>
        <row r="27">
          <cell r="AP27">
            <v>147620</v>
          </cell>
        </row>
        <row r="28">
          <cell r="AP28">
            <v>146560</v>
          </cell>
        </row>
        <row r="29">
          <cell r="AP29">
            <v>148040</v>
          </cell>
        </row>
        <row r="30">
          <cell r="AP30">
            <v>147620</v>
          </cell>
        </row>
        <row r="31">
          <cell r="AP31">
            <v>147340</v>
          </cell>
        </row>
        <row r="32">
          <cell r="AP32">
            <v>146200</v>
          </cell>
        </row>
        <row r="33">
          <cell r="AP33">
            <v>146200</v>
          </cell>
        </row>
        <row r="34">
          <cell r="AP34">
            <v>146200</v>
          </cell>
        </row>
        <row r="35">
          <cell r="AP35">
            <v>146200</v>
          </cell>
        </row>
        <row r="36">
          <cell r="AP36">
            <v>146920</v>
          </cell>
        </row>
        <row r="37">
          <cell r="AP37">
            <v>147340</v>
          </cell>
        </row>
        <row r="38">
          <cell r="AP38">
            <v>147480</v>
          </cell>
        </row>
        <row r="39">
          <cell r="AP39">
            <v>146440</v>
          </cell>
        </row>
        <row r="40">
          <cell r="AP40">
            <v>146200</v>
          </cell>
        </row>
        <row r="41">
          <cell r="AP41">
            <v>147480</v>
          </cell>
        </row>
        <row r="42">
          <cell r="AP42">
            <v>150340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>
        <row r="11">
          <cell r="T11">
            <v>135000</v>
          </cell>
          <cell r="Y11">
            <v>47000</v>
          </cell>
        </row>
        <row r="12">
          <cell r="T12">
            <v>139500</v>
          </cell>
          <cell r="Y12">
            <v>30000</v>
          </cell>
        </row>
        <row r="13">
          <cell r="T13">
            <v>167400</v>
          </cell>
          <cell r="Y13">
            <v>61000</v>
          </cell>
        </row>
        <row r="14">
          <cell r="T14">
            <v>167400</v>
          </cell>
          <cell r="Y14">
            <v>61000</v>
          </cell>
        </row>
        <row r="15">
          <cell r="AE15">
            <v>26618275.449999996</v>
          </cell>
          <cell r="AJ15">
            <v>590360</v>
          </cell>
          <cell r="AQ15">
            <v>252750</v>
          </cell>
        </row>
      </sheetData>
      <sheetData sheetId="1">
        <row r="11">
          <cell r="X11">
            <v>139500</v>
          </cell>
          <cell r="AC11">
            <v>12500</v>
          </cell>
        </row>
        <row r="12">
          <cell r="X12">
            <v>139500</v>
          </cell>
          <cell r="AC12">
            <v>12500</v>
          </cell>
        </row>
        <row r="13">
          <cell r="AN13">
            <v>8157416.46</v>
          </cell>
          <cell r="AS13">
            <v>292200</v>
          </cell>
          <cell r="AY13">
            <v>0</v>
          </cell>
        </row>
      </sheetData>
      <sheetData sheetId="2">
        <row r="11">
          <cell r="X11">
            <v>65250</v>
          </cell>
          <cell r="AC11">
            <v>43500</v>
          </cell>
        </row>
        <row r="12">
          <cell r="X12">
            <v>69750</v>
          </cell>
          <cell r="AC12">
            <v>15000</v>
          </cell>
        </row>
        <row r="13">
          <cell r="X13">
            <v>67500</v>
          </cell>
          <cell r="AC13">
            <v>47000</v>
          </cell>
        </row>
        <row r="14">
          <cell r="X14">
            <v>135000</v>
          </cell>
          <cell r="AC14">
            <v>27000</v>
          </cell>
        </row>
        <row r="15">
          <cell r="X15">
            <v>69750</v>
          </cell>
          <cell r="AC15">
            <v>50500</v>
          </cell>
        </row>
        <row r="16">
          <cell r="X16">
            <v>69750</v>
          </cell>
          <cell r="AC16">
            <v>50500</v>
          </cell>
        </row>
        <row r="17">
          <cell r="X17">
            <v>69750</v>
          </cell>
          <cell r="AC17">
            <v>47000</v>
          </cell>
        </row>
        <row r="18">
          <cell r="X18">
            <v>69750</v>
          </cell>
          <cell r="AC18">
            <v>61000</v>
          </cell>
        </row>
        <row r="19">
          <cell r="X19">
            <v>69750</v>
          </cell>
          <cell r="AC19">
            <v>43500</v>
          </cell>
        </row>
        <row r="20">
          <cell r="X20">
            <v>104400</v>
          </cell>
          <cell r="AC20">
            <v>61000</v>
          </cell>
        </row>
        <row r="21">
          <cell r="X21">
            <v>104400</v>
          </cell>
          <cell r="AC21">
            <v>24000</v>
          </cell>
        </row>
        <row r="22">
          <cell r="X22">
            <v>42750</v>
          </cell>
          <cell r="AC22">
            <v>30000</v>
          </cell>
        </row>
        <row r="23">
          <cell r="X23">
            <v>139500</v>
          </cell>
          <cell r="AC23">
            <v>30000</v>
          </cell>
        </row>
        <row r="24">
          <cell r="X24">
            <v>162000</v>
          </cell>
          <cell r="AC24">
            <v>21000</v>
          </cell>
        </row>
        <row r="25">
          <cell r="X25">
            <v>139500</v>
          </cell>
          <cell r="AC25">
            <v>7500</v>
          </cell>
        </row>
        <row r="26">
          <cell r="X26">
            <v>69750</v>
          </cell>
          <cell r="AC26">
            <v>43500</v>
          </cell>
        </row>
        <row r="27">
          <cell r="X27">
            <v>67500</v>
          </cell>
          <cell r="AC27">
            <v>50500</v>
          </cell>
        </row>
        <row r="28">
          <cell r="X28">
            <v>69750</v>
          </cell>
          <cell r="AC28">
            <v>24000</v>
          </cell>
        </row>
        <row r="29">
          <cell r="X29">
            <v>162000</v>
          </cell>
          <cell r="AC29">
            <v>61000</v>
          </cell>
        </row>
        <row r="30">
          <cell r="X30">
            <v>67500</v>
          </cell>
          <cell r="AC30">
            <v>50500</v>
          </cell>
        </row>
        <row r="31">
          <cell r="X31">
            <v>69750</v>
          </cell>
          <cell r="AC31">
            <v>43500</v>
          </cell>
        </row>
        <row r="32">
          <cell r="X32">
            <v>69750</v>
          </cell>
          <cell r="AC32">
            <v>15000</v>
          </cell>
        </row>
        <row r="33">
          <cell r="X33">
            <v>69750</v>
          </cell>
          <cell r="AC33">
            <v>15000</v>
          </cell>
        </row>
        <row r="34">
          <cell r="X34">
            <v>69750</v>
          </cell>
          <cell r="AC34">
            <v>15000</v>
          </cell>
        </row>
        <row r="35">
          <cell r="X35">
            <v>67500</v>
          </cell>
          <cell r="AC35">
            <v>15000</v>
          </cell>
        </row>
        <row r="36">
          <cell r="X36">
            <v>104400</v>
          </cell>
          <cell r="AC36">
            <v>33000</v>
          </cell>
        </row>
        <row r="37">
          <cell r="X37">
            <v>69750</v>
          </cell>
          <cell r="AC37">
            <v>43500</v>
          </cell>
        </row>
        <row r="38">
          <cell r="X38">
            <v>151200</v>
          </cell>
          <cell r="AC38">
            <v>47000</v>
          </cell>
        </row>
        <row r="39">
          <cell r="X39">
            <v>156600</v>
          </cell>
          <cell r="AC39">
            <v>21000</v>
          </cell>
        </row>
        <row r="40">
          <cell r="X40">
            <v>69750</v>
          </cell>
          <cell r="AC40">
            <v>15000</v>
          </cell>
        </row>
        <row r="41">
          <cell r="X41">
            <v>69750</v>
          </cell>
          <cell r="AC41">
            <v>47000</v>
          </cell>
        </row>
        <row r="42">
          <cell r="X42">
            <v>167400</v>
          </cell>
          <cell r="AC42">
            <v>43500</v>
          </cell>
        </row>
        <row r="43">
          <cell r="AK43">
            <v>123191814.17000005</v>
          </cell>
          <cell r="AP43">
            <v>4709060</v>
          </cell>
          <cell r="AV43">
            <v>46974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>
        <row r="11">
          <cell r="T11">
            <v>130500</v>
          </cell>
          <cell r="Y11">
            <v>47000</v>
          </cell>
          <cell r="AJ11">
            <v>147480</v>
          </cell>
        </row>
        <row r="12">
          <cell r="T12">
            <v>135000</v>
          </cell>
          <cell r="Y12">
            <v>30000</v>
          </cell>
          <cell r="AJ12">
            <v>146800</v>
          </cell>
        </row>
        <row r="13">
          <cell r="T13">
            <v>162000</v>
          </cell>
          <cell r="Y13">
            <v>61000</v>
          </cell>
          <cell r="AJ13">
            <v>148040</v>
          </cell>
        </row>
        <row r="14">
          <cell r="T14">
            <v>162000</v>
          </cell>
          <cell r="Y14">
            <v>61000</v>
          </cell>
          <cell r="AJ14">
            <v>148040</v>
          </cell>
        </row>
        <row r="15">
          <cell r="AE15">
            <v>23351394.48</v>
          </cell>
          <cell r="AJ15">
            <v>590360</v>
          </cell>
          <cell r="AQ15">
            <v>0</v>
          </cell>
        </row>
      </sheetData>
      <sheetData sheetId="1">
        <row r="11">
          <cell r="X11">
            <v>135000</v>
          </cell>
          <cell r="AC11">
            <v>12500</v>
          </cell>
          <cell r="AS11">
            <v>146100</v>
          </cell>
        </row>
        <row r="12">
          <cell r="X12">
            <v>135000</v>
          </cell>
          <cell r="AC12">
            <v>12500</v>
          </cell>
          <cell r="AS12">
            <v>146100</v>
          </cell>
        </row>
        <row r="13">
          <cell r="AN13">
            <v>7801799.8000000007</v>
          </cell>
          <cell r="AS13">
            <v>292200</v>
          </cell>
          <cell r="AY13">
            <v>0</v>
          </cell>
        </row>
      </sheetData>
      <sheetData sheetId="2">
        <row r="11">
          <cell r="X11">
            <v>63000</v>
          </cell>
          <cell r="AC11">
            <v>43500</v>
          </cell>
          <cell r="AP11">
            <v>148540</v>
          </cell>
        </row>
        <row r="12">
          <cell r="X12">
            <v>67500</v>
          </cell>
          <cell r="AC12">
            <v>15000</v>
          </cell>
          <cell r="AP12">
            <v>146200</v>
          </cell>
        </row>
        <row r="13">
          <cell r="X13">
            <v>63000</v>
          </cell>
          <cell r="AC13">
            <v>47000</v>
          </cell>
          <cell r="AP13">
            <v>147480</v>
          </cell>
        </row>
        <row r="14">
          <cell r="X14">
            <v>130500</v>
          </cell>
          <cell r="AC14">
            <v>27000</v>
          </cell>
          <cell r="AP14">
            <v>146680</v>
          </cell>
        </row>
        <row r="15">
          <cell r="X15">
            <v>67500</v>
          </cell>
          <cell r="AC15">
            <v>50500</v>
          </cell>
          <cell r="AP15">
            <v>147620</v>
          </cell>
        </row>
        <row r="16">
          <cell r="X16">
            <v>65250</v>
          </cell>
          <cell r="AC16">
            <v>50500</v>
          </cell>
          <cell r="AP16">
            <v>147620</v>
          </cell>
        </row>
        <row r="17">
          <cell r="X17">
            <v>67500</v>
          </cell>
          <cell r="AC17">
            <v>47000</v>
          </cell>
          <cell r="AP17">
            <v>147480</v>
          </cell>
        </row>
        <row r="18">
          <cell r="X18">
            <v>67500</v>
          </cell>
          <cell r="AC18">
            <v>61000</v>
          </cell>
          <cell r="AP18">
            <v>148040</v>
          </cell>
        </row>
        <row r="19">
          <cell r="X19">
            <v>67500</v>
          </cell>
          <cell r="AC19">
            <v>43500</v>
          </cell>
          <cell r="AP19">
            <v>147340</v>
          </cell>
        </row>
        <row r="20">
          <cell r="X20">
            <v>104400</v>
          </cell>
          <cell r="AC20">
            <v>61000</v>
          </cell>
          <cell r="AP20">
            <v>148040</v>
          </cell>
        </row>
        <row r="21">
          <cell r="X21">
            <v>104400</v>
          </cell>
          <cell r="AC21">
            <v>24000</v>
          </cell>
          <cell r="AP21">
            <v>146560</v>
          </cell>
        </row>
        <row r="22">
          <cell r="X22">
            <v>67500</v>
          </cell>
          <cell r="AC22">
            <v>30000</v>
          </cell>
          <cell r="AP22">
            <v>146800</v>
          </cell>
        </row>
        <row r="23">
          <cell r="X23">
            <v>135000</v>
          </cell>
          <cell r="AC23">
            <v>30000</v>
          </cell>
          <cell r="AP23">
            <v>146800</v>
          </cell>
        </row>
        <row r="24">
          <cell r="X24">
            <v>151200</v>
          </cell>
          <cell r="AC24">
            <v>21000</v>
          </cell>
          <cell r="AP24">
            <v>146440</v>
          </cell>
        </row>
        <row r="25">
          <cell r="X25">
            <v>130500</v>
          </cell>
          <cell r="AC25">
            <v>7500</v>
          </cell>
          <cell r="AP25">
            <v>145900</v>
          </cell>
        </row>
        <row r="26">
          <cell r="X26">
            <v>67500</v>
          </cell>
          <cell r="AC26">
            <v>43500</v>
          </cell>
          <cell r="AP26">
            <v>147340</v>
          </cell>
        </row>
        <row r="27">
          <cell r="X27">
            <v>65250</v>
          </cell>
          <cell r="AC27">
            <v>50500</v>
          </cell>
          <cell r="AP27">
            <v>147620</v>
          </cell>
        </row>
        <row r="28">
          <cell r="X28">
            <v>67500</v>
          </cell>
          <cell r="AC28">
            <v>24000</v>
          </cell>
          <cell r="AP28">
            <v>146560</v>
          </cell>
        </row>
        <row r="29">
          <cell r="X29">
            <v>156600</v>
          </cell>
          <cell r="AC29">
            <v>61000</v>
          </cell>
          <cell r="AP29">
            <v>148040</v>
          </cell>
        </row>
        <row r="30">
          <cell r="X30">
            <v>67500</v>
          </cell>
          <cell r="AC30">
            <v>50500</v>
          </cell>
          <cell r="AP30">
            <v>147620</v>
          </cell>
        </row>
        <row r="31">
          <cell r="X31">
            <v>65250</v>
          </cell>
          <cell r="AC31">
            <v>47000</v>
          </cell>
          <cell r="AP31">
            <v>147480</v>
          </cell>
        </row>
        <row r="32">
          <cell r="X32">
            <v>67500</v>
          </cell>
          <cell r="AC32">
            <v>15000</v>
          </cell>
          <cell r="AP32">
            <v>146200</v>
          </cell>
        </row>
        <row r="33">
          <cell r="X33">
            <v>65250</v>
          </cell>
          <cell r="AC33">
            <v>15000</v>
          </cell>
          <cell r="AP33">
            <v>146200</v>
          </cell>
        </row>
        <row r="34">
          <cell r="X34">
            <v>67500</v>
          </cell>
          <cell r="AC34">
            <v>15000</v>
          </cell>
          <cell r="AP34">
            <v>146200</v>
          </cell>
        </row>
        <row r="35">
          <cell r="X35">
            <v>67500</v>
          </cell>
          <cell r="AC35">
            <v>15000</v>
          </cell>
          <cell r="AP35">
            <v>146200</v>
          </cell>
        </row>
        <row r="36">
          <cell r="X36">
            <v>100800</v>
          </cell>
          <cell r="AC36">
            <v>33000</v>
          </cell>
          <cell r="AP36">
            <v>146920</v>
          </cell>
        </row>
        <row r="37">
          <cell r="X37">
            <v>65250</v>
          </cell>
          <cell r="AC37">
            <v>43500</v>
          </cell>
          <cell r="AP37">
            <v>147340</v>
          </cell>
        </row>
        <row r="38">
          <cell r="X38">
            <v>151200</v>
          </cell>
          <cell r="AC38">
            <v>47000</v>
          </cell>
          <cell r="AP38">
            <v>147480</v>
          </cell>
        </row>
        <row r="39">
          <cell r="X39">
            <v>151200</v>
          </cell>
          <cell r="AC39">
            <v>24000</v>
          </cell>
          <cell r="AP39">
            <v>146560</v>
          </cell>
        </row>
        <row r="40">
          <cell r="X40">
            <v>65250</v>
          </cell>
          <cell r="AC40">
            <v>15000</v>
          </cell>
          <cell r="AP40">
            <v>146200</v>
          </cell>
        </row>
        <row r="41">
          <cell r="X41">
            <v>67500</v>
          </cell>
          <cell r="AC41">
            <v>47000</v>
          </cell>
          <cell r="AP41">
            <v>147480</v>
          </cell>
        </row>
        <row r="42">
          <cell r="X42">
            <v>60750</v>
          </cell>
          <cell r="AC42">
            <v>0</v>
          </cell>
          <cell r="AP42">
            <v>145600</v>
          </cell>
        </row>
        <row r="43">
          <cell r="X43">
            <v>126000</v>
          </cell>
          <cell r="AC43">
            <v>24000</v>
          </cell>
          <cell r="AP43">
            <v>146560</v>
          </cell>
        </row>
        <row r="44">
          <cell r="X44">
            <v>63000</v>
          </cell>
          <cell r="AC44">
            <v>27000</v>
          </cell>
          <cell r="AP44">
            <v>146680</v>
          </cell>
        </row>
        <row r="45">
          <cell r="X45">
            <v>151200</v>
          </cell>
          <cell r="AC45">
            <v>33000</v>
          </cell>
          <cell r="AP45">
            <v>146920</v>
          </cell>
        </row>
        <row r="46">
          <cell r="X46">
            <v>126000</v>
          </cell>
          <cell r="AC46">
            <v>47000</v>
          </cell>
          <cell r="AP46">
            <v>147480</v>
          </cell>
        </row>
        <row r="47">
          <cell r="X47">
            <v>156600</v>
          </cell>
          <cell r="AC47">
            <v>47000</v>
          </cell>
          <cell r="AP47">
            <v>150480</v>
          </cell>
        </row>
        <row r="48">
          <cell r="AK48">
            <v>138291616</v>
          </cell>
          <cell r="AP48">
            <v>5442700</v>
          </cell>
          <cell r="AV48">
            <v>13824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>
        <row r="11">
          <cell r="T11">
            <v>135000</v>
          </cell>
          <cell r="W11">
            <v>78000</v>
          </cell>
          <cell r="Y11">
            <v>47000</v>
          </cell>
          <cell r="AJ11">
            <v>147480</v>
          </cell>
        </row>
        <row r="12">
          <cell r="T12">
            <v>135000</v>
          </cell>
          <cell r="W12">
            <v>52000</v>
          </cell>
          <cell r="Y12">
            <v>30000</v>
          </cell>
          <cell r="AJ12">
            <v>146800</v>
          </cell>
        </row>
        <row r="13">
          <cell r="T13">
            <v>167400</v>
          </cell>
          <cell r="W13">
            <v>78000</v>
          </cell>
          <cell r="Y13">
            <v>61000</v>
          </cell>
          <cell r="AJ13">
            <v>148040</v>
          </cell>
        </row>
        <row r="14">
          <cell r="T14">
            <v>167400</v>
          </cell>
          <cell r="W14">
            <v>52000</v>
          </cell>
          <cell r="Y14">
            <v>61000</v>
          </cell>
          <cell r="AJ14">
            <v>148040</v>
          </cell>
        </row>
        <row r="15">
          <cell r="AE15">
            <v>25988110.780000001</v>
          </cell>
          <cell r="AJ15">
            <v>590360</v>
          </cell>
          <cell r="AQ15">
            <v>133502</v>
          </cell>
        </row>
      </sheetData>
      <sheetData sheetId="1">
        <row r="11">
          <cell r="X11">
            <v>139500</v>
          </cell>
          <cell r="AC11">
            <v>12500</v>
          </cell>
          <cell r="AS11">
            <v>146100</v>
          </cell>
        </row>
        <row r="12">
          <cell r="X12">
            <v>139500</v>
          </cell>
          <cell r="AC12">
            <v>12500</v>
          </cell>
          <cell r="AS12">
            <v>146100</v>
          </cell>
        </row>
        <row r="13">
          <cell r="X13">
            <v>167400</v>
          </cell>
          <cell r="AC13">
            <v>24000</v>
          </cell>
          <cell r="AS13">
            <v>146560</v>
          </cell>
        </row>
        <row r="14">
          <cell r="X14">
            <v>139500</v>
          </cell>
          <cell r="AC14">
            <v>7500</v>
          </cell>
          <cell r="AS14">
            <v>145900</v>
          </cell>
        </row>
        <row r="15">
          <cell r="X15">
            <v>135000</v>
          </cell>
          <cell r="AC15">
            <v>43500</v>
          </cell>
          <cell r="AS15">
            <v>147340</v>
          </cell>
        </row>
        <row r="16">
          <cell r="AN16">
            <v>19979782.82</v>
          </cell>
          <cell r="AS16">
            <v>732000</v>
          </cell>
          <cell r="AY16">
            <v>0</v>
          </cell>
        </row>
      </sheetData>
      <sheetData sheetId="2">
        <row r="11">
          <cell r="X11">
            <v>65250</v>
          </cell>
          <cell r="AA11">
            <v>69000</v>
          </cell>
          <cell r="AC11">
            <v>47000</v>
          </cell>
          <cell r="AP11">
            <v>148680</v>
          </cell>
        </row>
        <row r="12">
          <cell r="X12">
            <v>69750</v>
          </cell>
          <cell r="AA12">
            <v>46000</v>
          </cell>
          <cell r="AC12">
            <v>15000</v>
          </cell>
          <cell r="AP12">
            <v>146200</v>
          </cell>
        </row>
        <row r="13">
          <cell r="X13">
            <v>67500</v>
          </cell>
          <cell r="AC13">
            <v>47000</v>
          </cell>
          <cell r="AP13">
            <v>147480</v>
          </cell>
        </row>
        <row r="14">
          <cell r="X14">
            <v>130500</v>
          </cell>
          <cell r="AC14">
            <v>27000</v>
          </cell>
          <cell r="AP14">
            <v>146680</v>
          </cell>
        </row>
        <row r="15">
          <cell r="X15">
            <v>69750</v>
          </cell>
          <cell r="AC15">
            <v>50500</v>
          </cell>
          <cell r="AP15">
            <v>147620</v>
          </cell>
        </row>
        <row r="16">
          <cell r="X16">
            <v>67500</v>
          </cell>
          <cell r="AC16">
            <v>50500</v>
          </cell>
          <cell r="AP16">
            <v>147620</v>
          </cell>
        </row>
        <row r="17">
          <cell r="X17">
            <v>69750</v>
          </cell>
          <cell r="AC17">
            <v>47000</v>
          </cell>
          <cell r="AP17">
            <v>147480</v>
          </cell>
        </row>
        <row r="18">
          <cell r="X18">
            <v>69750</v>
          </cell>
          <cell r="AC18">
            <v>61000</v>
          </cell>
          <cell r="AP18">
            <v>148040</v>
          </cell>
        </row>
        <row r="19">
          <cell r="X19">
            <v>69750</v>
          </cell>
          <cell r="AC19">
            <v>43500</v>
          </cell>
          <cell r="AP19">
            <v>147340</v>
          </cell>
        </row>
        <row r="20">
          <cell r="X20">
            <v>108000</v>
          </cell>
          <cell r="AC20">
            <v>61000</v>
          </cell>
          <cell r="AP20">
            <v>148040</v>
          </cell>
        </row>
        <row r="21">
          <cell r="X21">
            <v>111600</v>
          </cell>
          <cell r="AC21">
            <v>24000</v>
          </cell>
          <cell r="AP21">
            <v>146560</v>
          </cell>
        </row>
        <row r="22">
          <cell r="X22">
            <v>69750</v>
          </cell>
          <cell r="AC22">
            <v>30000</v>
          </cell>
          <cell r="AP22">
            <v>146800</v>
          </cell>
        </row>
        <row r="23">
          <cell r="X23">
            <v>139500</v>
          </cell>
          <cell r="AC23">
            <v>30000</v>
          </cell>
          <cell r="AP23">
            <v>146800</v>
          </cell>
        </row>
        <row r="24">
          <cell r="X24">
            <v>162000</v>
          </cell>
          <cell r="AC24">
            <v>21000</v>
          </cell>
          <cell r="AP24">
            <v>146440</v>
          </cell>
        </row>
        <row r="25">
          <cell r="X25">
            <v>135000</v>
          </cell>
          <cell r="AC25">
            <v>7500</v>
          </cell>
          <cell r="AP25">
            <v>145900</v>
          </cell>
        </row>
        <row r="26">
          <cell r="X26">
            <v>69750</v>
          </cell>
          <cell r="AC26">
            <v>47000</v>
          </cell>
          <cell r="AP26">
            <v>147480</v>
          </cell>
        </row>
        <row r="27">
          <cell r="X27">
            <v>67500</v>
          </cell>
          <cell r="AC27">
            <v>50500</v>
          </cell>
          <cell r="AP27">
            <v>147620</v>
          </cell>
        </row>
        <row r="28">
          <cell r="X28">
            <v>69750</v>
          </cell>
          <cell r="AC28">
            <v>24000</v>
          </cell>
          <cell r="AP28">
            <v>146560</v>
          </cell>
        </row>
        <row r="29">
          <cell r="X29">
            <v>167400</v>
          </cell>
          <cell r="AC29">
            <v>61000</v>
          </cell>
          <cell r="AP29">
            <v>148040</v>
          </cell>
        </row>
        <row r="30">
          <cell r="X30">
            <v>69750</v>
          </cell>
          <cell r="AC30">
            <v>50500</v>
          </cell>
          <cell r="AP30">
            <v>147620</v>
          </cell>
        </row>
        <row r="31">
          <cell r="X31">
            <v>67500</v>
          </cell>
          <cell r="AC31">
            <v>47000</v>
          </cell>
          <cell r="AP31">
            <v>147480</v>
          </cell>
        </row>
        <row r="32">
          <cell r="X32">
            <v>69750</v>
          </cell>
          <cell r="AC32">
            <v>15000</v>
          </cell>
          <cell r="AP32">
            <v>146200</v>
          </cell>
        </row>
        <row r="33">
          <cell r="X33">
            <v>69750</v>
          </cell>
          <cell r="AC33">
            <v>15000</v>
          </cell>
          <cell r="AP33">
            <v>146200</v>
          </cell>
        </row>
        <row r="34">
          <cell r="X34">
            <v>69750</v>
          </cell>
          <cell r="AC34">
            <v>15000</v>
          </cell>
          <cell r="AP34">
            <v>146200</v>
          </cell>
        </row>
        <row r="35">
          <cell r="X35">
            <v>69750</v>
          </cell>
          <cell r="AC35">
            <v>15000</v>
          </cell>
          <cell r="AP35">
            <v>146200</v>
          </cell>
        </row>
        <row r="36">
          <cell r="X36">
            <v>108000</v>
          </cell>
          <cell r="AC36">
            <v>33000</v>
          </cell>
          <cell r="AP36">
            <v>146920</v>
          </cell>
        </row>
        <row r="37">
          <cell r="X37">
            <v>69750</v>
          </cell>
          <cell r="AC37">
            <v>47000</v>
          </cell>
          <cell r="AP37">
            <v>147480</v>
          </cell>
        </row>
        <row r="38">
          <cell r="X38">
            <v>156600</v>
          </cell>
          <cell r="AC38">
            <v>47000</v>
          </cell>
          <cell r="AP38">
            <v>147480</v>
          </cell>
        </row>
        <row r="39">
          <cell r="X39">
            <v>162000</v>
          </cell>
          <cell r="AC39">
            <v>24000</v>
          </cell>
          <cell r="AP39">
            <v>146560</v>
          </cell>
        </row>
        <row r="40">
          <cell r="X40">
            <v>69750</v>
          </cell>
          <cell r="AC40">
            <v>18000</v>
          </cell>
          <cell r="AP40">
            <v>146320</v>
          </cell>
        </row>
        <row r="41">
          <cell r="X41">
            <v>69750</v>
          </cell>
          <cell r="AC41">
            <v>50500</v>
          </cell>
          <cell r="AP41">
            <v>147620</v>
          </cell>
        </row>
        <row r="42">
          <cell r="X42">
            <v>69750</v>
          </cell>
          <cell r="AC42">
            <v>0</v>
          </cell>
          <cell r="AP42">
            <v>145600</v>
          </cell>
        </row>
        <row r="43">
          <cell r="X43">
            <v>130500</v>
          </cell>
          <cell r="AC43">
            <v>24000</v>
          </cell>
          <cell r="AP43">
            <v>146560</v>
          </cell>
        </row>
        <row r="44">
          <cell r="X44">
            <v>67500</v>
          </cell>
          <cell r="AC44">
            <v>27000</v>
          </cell>
          <cell r="AP44">
            <v>146680</v>
          </cell>
        </row>
        <row r="45">
          <cell r="X45">
            <v>162000</v>
          </cell>
          <cell r="AC45">
            <v>33000</v>
          </cell>
          <cell r="AP45">
            <v>146920</v>
          </cell>
        </row>
        <row r="46">
          <cell r="X46">
            <v>162000</v>
          </cell>
          <cell r="AC46">
            <v>47000</v>
          </cell>
          <cell r="AP46">
            <v>147480</v>
          </cell>
        </row>
        <row r="47">
          <cell r="X47">
            <v>162000</v>
          </cell>
          <cell r="AC47">
            <v>47000</v>
          </cell>
          <cell r="AP47">
            <v>150480</v>
          </cell>
        </row>
        <row r="48">
          <cell r="AK48">
            <v>144961488.39000005</v>
          </cell>
          <cell r="AP48">
            <v>5443380</v>
          </cell>
          <cell r="AV48">
            <v>28444</v>
          </cell>
        </row>
      </sheetData>
      <sheetData sheetId="3">
        <row r="11">
          <cell r="AP11">
            <v>145600</v>
          </cell>
        </row>
        <row r="12">
          <cell r="AK12">
            <v>2669333.2599999998</v>
          </cell>
          <cell r="AP12">
            <v>145600</v>
          </cell>
          <cell r="AV1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>
        <row r="11">
          <cell r="T11">
            <v>135000</v>
          </cell>
          <cell r="W11">
            <v>75000</v>
          </cell>
          <cell r="Y11">
            <v>47000</v>
          </cell>
          <cell r="AA11">
            <v>1167745.53</v>
          </cell>
          <cell r="AE11">
            <v>6400165.4300000006</v>
          </cell>
        </row>
        <row r="12">
          <cell r="T12">
            <v>135000</v>
          </cell>
          <cell r="W12">
            <v>50000</v>
          </cell>
          <cell r="Y12">
            <v>30000</v>
          </cell>
          <cell r="AA12">
            <v>1125664.6100000001</v>
          </cell>
          <cell r="AE12">
            <v>6316984.5100000007</v>
          </cell>
        </row>
        <row r="13">
          <cell r="T13">
            <v>167400</v>
          </cell>
          <cell r="W13">
            <v>75000</v>
          </cell>
          <cell r="Y13">
            <v>61000</v>
          </cell>
          <cell r="AA13">
            <v>1125664.6100000001</v>
          </cell>
          <cell r="AE13">
            <v>6277507.8400000008</v>
          </cell>
        </row>
        <row r="14">
          <cell r="T14">
            <v>167400</v>
          </cell>
          <cell r="W14">
            <v>52000</v>
          </cell>
          <cell r="Y14">
            <v>61000</v>
          </cell>
          <cell r="AA14">
            <v>1157225.3</v>
          </cell>
          <cell r="AE14">
            <v>6304068.5300000003</v>
          </cell>
        </row>
        <row r="15">
          <cell r="AE15">
            <v>25298726.310000002</v>
          </cell>
          <cell r="AJ15">
            <v>590360</v>
          </cell>
          <cell r="AQ15">
            <v>81472</v>
          </cell>
        </row>
      </sheetData>
      <sheetData sheetId="1">
        <row r="11">
          <cell r="X11">
            <v>130500</v>
          </cell>
          <cell r="AC11">
            <v>12500</v>
          </cell>
          <cell r="AN11">
            <v>3740416.57</v>
          </cell>
          <cell r="AS11">
            <v>146100</v>
          </cell>
        </row>
        <row r="12">
          <cell r="X12">
            <v>139500</v>
          </cell>
          <cell r="AC12">
            <v>12500</v>
          </cell>
          <cell r="AN12">
            <v>4041433.23</v>
          </cell>
          <cell r="AS12">
            <v>146100</v>
          </cell>
        </row>
        <row r="13">
          <cell r="X13">
            <v>162000</v>
          </cell>
          <cell r="AC13">
            <v>24000</v>
          </cell>
          <cell r="AN13">
            <v>3929949.9</v>
          </cell>
          <cell r="AS13">
            <v>146560</v>
          </cell>
        </row>
        <row r="14">
          <cell r="X14">
            <v>130500</v>
          </cell>
          <cell r="AC14">
            <v>7500</v>
          </cell>
          <cell r="AN14">
            <v>3755366.57</v>
          </cell>
          <cell r="AS14">
            <v>145900</v>
          </cell>
        </row>
        <row r="15">
          <cell r="X15">
            <v>135000</v>
          </cell>
          <cell r="AC15">
            <v>47000</v>
          </cell>
          <cell r="AN15">
            <v>3923849.9</v>
          </cell>
          <cell r="AS15">
            <v>147480</v>
          </cell>
        </row>
        <row r="16">
          <cell r="AN16">
            <v>19391016.169999998</v>
          </cell>
          <cell r="AS16">
            <v>732140</v>
          </cell>
          <cell r="AY16">
            <v>0</v>
          </cell>
        </row>
      </sheetData>
      <sheetData sheetId="2">
        <row r="11">
          <cell r="X11">
            <v>65250</v>
          </cell>
          <cell r="AA11">
            <v>69000</v>
          </cell>
          <cell r="AC11">
            <v>47000</v>
          </cell>
          <cell r="AH11">
            <v>63641.62</v>
          </cell>
          <cell r="AK11">
            <v>3792558.19</v>
          </cell>
          <cell r="AP11">
            <v>148680</v>
          </cell>
        </row>
        <row r="12">
          <cell r="X12">
            <v>67500</v>
          </cell>
          <cell r="AA12">
            <v>40000</v>
          </cell>
          <cell r="AC12">
            <v>15000</v>
          </cell>
          <cell r="AH12">
            <v>1546473.81</v>
          </cell>
          <cell r="AK12">
            <v>5308973.71</v>
          </cell>
          <cell r="AP12">
            <v>146200</v>
          </cell>
        </row>
        <row r="13">
          <cell r="X13">
            <v>67500</v>
          </cell>
          <cell r="AC13">
            <v>47000</v>
          </cell>
          <cell r="AH13">
            <v>252485.52</v>
          </cell>
          <cell r="AK13">
            <v>4006985.4200000004</v>
          </cell>
          <cell r="AP13">
            <v>147480</v>
          </cell>
        </row>
        <row r="14">
          <cell r="X14">
            <v>130500</v>
          </cell>
          <cell r="AC14">
            <v>27000</v>
          </cell>
          <cell r="AH14">
            <v>0</v>
          </cell>
          <cell r="AK14">
            <v>3676166.57</v>
          </cell>
          <cell r="AP14">
            <v>146680</v>
          </cell>
        </row>
        <row r="15">
          <cell r="X15">
            <v>69750</v>
          </cell>
          <cell r="AC15">
            <v>50500</v>
          </cell>
          <cell r="AH15">
            <v>0</v>
          </cell>
          <cell r="AK15">
            <v>3881583.23</v>
          </cell>
          <cell r="AP15">
            <v>147620</v>
          </cell>
        </row>
        <row r="16">
          <cell r="X16">
            <v>69750</v>
          </cell>
          <cell r="AC16">
            <v>50500</v>
          </cell>
          <cell r="AH16">
            <v>0</v>
          </cell>
          <cell r="AK16">
            <v>3881583.2300000004</v>
          </cell>
          <cell r="AP16">
            <v>147620</v>
          </cell>
        </row>
        <row r="17">
          <cell r="X17">
            <v>69750</v>
          </cell>
          <cell r="AC17">
            <v>47000</v>
          </cell>
          <cell r="AH17">
            <v>0</v>
          </cell>
          <cell r="AK17">
            <v>3878083.23</v>
          </cell>
          <cell r="AP17">
            <v>147480</v>
          </cell>
        </row>
        <row r="18">
          <cell r="X18">
            <v>69750</v>
          </cell>
          <cell r="AC18">
            <v>61000</v>
          </cell>
          <cell r="AH18">
            <v>0</v>
          </cell>
          <cell r="AK18">
            <v>3892083.2300000004</v>
          </cell>
          <cell r="AP18">
            <v>148040</v>
          </cell>
        </row>
        <row r="19">
          <cell r="X19">
            <v>69750</v>
          </cell>
          <cell r="AC19">
            <v>43500</v>
          </cell>
          <cell r="AH19">
            <v>0</v>
          </cell>
          <cell r="AK19">
            <v>3874583.2300000004</v>
          </cell>
          <cell r="AP19">
            <v>147340</v>
          </cell>
        </row>
        <row r="20">
          <cell r="X20">
            <v>108000</v>
          </cell>
          <cell r="AC20">
            <v>61000</v>
          </cell>
          <cell r="AH20">
            <v>73641.61</v>
          </cell>
          <cell r="AK20">
            <v>3882641.51</v>
          </cell>
          <cell r="AP20">
            <v>148040</v>
          </cell>
        </row>
        <row r="21">
          <cell r="X21">
            <v>108000</v>
          </cell>
          <cell r="AC21">
            <v>24000</v>
          </cell>
          <cell r="AH21">
            <v>31560.69</v>
          </cell>
          <cell r="AK21">
            <v>3803560.59</v>
          </cell>
          <cell r="AP21">
            <v>146560</v>
          </cell>
        </row>
        <row r="22">
          <cell r="X22">
            <v>69750</v>
          </cell>
          <cell r="AC22">
            <v>30000</v>
          </cell>
          <cell r="AH22">
            <v>0</v>
          </cell>
          <cell r="AK22">
            <v>3861083.23</v>
          </cell>
          <cell r="AP22">
            <v>146800</v>
          </cell>
        </row>
        <row r="23">
          <cell r="X23">
            <v>135000</v>
          </cell>
          <cell r="AC23">
            <v>30000</v>
          </cell>
          <cell r="AH23">
            <v>336647.36</v>
          </cell>
          <cell r="AK23">
            <v>4375247.2600000007</v>
          </cell>
          <cell r="AP23">
            <v>146800</v>
          </cell>
        </row>
        <row r="24">
          <cell r="X24">
            <v>167400</v>
          </cell>
          <cell r="AC24">
            <v>24000</v>
          </cell>
          <cell r="AH24">
            <v>0</v>
          </cell>
          <cell r="AK24">
            <v>3952733.23</v>
          </cell>
          <cell r="AP24">
            <v>146560</v>
          </cell>
        </row>
        <row r="25">
          <cell r="X25">
            <v>135000</v>
          </cell>
          <cell r="AC25">
            <v>7500</v>
          </cell>
          <cell r="AH25">
            <v>0</v>
          </cell>
          <cell r="AK25">
            <v>3782499.9000000004</v>
          </cell>
          <cell r="AP25">
            <v>145900</v>
          </cell>
        </row>
        <row r="26">
          <cell r="X26">
            <v>69750</v>
          </cell>
          <cell r="AC26">
            <v>47000</v>
          </cell>
          <cell r="AH26">
            <v>0</v>
          </cell>
          <cell r="AK26">
            <v>3878083.2300000004</v>
          </cell>
          <cell r="AP26">
            <v>147480</v>
          </cell>
        </row>
        <row r="27">
          <cell r="X27">
            <v>67500</v>
          </cell>
          <cell r="AC27">
            <v>50500</v>
          </cell>
          <cell r="AH27">
            <v>0</v>
          </cell>
          <cell r="AK27">
            <v>3757999.9000000004</v>
          </cell>
          <cell r="AP27">
            <v>147620</v>
          </cell>
        </row>
        <row r="28">
          <cell r="X28">
            <v>67500</v>
          </cell>
          <cell r="AC28">
            <v>27000</v>
          </cell>
          <cell r="AH28">
            <v>0</v>
          </cell>
          <cell r="AK28">
            <v>3734499.9</v>
          </cell>
          <cell r="AP28">
            <v>146680</v>
          </cell>
        </row>
        <row r="29">
          <cell r="X29">
            <v>167400</v>
          </cell>
          <cell r="AC29">
            <v>61000</v>
          </cell>
          <cell r="AH29">
            <v>967861.16</v>
          </cell>
          <cell r="AK29">
            <v>4957594.3899999997</v>
          </cell>
          <cell r="AP29">
            <v>148040</v>
          </cell>
        </row>
        <row r="30">
          <cell r="X30">
            <v>69750</v>
          </cell>
          <cell r="AC30">
            <v>50500</v>
          </cell>
          <cell r="AH30">
            <v>0</v>
          </cell>
          <cell r="AK30">
            <v>3881583.23</v>
          </cell>
          <cell r="AP30">
            <v>147620</v>
          </cell>
        </row>
        <row r="31">
          <cell r="X31">
            <v>67500</v>
          </cell>
          <cell r="AC31">
            <v>47000</v>
          </cell>
          <cell r="AH31">
            <v>0</v>
          </cell>
          <cell r="AK31">
            <v>3754499.9</v>
          </cell>
          <cell r="AP31">
            <v>147480</v>
          </cell>
        </row>
        <row r="32">
          <cell r="X32">
            <v>69750</v>
          </cell>
          <cell r="AC32">
            <v>15000</v>
          </cell>
          <cell r="AH32">
            <v>0</v>
          </cell>
          <cell r="AK32">
            <v>3846083.2300000004</v>
          </cell>
          <cell r="AP32">
            <v>146200</v>
          </cell>
        </row>
        <row r="33">
          <cell r="X33">
            <v>67500</v>
          </cell>
          <cell r="AC33">
            <v>15000</v>
          </cell>
          <cell r="AH33">
            <v>0</v>
          </cell>
          <cell r="AK33">
            <v>3722499.9000000004</v>
          </cell>
          <cell r="AP33">
            <v>146200</v>
          </cell>
        </row>
        <row r="34">
          <cell r="X34">
            <v>69750</v>
          </cell>
          <cell r="AC34">
            <v>15000</v>
          </cell>
          <cell r="AH34">
            <v>0</v>
          </cell>
          <cell r="AK34">
            <v>3846083.23</v>
          </cell>
          <cell r="AP34">
            <v>146200</v>
          </cell>
        </row>
        <row r="35">
          <cell r="X35">
            <v>69750</v>
          </cell>
          <cell r="AC35">
            <v>15000</v>
          </cell>
          <cell r="AH35">
            <v>0</v>
          </cell>
          <cell r="AK35">
            <v>3846083.23</v>
          </cell>
          <cell r="AP35">
            <v>146200</v>
          </cell>
        </row>
        <row r="36">
          <cell r="X36">
            <v>104400</v>
          </cell>
          <cell r="AC36">
            <v>33000</v>
          </cell>
          <cell r="AH36">
            <v>73641.61</v>
          </cell>
          <cell r="AK36">
            <v>3729708.18</v>
          </cell>
          <cell r="AP36">
            <v>146920</v>
          </cell>
        </row>
        <row r="37">
          <cell r="X37">
            <v>67500</v>
          </cell>
          <cell r="AC37">
            <v>47000</v>
          </cell>
          <cell r="AH37">
            <v>0</v>
          </cell>
          <cell r="AK37">
            <v>3754499.9000000004</v>
          </cell>
          <cell r="AP37">
            <v>147480</v>
          </cell>
        </row>
        <row r="38">
          <cell r="X38">
            <v>162000</v>
          </cell>
          <cell r="AC38">
            <v>47000</v>
          </cell>
          <cell r="AH38">
            <v>0</v>
          </cell>
          <cell r="AK38">
            <v>3848999.9</v>
          </cell>
          <cell r="AP38">
            <v>147480</v>
          </cell>
        </row>
        <row r="39">
          <cell r="X39">
            <v>162000</v>
          </cell>
          <cell r="AC39">
            <v>24000</v>
          </cell>
          <cell r="AH39">
            <v>0</v>
          </cell>
          <cell r="AK39">
            <v>3825999.9</v>
          </cell>
          <cell r="AP39">
            <v>146560</v>
          </cell>
        </row>
        <row r="40">
          <cell r="X40">
            <v>69750</v>
          </cell>
          <cell r="AC40">
            <v>18000</v>
          </cell>
          <cell r="AH40">
            <v>0</v>
          </cell>
          <cell r="AK40">
            <v>3849083.23</v>
          </cell>
          <cell r="AP40">
            <v>146320</v>
          </cell>
        </row>
        <row r="41">
          <cell r="X41">
            <v>67500</v>
          </cell>
          <cell r="AC41">
            <v>50500</v>
          </cell>
          <cell r="AH41">
            <v>0</v>
          </cell>
          <cell r="AK41">
            <v>3757999.9000000004</v>
          </cell>
          <cell r="AP41">
            <v>147620</v>
          </cell>
        </row>
        <row r="42">
          <cell r="X42">
            <v>67500</v>
          </cell>
          <cell r="AC42">
            <v>0</v>
          </cell>
          <cell r="AH42">
            <v>0</v>
          </cell>
          <cell r="AK42">
            <v>3707499.9</v>
          </cell>
          <cell r="AP42">
            <v>145600</v>
          </cell>
        </row>
        <row r="43">
          <cell r="X43">
            <v>135000</v>
          </cell>
          <cell r="AC43">
            <v>24000</v>
          </cell>
          <cell r="AH43">
            <v>0</v>
          </cell>
          <cell r="AK43">
            <v>3798999.9000000004</v>
          </cell>
          <cell r="AP43">
            <v>146560</v>
          </cell>
        </row>
        <row r="44">
          <cell r="X44">
            <v>65250</v>
          </cell>
          <cell r="AC44">
            <v>30000</v>
          </cell>
          <cell r="AH44">
            <v>0</v>
          </cell>
          <cell r="AK44">
            <v>3613916.5700000003</v>
          </cell>
          <cell r="AP44">
            <v>146800</v>
          </cell>
        </row>
        <row r="45">
          <cell r="X45">
            <v>156600</v>
          </cell>
          <cell r="AC45">
            <v>33000</v>
          </cell>
          <cell r="AH45">
            <v>73641.61</v>
          </cell>
          <cell r="AK45">
            <v>3781908.1799999997</v>
          </cell>
          <cell r="AP45">
            <v>146920</v>
          </cell>
        </row>
        <row r="46">
          <cell r="X46">
            <v>156600</v>
          </cell>
          <cell r="AC46">
            <v>47000</v>
          </cell>
          <cell r="AH46">
            <v>0</v>
          </cell>
          <cell r="AK46">
            <v>3722266.57</v>
          </cell>
          <cell r="AP46">
            <v>147480</v>
          </cell>
        </row>
        <row r="47">
          <cell r="X47">
            <v>156600</v>
          </cell>
          <cell r="AC47">
            <v>47000</v>
          </cell>
          <cell r="AH47">
            <v>0</v>
          </cell>
          <cell r="AK47">
            <v>3794766.57</v>
          </cell>
          <cell r="AP47">
            <v>150480</v>
          </cell>
        </row>
        <row r="48">
          <cell r="AK48">
            <v>144261024.60000008</v>
          </cell>
          <cell r="AP48">
            <v>5443740</v>
          </cell>
          <cell r="AV48">
            <v>13714</v>
          </cell>
        </row>
      </sheetData>
      <sheetData sheetId="3">
        <row r="11">
          <cell r="AK11">
            <v>3761333.23</v>
          </cell>
        </row>
        <row r="12">
          <cell r="AK12">
            <v>2426666.6</v>
          </cell>
        </row>
        <row r="13">
          <cell r="AK13">
            <v>6187999.8300000001</v>
          </cell>
          <cell r="AP13">
            <v>291200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Jan'24"/>
      <sheetName val="Feb'24"/>
      <sheetName val="THR FEB&quot;24"/>
      <sheetName val="MAR'24"/>
      <sheetName val="APR'24"/>
      <sheetName val="Ex-gratia Mei'24"/>
      <sheetName val="MEI'24"/>
      <sheetName val="JUNI'24"/>
      <sheetName val="JULI'24"/>
      <sheetName val="AGUST'24"/>
    </sheetNames>
    <sheetDataSet>
      <sheetData sheetId="0"/>
      <sheetData sheetId="1"/>
      <sheetData sheetId="2"/>
      <sheetData sheetId="3">
        <row r="9">
          <cell r="AE9">
            <v>0</v>
          </cell>
          <cell r="AL9">
            <v>-94166.66</v>
          </cell>
        </row>
      </sheetData>
      <sheetData sheetId="4"/>
      <sheetData sheetId="5">
        <row r="9">
          <cell r="AH9">
            <v>77812</v>
          </cell>
          <cell r="AO9">
            <v>40666.67</v>
          </cell>
        </row>
      </sheetData>
      <sheetData sheetId="6">
        <row r="9">
          <cell r="AH9">
            <v>0</v>
          </cell>
          <cell r="AO9">
            <v>-89666.66</v>
          </cell>
        </row>
      </sheetData>
      <sheetData sheetId="7"/>
      <sheetData sheetId="8">
        <row r="9">
          <cell r="AH9">
            <v>0</v>
          </cell>
          <cell r="AO9">
            <v>40666.67</v>
          </cell>
        </row>
      </sheetData>
      <sheetData sheetId="9">
        <row r="9">
          <cell r="AH9">
            <v>0</v>
          </cell>
          <cell r="AO9">
            <v>36166.67</v>
          </cell>
        </row>
      </sheetData>
      <sheetData sheetId="10">
        <row r="9">
          <cell r="AH9">
            <v>0</v>
          </cell>
          <cell r="AO9">
            <v>-85166.66</v>
          </cell>
        </row>
      </sheetData>
      <sheetData sheetId="11">
        <row r="9">
          <cell r="AQ9">
            <v>-85166.66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 refreshError="1">
        <row r="11">
          <cell r="T11">
            <v>135000</v>
          </cell>
          <cell r="AJ11">
            <v>147480</v>
          </cell>
        </row>
        <row r="12">
          <cell r="AJ12">
            <v>146800</v>
          </cell>
        </row>
        <row r="13">
          <cell r="AJ13">
            <v>148040</v>
          </cell>
        </row>
        <row r="14">
          <cell r="AJ14">
            <v>148040</v>
          </cell>
        </row>
      </sheetData>
      <sheetData sheetId="1" refreshError="1"/>
      <sheetData sheetId="2" refreshError="1"/>
      <sheetData sheetId="3" refreshError="1">
        <row r="11">
          <cell r="AP11">
            <v>145600</v>
          </cell>
        </row>
        <row r="12">
          <cell r="AP12">
            <v>145600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MAINTENANCE-2"/>
      <sheetName val="PERCOBAAN"/>
      <sheetName val="PAJAK A AVB"/>
      <sheetName val="PAJAK B AVB"/>
      <sheetName val="DAF.REKENING"/>
      <sheetName val="REKONSILIASI"/>
      <sheetName val="LAP.KARY"/>
      <sheetName val="Sheet1"/>
      <sheetName val="Sheet2"/>
      <sheetName val="Sheet3"/>
    </sheetNames>
    <sheetDataSet>
      <sheetData sheetId="0">
        <row r="11">
          <cell r="T11">
            <v>135000</v>
          </cell>
          <cell r="W11">
            <v>69000</v>
          </cell>
          <cell r="Y11">
            <v>47000</v>
          </cell>
          <cell r="AA11">
            <v>1188785.99</v>
          </cell>
          <cell r="AE11">
            <v>6409785.8900000006</v>
          </cell>
          <cell r="AJ11">
            <v>147480</v>
          </cell>
        </row>
        <row r="12">
          <cell r="T12">
            <v>135000</v>
          </cell>
          <cell r="W12">
            <v>46000</v>
          </cell>
          <cell r="Y12">
            <v>30000</v>
          </cell>
          <cell r="AA12">
            <v>1188785.99</v>
          </cell>
          <cell r="AE12">
            <v>6415985.8900000006</v>
          </cell>
          <cell r="AJ12">
            <v>146800</v>
          </cell>
        </row>
        <row r="13">
          <cell r="T13">
            <v>162000</v>
          </cell>
          <cell r="W13">
            <v>72000</v>
          </cell>
          <cell r="Y13">
            <v>61000</v>
          </cell>
          <cell r="AA13">
            <v>1472832.2</v>
          </cell>
          <cell r="AE13">
            <v>6478937.1000000006</v>
          </cell>
          <cell r="AJ13">
            <v>148040</v>
          </cell>
        </row>
        <row r="14">
          <cell r="T14">
            <v>162000</v>
          </cell>
          <cell r="W14">
            <v>46000</v>
          </cell>
          <cell r="Y14">
            <v>61000</v>
          </cell>
          <cell r="AA14">
            <v>1399190.5899999999</v>
          </cell>
          <cell r="AE14">
            <v>6355455.4900000002</v>
          </cell>
          <cell r="AJ14">
            <v>148040</v>
          </cell>
        </row>
        <row r="15">
          <cell r="AE15">
            <v>25660164.370000005</v>
          </cell>
        </row>
      </sheetData>
      <sheetData sheetId="1">
        <row r="11">
          <cell r="X11">
            <v>63000</v>
          </cell>
          <cell r="AA11">
            <v>63000</v>
          </cell>
          <cell r="AC11">
            <v>47000</v>
          </cell>
          <cell r="AH11">
            <v>31820.81</v>
          </cell>
          <cell r="AK11">
            <v>3630154.0500000003</v>
          </cell>
          <cell r="AP11">
            <v>148680</v>
          </cell>
        </row>
        <row r="12">
          <cell r="X12">
            <v>67500</v>
          </cell>
          <cell r="AA12">
            <v>42000</v>
          </cell>
          <cell r="AC12">
            <v>15000</v>
          </cell>
          <cell r="AH12">
            <v>1272947.83</v>
          </cell>
          <cell r="AK12">
            <v>5037447.7300000004</v>
          </cell>
          <cell r="AP12">
            <v>146200</v>
          </cell>
        </row>
        <row r="13">
          <cell r="X13">
            <v>63000</v>
          </cell>
          <cell r="AC13">
            <v>47000</v>
          </cell>
          <cell r="AH13">
            <v>0</v>
          </cell>
          <cell r="AK13">
            <v>3507333.24</v>
          </cell>
          <cell r="AP13">
            <v>147480</v>
          </cell>
        </row>
        <row r="14">
          <cell r="X14">
            <v>67500</v>
          </cell>
          <cell r="AC14">
            <v>50500</v>
          </cell>
          <cell r="AH14">
            <v>0</v>
          </cell>
          <cell r="AK14">
            <v>3757999.9000000004</v>
          </cell>
          <cell r="AP14">
            <v>147620</v>
          </cell>
        </row>
        <row r="15">
          <cell r="X15">
            <v>67500</v>
          </cell>
          <cell r="AC15">
            <v>50500</v>
          </cell>
          <cell r="AH15">
            <v>0</v>
          </cell>
          <cell r="AK15">
            <v>3757999.9000000004</v>
          </cell>
          <cell r="AP15">
            <v>147620</v>
          </cell>
        </row>
        <row r="16">
          <cell r="X16">
            <v>67500</v>
          </cell>
          <cell r="AC16">
            <v>47000</v>
          </cell>
          <cell r="AH16">
            <v>0</v>
          </cell>
          <cell r="AK16">
            <v>3754499.9000000004</v>
          </cell>
          <cell r="AP16">
            <v>147480</v>
          </cell>
        </row>
        <row r="17">
          <cell r="X17">
            <v>67500</v>
          </cell>
          <cell r="AC17">
            <v>61000</v>
          </cell>
          <cell r="AH17">
            <v>0</v>
          </cell>
          <cell r="AK17">
            <v>3768499.9000000004</v>
          </cell>
          <cell r="AP17">
            <v>148040</v>
          </cell>
        </row>
        <row r="18">
          <cell r="X18">
            <v>67500</v>
          </cell>
          <cell r="AC18">
            <v>43500</v>
          </cell>
          <cell r="AH18">
            <v>0</v>
          </cell>
          <cell r="AK18">
            <v>3750999.9000000004</v>
          </cell>
          <cell r="AP18">
            <v>147340</v>
          </cell>
        </row>
        <row r="19">
          <cell r="X19">
            <v>108000</v>
          </cell>
          <cell r="AC19">
            <v>61000</v>
          </cell>
          <cell r="AH19">
            <v>0</v>
          </cell>
          <cell r="AK19">
            <v>3808999.9000000004</v>
          </cell>
          <cell r="AP19">
            <v>148040</v>
          </cell>
        </row>
        <row r="20">
          <cell r="X20">
            <v>135000</v>
          </cell>
          <cell r="AC20">
            <v>30000</v>
          </cell>
          <cell r="AH20">
            <v>105202.29999999999</v>
          </cell>
          <cell r="AK20">
            <v>3997242.1999999997</v>
          </cell>
          <cell r="AP20">
            <v>146800</v>
          </cell>
        </row>
        <row r="21">
          <cell r="X21">
            <v>162000</v>
          </cell>
          <cell r="AC21">
            <v>24000</v>
          </cell>
          <cell r="AH21">
            <v>0</v>
          </cell>
          <cell r="AK21">
            <v>3825999.9000000004</v>
          </cell>
          <cell r="AP21">
            <v>146560</v>
          </cell>
        </row>
        <row r="22">
          <cell r="X22">
            <v>126000</v>
          </cell>
          <cell r="AC22">
            <v>7500</v>
          </cell>
          <cell r="AH22">
            <v>0</v>
          </cell>
          <cell r="AK22">
            <v>3530833.24</v>
          </cell>
          <cell r="AP22">
            <v>145900</v>
          </cell>
        </row>
        <row r="23">
          <cell r="X23">
            <v>67500</v>
          </cell>
          <cell r="AC23">
            <v>47000</v>
          </cell>
          <cell r="AH23">
            <v>0</v>
          </cell>
          <cell r="AK23">
            <v>3754499.9000000004</v>
          </cell>
          <cell r="AP23">
            <v>147480</v>
          </cell>
        </row>
        <row r="24">
          <cell r="X24">
            <v>67500</v>
          </cell>
          <cell r="AC24">
            <v>27000</v>
          </cell>
          <cell r="AH24">
            <v>0</v>
          </cell>
          <cell r="AK24">
            <v>3734499.9</v>
          </cell>
          <cell r="AP24">
            <v>146680</v>
          </cell>
        </row>
        <row r="25">
          <cell r="X25">
            <v>65250</v>
          </cell>
          <cell r="AC25">
            <v>50500</v>
          </cell>
          <cell r="AH25">
            <v>0</v>
          </cell>
          <cell r="AK25">
            <v>3634416.5700000003</v>
          </cell>
          <cell r="AP25">
            <v>147620</v>
          </cell>
        </row>
        <row r="26">
          <cell r="X26">
            <v>67500</v>
          </cell>
          <cell r="AC26">
            <v>15000</v>
          </cell>
          <cell r="AH26">
            <v>0</v>
          </cell>
          <cell r="AK26">
            <v>3722499.9000000004</v>
          </cell>
          <cell r="AP26">
            <v>146200</v>
          </cell>
        </row>
        <row r="27">
          <cell r="X27">
            <v>67500</v>
          </cell>
          <cell r="AC27">
            <v>15000</v>
          </cell>
          <cell r="AH27">
            <v>0</v>
          </cell>
          <cell r="AK27">
            <v>3722499.9000000004</v>
          </cell>
          <cell r="AP27">
            <v>146200</v>
          </cell>
        </row>
        <row r="28">
          <cell r="X28">
            <v>67500</v>
          </cell>
          <cell r="AC28">
            <v>15000</v>
          </cell>
          <cell r="AH28">
            <v>0</v>
          </cell>
          <cell r="AK28">
            <v>3722499.9000000004</v>
          </cell>
          <cell r="AP28">
            <v>146200</v>
          </cell>
        </row>
        <row r="29">
          <cell r="X29">
            <v>108000</v>
          </cell>
          <cell r="AC29">
            <v>33000</v>
          </cell>
          <cell r="AH29">
            <v>0</v>
          </cell>
          <cell r="AK29">
            <v>3780999.9000000004</v>
          </cell>
          <cell r="AP29">
            <v>146920</v>
          </cell>
        </row>
        <row r="30">
          <cell r="X30">
            <v>67500</v>
          </cell>
          <cell r="AC30">
            <v>47000</v>
          </cell>
          <cell r="AH30">
            <v>0</v>
          </cell>
          <cell r="AK30">
            <v>3754499.9000000004</v>
          </cell>
          <cell r="AP30">
            <v>147480</v>
          </cell>
        </row>
        <row r="31">
          <cell r="X31">
            <v>145800</v>
          </cell>
          <cell r="AC31">
            <v>47000</v>
          </cell>
          <cell r="AH31">
            <v>0</v>
          </cell>
          <cell r="AK31">
            <v>3468799.91</v>
          </cell>
          <cell r="AP31">
            <v>147480</v>
          </cell>
        </row>
        <row r="32">
          <cell r="X32">
            <v>156600</v>
          </cell>
          <cell r="AC32">
            <v>24000</v>
          </cell>
          <cell r="AH32">
            <v>0</v>
          </cell>
          <cell r="AK32">
            <v>3699266.5700000003</v>
          </cell>
          <cell r="AP32">
            <v>146560</v>
          </cell>
        </row>
        <row r="33">
          <cell r="X33">
            <v>67500</v>
          </cell>
          <cell r="AC33">
            <v>18000</v>
          </cell>
          <cell r="AH33">
            <v>0</v>
          </cell>
          <cell r="AK33">
            <v>3725499.9000000004</v>
          </cell>
          <cell r="AP33">
            <v>146320</v>
          </cell>
        </row>
        <row r="34">
          <cell r="X34">
            <v>60750</v>
          </cell>
          <cell r="AC34">
            <v>2500</v>
          </cell>
          <cell r="AH34">
            <v>0</v>
          </cell>
          <cell r="AK34">
            <v>3339249.91</v>
          </cell>
          <cell r="AP34">
            <v>145700</v>
          </cell>
        </row>
        <row r="35">
          <cell r="X35">
            <v>126000</v>
          </cell>
          <cell r="AC35">
            <v>24000</v>
          </cell>
          <cell r="AH35">
            <v>0</v>
          </cell>
          <cell r="AK35">
            <v>3547333.24</v>
          </cell>
          <cell r="AP35">
            <v>146560</v>
          </cell>
        </row>
        <row r="36">
          <cell r="X36">
            <v>151200</v>
          </cell>
          <cell r="AC36">
            <v>33000</v>
          </cell>
          <cell r="AH36">
            <v>0</v>
          </cell>
          <cell r="AK36">
            <v>3581533.24</v>
          </cell>
          <cell r="AP36">
            <v>146920</v>
          </cell>
        </row>
        <row r="37">
          <cell r="X37">
            <v>156600</v>
          </cell>
          <cell r="AC37">
            <v>47000</v>
          </cell>
          <cell r="AH37">
            <v>0</v>
          </cell>
          <cell r="AK37">
            <v>3722266.5700000003</v>
          </cell>
          <cell r="AP37">
            <v>147480</v>
          </cell>
        </row>
        <row r="38">
          <cell r="AK38">
            <v>101038374.97</v>
          </cell>
        </row>
      </sheetData>
      <sheetData sheetId="2">
        <row r="11">
          <cell r="AK11">
            <v>3639999.9</v>
          </cell>
          <cell r="AP11">
            <v>145600</v>
          </cell>
        </row>
        <row r="12">
          <cell r="AK12">
            <v>3639999.9</v>
          </cell>
          <cell r="AP12">
            <v>145600</v>
          </cell>
        </row>
        <row r="13">
          <cell r="AK13">
            <v>7279999.7999999998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LARY"/>
      <sheetName val="REKENING"/>
      <sheetName val="PPH21-STAFF"/>
      <sheetName val="SLIP GAJI"/>
      <sheetName val="PINJAMAN"/>
    </sheetNames>
    <sheetDataSet>
      <sheetData sheetId="0" refreshError="1"/>
      <sheetData sheetId="1" refreshError="1"/>
      <sheetData sheetId="2" refreshError="1">
        <row r="52">
          <cell r="I52">
            <v>500000</v>
          </cell>
        </row>
        <row r="81">
          <cell r="F81">
            <v>118230083.31999999</v>
          </cell>
          <cell r="G81">
            <v>1055149.8998880002</v>
          </cell>
          <cell r="H81">
            <v>5024523.3328</v>
          </cell>
          <cell r="S81">
            <v>146559230.55268797</v>
          </cell>
        </row>
      </sheetData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BULAN"/>
      <sheetName val="FORMULIR 2015"/>
      <sheetName val="PajakREV2016"/>
      <sheetName val="RANGKUMAN"/>
      <sheetName val="Sheet2"/>
      <sheetName val="Sheet1"/>
      <sheetName val="Pjk perBulan REV"/>
      <sheetName val="SETAHUN"/>
      <sheetName val="BPJS"/>
      <sheetName val="Selisih"/>
      <sheetName val="peng Lain2"/>
      <sheetName val="Sheet3"/>
      <sheetName val="SETAHUN2"/>
      <sheetName val="Sheet4"/>
      <sheetName val="SETAHUN (eSPT)"/>
      <sheetName val="Sheet6"/>
      <sheetName val="Sheet7"/>
      <sheetName val="Sheet5"/>
    </sheetNames>
    <sheetDataSet>
      <sheetData sheetId="0">
        <row r="2">
          <cell r="A2" t="str">
            <v>PPh 21 Januari s/d Desember Tahun 2024</v>
          </cell>
        </row>
        <row r="88">
          <cell r="B88" t="str">
            <v>GASRA</v>
          </cell>
          <cell r="C88" t="str">
            <v>L</v>
          </cell>
          <cell r="D88" t="str">
            <v>K2</v>
          </cell>
          <cell r="E88">
            <v>1</v>
          </cell>
          <cell r="S88">
            <v>5939736.2300000004</v>
          </cell>
        </row>
        <row r="89">
          <cell r="B89" t="str">
            <v>JUMADIL</v>
          </cell>
          <cell r="C89" t="str">
            <v>L</v>
          </cell>
          <cell r="D89" t="str">
            <v>K2</v>
          </cell>
          <cell r="E89">
            <v>1</v>
          </cell>
          <cell r="S89">
            <v>8471458.2300000004</v>
          </cell>
        </row>
        <row r="90">
          <cell r="B90" t="str">
            <v>NOVI SUHAIDI</v>
          </cell>
          <cell r="C90" t="str">
            <v>L</v>
          </cell>
          <cell r="D90" t="str">
            <v>K/2</v>
          </cell>
          <cell r="E90">
            <v>5</v>
          </cell>
          <cell r="S90">
            <v>23316594.469999999</v>
          </cell>
          <cell r="T90">
            <v>3920499.9</v>
          </cell>
          <cell r="U90">
            <v>280000</v>
          </cell>
        </row>
        <row r="91">
          <cell r="B91" t="str">
            <v>SAPAR WADI</v>
          </cell>
          <cell r="C91" t="str">
            <v>L</v>
          </cell>
          <cell r="D91" t="str">
            <v>K/1</v>
          </cell>
          <cell r="E91">
            <v>8</v>
          </cell>
          <cell r="S91">
            <v>34148834.729999997</v>
          </cell>
          <cell r="T91">
            <v>3787499.9</v>
          </cell>
          <cell r="U91">
            <v>300000</v>
          </cell>
        </row>
        <row r="92">
          <cell r="B92" t="str">
            <v>DAMSYAH</v>
          </cell>
          <cell r="C92" t="str">
            <v>L</v>
          </cell>
          <cell r="D92" t="str">
            <v>K/1</v>
          </cell>
          <cell r="E92">
            <v>8</v>
          </cell>
          <cell r="S92">
            <v>35841023.059999995</v>
          </cell>
          <cell r="T92">
            <v>3787499.9</v>
          </cell>
          <cell r="U92">
            <v>300000</v>
          </cell>
        </row>
        <row r="93">
          <cell r="B93" t="str">
            <v>JUNAIDI SOLEH</v>
          </cell>
          <cell r="C93" t="str">
            <v>L</v>
          </cell>
          <cell r="D93" t="str">
            <v>K/2</v>
          </cell>
          <cell r="E93">
            <v>8</v>
          </cell>
          <cell r="S93">
            <v>31937201.27</v>
          </cell>
          <cell r="T93">
            <v>3822999.9</v>
          </cell>
          <cell r="U93">
            <v>540000</v>
          </cell>
        </row>
        <row r="94">
          <cell r="B94" t="str">
            <v>RIJAL</v>
          </cell>
          <cell r="C94" t="str">
            <v>L</v>
          </cell>
          <cell r="D94" t="str">
            <v>K/1</v>
          </cell>
          <cell r="E94">
            <v>8</v>
          </cell>
          <cell r="S94">
            <v>31064859.940000001</v>
          </cell>
          <cell r="T94">
            <v>3782499.9</v>
          </cell>
          <cell r="U94">
            <v>300000</v>
          </cell>
        </row>
        <row r="95">
          <cell r="B95" t="str">
            <v>ANGGA SAPUTRA</v>
          </cell>
          <cell r="C95" t="str">
            <v>L</v>
          </cell>
          <cell r="D95" t="str">
            <v>K/1</v>
          </cell>
          <cell r="E95">
            <v>8</v>
          </cell>
          <cell r="S95">
            <v>31544815.269999996</v>
          </cell>
          <cell r="T95">
            <v>3818499.9</v>
          </cell>
          <cell r="U95">
            <v>540000</v>
          </cell>
        </row>
        <row r="96">
          <cell r="B96" t="str">
            <v>BOBI SAPUTRA</v>
          </cell>
          <cell r="C96" t="str">
            <v>L</v>
          </cell>
          <cell r="D96" t="str">
            <v>K/1</v>
          </cell>
          <cell r="E96">
            <v>8</v>
          </cell>
          <cell r="S96">
            <v>28905997.43</v>
          </cell>
          <cell r="T96">
            <v>3801999.9</v>
          </cell>
          <cell r="U96">
            <v>280000</v>
          </cell>
        </row>
        <row r="97">
          <cell r="B97" t="str">
            <v>RIZKY FUTRAWAN</v>
          </cell>
          <cell r="C97" t="str">
            <v>L</v>
          </cell>
          <cell r="D97" t="str">
            <v>TK/0</v>
          </cell>
          <cell r="E97">
            <v>8</v>
          </cell>
          <cell r="S97">
            <v>29341448.780000001</v>
          </cell>
          <cell r="T97">
            <v>3731499.9</v>
          </cell>
          <cell r="U97">
            <v>280000</v>
          </cell>
        </row>
        <row r="98">
          <cell r="B98" t="str">
            <v>USWATUL HASANAH</v>
          </cell>
          <cell r="C98" t="str">
            <v>P</v>
          </cell>
          <cell r="D98" t="str">
            <v>TK/0</v>
          </cell>
          <cell r="E98">
            <v>8</v>
          </cell>
          <cell r="S98">
            <v>28911331.719999999</v>
          </cell>
          <cell r="T98">
            <v>3737499.9</v>
          </cell>
          <cell r="U98">
            <v>280000</v>
          </cell>
        </row>
        <row r="99">
          <cell r="B99" t="str">
            <v>ILYANA</v>
          </cell>
          <cell r="C99" t="str">
            <v>P</v>
          </cell>
          <cell r="D99" t="str">
            <v>TK/0</v>
          </cell>
          <cell r="E99">
            <v>8</v>
          </cell>
          <cell r="S99">
            <v>29771331.399999999</v>
          </cell>
          <cell r="T99">
            <v>3750999.9</v>
          </cell>
          <cell r="U99">
            <v>280000</v>
          </cell>
        </row>
        <row r="100">
          <cell r="B100" t="str">
            <v>MERY YULIARTI</v>
          </cell>
          <cell r="C100" t="str">
            <v>P</v>
          </cell>
          <cell r="D100" t="str">
            <v>TK/0</v>
          </cell>
          <cell r="E100">
            <v>8</v>
          </cell>
          <cell r="S100">
            <v>30274331.719999999</v>
          </cell>
          <cell r="T100">
            <v>3722499.9</v>
          </cell>
          <cell r="U100">
            <v>490000</v>
          </cell>
        </row>
        <row r="101">
          <cell r="B101" t="str">
            <v>YETI PRIMA</v>
          </cell>
          <cell r="C101" t="str">
            <v>P</v>
          </cell>
          <cell r="D101" t="str">
            <v>TK/0</v>
          </cell>
          <cell r="E101">
            <v>8</v>
          </cell>
          <cell r="S101">
            <v>30166581.730000004</v>
          </cell>
          <cell r="T101">
            <v>3754499.9</v>
          </cell>
          <cell r="U101">
            <v>280000</v>
          </cell>
        </row>
        <row r="102">
          <cell r="B102" t="str">
            <v>MUNIDA LAIA</v>
          </cell>
          <cell r="C102" t="str">
            <v>P</v>
          </cell>
          <cell r="D102" t="str">
            <v>TK/0</v>
          </cell>
          <cell r="E102">
            <v>8</v>
          </cell>
          <cell r="S102">
            <v>28766746.280000001</v>
          </cell>
          <cell r="U102">
            <v>280000</v>
          </cell>
        </row>
        <row r="103">
          <cell r="B103" t="str">
            <v>HARSONO</v>
          </cell>
          <cell r="C103" t="str">
            <v>L</v>
          </cell>
          <cell r="D103" t="str">
            <v>K/2</v>
          </cell>
          <cell r="E103">
            <v>8</v>
          </cell>
          <cell r="S103">
            <v>39553798.286666669</v>
          </cell>
          <cell r="T103">
            <v>3923999.9</v>
          </cell>
          <cell r="U103">
            <v>300000</v>
          </cell>
        </row>
        <row r="104">
          <cell r="B104" t="str">
            <v>YULIANTI</v>
          </cell>
          <cell r="C104" t="str">
            <v>P</v>
          </cell>
          <cell r="D104" t="str">
            <v>TK/0</v>
          </cell>
          <cell r="E104">
            <v>8</v>
          </cell>
          <cell r="S104">
            <v>29566164.409999996</v>
          </cell>
          <cell r="T104">
            <v>3757999.9</v>
          </cell>
          <cell r="U104">
            <v>280000</v>
          </cell>
        </row>
        <row r="105">
          <cell r="B105" t="str">
            <v>SUHERMAN</v>
          </cell>
          <cell r="C105" t="str">
            <v>L</v>
          </cell>
          <cell r="D105" t="str">
            <v>K/2</v>
          </cell>
          <cell r="E105">
            <v>8</v>
          </cell>
          <cell r="S105">
            <v>36964140.329999998</v>
          </cell>
          <cell r="T105">
            <v>3862999.9</v>
          </cell>
          <cell r="U105">
            <v>490000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Q5">
            <v>1337280</v>
          </cell>
        </row>
        <row r="88">
          <cell r="Q88">
            <v>145800</v>
          </cell>
        </row>
        <row r="89">
          <cell r="Q89">
            <v>145900</v>
          </cell>
        </row>
        <row r="90">
          <cell r="Q90">
            <v>751700</v>
          </cell>
        </row>
        <row r="91">
          <cell r="Q91">
            <v>1168800</v>
          </cell>
        </row>
        <row r="92">
          <cell r="Q92">
            <v>1168800</v>
          </cell>
        </row>
        <row r="93">
          <cell r="Q93">
            <v>1172000</v>
          </cell>
        </row>
        <row r="94">
          <cell r="Q94">
            <v>1167200</v>
          </cell>
        </row>
        <row r="95">
          <cell r="Q95">
            <v>1178860</v>
          </cell>
        </row>
        <row r="96">
          <cell r="Q96">
            <v>1173440</v>
          </cell>
        </row>
        <row r="97">
          <cell r="Q97">
            <v>1172240</v>
          </cell>
        </row>
        <row r="98">
          <cell r="Q98">
            <v>1174400</v>
          </cell>
        </row>
        <row r="99">
          <cell r="Q99">
            <v>1179140</v>
          </cell>
        </row>
        <row r="100">
          <cell r="Q100">
            <v>1169600</v>
          </cell>
        </row>
        <row r="101">
          <cell r="Q101">
            <v>1180120</v>
          </cell>
        </row>
        <row r="102">
          <cell r="Q102">
            <v>1173560</v>
          </cell>
        </row>
        <row r="103">
          <cell r="Q103">
            <v>1203840</v>
          </cell>
        </row>
        <row r="104">
          <cell r="Q104">
            <v>1180820</v>
          </cell>
        </row>
        <row r="105">
          <cell r="Q105">
            <v>1184320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D4" workbookViewId="0">
      <selection activeCell="U18" sqref="U18"/>
    </sheetView>
  </sheetViews>
  <sheetFormatPr defaultColWidth="8.7109375" defaultRowHeight="15" customHeight="1"/>
  <cols>
    <col min="1" max="1" width="4.7109375" style="89" customWidth="1"/>
    <col min="2" max="2" width="13.7109375" style="9" customWidth="1"/>
    <col min="3" max="3" width="4.7109375" style="89" customWidth="1"/>
    <col min="4" max="4" width="14.7109375" style="9" customWidth="1"/>
    <col min="5" max="5" width="8.7109375" style="16" customWidth="1"/>
    <col min="6" max="7" width="4.7109375" style="89" customWidth="1"/>
    <col min="8" max="8" width="13.7109375" style="89" customWidth="1"/>
    <col min="9" max="9" width="4.7109375" style="89" customWidth="1"/>
    <col min="10" max="10" width="14.7109375" style="89" customWidth="1"/>
    <col min="11" max="11" width="8.7109375" style="14" customWidth="1"/>
    <col min="12" max="13" width="4.7109375" style="89" customWidth="1"/>
    <col min="14" max="14" width="13.7109375" style="89" customWidth="1"/>
    <col min="15" max="15" width="4.7109375" style="89" customWidth="1"/>
    <col min="16" max="16" width="14.7109375" style="89" customWidth="1"/>
    <col min="17" max="17" width="8.7109375" style="14" customWidth="1"/>
    <col min="18" max="18" width="4.7109375" style="89" customWidth="1"/>
    <col min="19" max="19" width="14.28515625" style="3" customWidth="1"/>
    <col min="20" max="20" width="4.7109375" style="3" customWidth="1"/>
    <col min="21" max="21" width="13.85546875" style="3" customWidth="1"/>
    <col min="22" max="22" width="8.7109375" style="3" customWidth="1"/>
    <col min="23" max="23" width="4.7109375" style="22" customWidth="1"/>
    <col min="24" max="24" width="4.7109375" style="14" customWidth="1"/>
    <col min="25" max="25" width="8.7109375" style="3"/>
    <col min="26" max="16384" width="8.7109375" style="89"/>
  </cols>
  <sheetData>
    <row r="1" spans="1:25" s="11" customFormat="1" ht="20.100000000000001" customHeight="1">
      <c r="A1" s="2" t="s">
        <v>61</v>
      </c>
      <c r="E1" s="15"/>
      <c r="F1" s="1"/>
      <c r="G1" s="2" t="s">
        <v>62</v>
      </c>
      <c r="H1" s="1"/>
      <c r="I1" s="1"/>
      <c r="J1" s="1"/>
      <c r="K1" s="12"/>
      <c r="M1" s="2" t="s">
        <v>63</v>
      </c>
      <c r="Q1" s="12"/>
      <c r="S1" s="2" t="s">
        <v>21</v>
      </c>
      <c r="T1" s="6"/>
      <c r="U1" s="6"/>
      <c r="V1" s="6"/>
      <c r="W1" s="21"/>
      <c r="X1" s="25"/>
      <c r="Y1" s="6"/>
    </row>
    <row r="2" spans="1:25" ht="20.100000000000001" customHeight="1">
      <c r="A2" s="90" t="s">
        <v>0</v>
      </c>
      <c r="B2" s="549" t="s">
        <v>3</v>
      </c>
      <c r="C2" s="549"/>
      <c r="D2" s="549"/>
      <c r="E2" s="5" t="s">
        <v>1</v>
      </c>
      <c r="G2" s="90" t="s">
        <v>0</v>
      </c>
      <c r="H2" s="549" t="s">
        <v>3</v>
      </c>
      <c r="I2" s="549"/>
      <c r="J2" s="549"/>
      <c r="K2" s="5" t="s">
        <v>4</v>
      </c>
      <c r="M2" s="90" t="s">
        <v>0</v>
      </c>
      <c r="N2" s="549" t="s">
        <v>3</v>
      </c>
      <c r="O2" s="549"/>
      <c r="P2" s="549"/>
      <c r="Q2" s="5" t="s">
        <v>5</v>
      </c>
      <c r="S2" s="549" t="s">
        <v>14</v>
      </c>
      <c r="T2" s="549"/>
      <c r="U2" s="549"/>
      <c r="V2" s="90" t="s">
        <v>13</v>
      </c>
      <c r="X2" s="26"/>
    </row>
    <row r="3" spans="1:25" ht="15" customHeight="1">
      <c r="A3" s="91">
        <v>1</v>
      </c>
      <c r="B3" s="19">
        <v>0</v>
      </c>
      <c r="C3" s="91" t="s">
        <v>2</v>
      </c>
      <c r="D3" s="7">
        <v>5400000</v>
      </c>
      <c r="E3" s="13">
        <v>0</v>
      </c>
      <c r="G3" s="91">
        <v>1</v>
      </c>
      <c r="H3" s="19">
        <v>0</v>
      </c>
      <c r="I3" s="91" t="s">
        <v>2</v>
      </c>
      <c r="J3" s="7">
        <v>6200000</v>
      </c>
      <c r="K3" s="13">
        <v>0</v>
      </c>
      <c r="M3" s="91">
        <v>1</v>
      </c>
      <c r="N3" s="19">
        <v>0</v>
      </c>
      <c r="O3" s="91" t="s">
        <v>2</v>
      </c>
      <c r="P3" s="7">
        <v>6600000</v>
      </c>
      <c r="Q3" s="13">
        <v>0</v>
      </c>
      <c r="S3" s="19">
        <v>0</v>
      </c>
      <c r="T3" s="91" t="s">
        <v>2</v>
      </c>
      <c r="U3" s="4">
        <v>450000</v>
      </c>
      <c r="V3" s="17">
        <v>0</v>
      </c>
      <c r="X3" s="26"/>
    </row>
    <row r="4" spans="1:25" ht="15" customHeight="1">
      <c r="A4" s="91">
        <f>A3+1</f>
        <v>2</v>
      </c>
      <c r="B4" s="7">
        <f>D3+1</f>
        <v>5400001</v>
      </c>
      <c r="C4" s="91" t="s">
        <v>2</v>
      </c>
      <c r="D4" s="7">
        <v>5650000</v>
      </c>
      <c r="E4" s="13">
        <v>2.5000000000000001E-3</v>
      </c>
      <c r="G4" s="91">
        <f>G3+1</f>
        <v>2</v>
      </c>
      <c r="H4" s="7">
        <f>J3+1</f>
        <v>6200001</v>
      </c>
      <c r="I4" s="91" t="s">
        <v>2</v>
      </c>
      <c r="J4" s="7">
        <v>6500000</v>
      </c>
      <c r="K4" s="13">
        <v>2.5000000000000001E-3</v>
      </c>
      <c r="M4" s="91">
        <f>M3+1</f>
        <v>2</v>
      </c>
      <c r="N4" s="7">
        <f>P3+1</f>
        <v>6600001</v>
      </c>
      <c r="O4" s="91" t="s">
        <v>2</v>
      </c>
      <c r="P4" s="7">
        <v>6950000</v>
      </c>
      <c r="Q4" s="13">
        <v>2.5000000000000001E-3</v>
      </c>
      <c r="S4" s="4">
        <v>450001</v>
      </c>
      <c r="T4" s="91" t="s">
        <v>2</v>
      </c>
      <c r="U4" s="4">
        <v>2500000</v>
      </c>
      <c r="V4" s="18">
        <v>5.0000000000000001E-3</v>
      </c>
      <c r="X4" s="26"/>
    </row>
    <row r="5" spans="1:25" ht="15" customHeight="1">
      <c r="A5" s="91">
        <f t="shared" ref="A5:A46" si="0">A4+1</f>
        <v>3</v>
      </c>
      <c r="B5" s="7">
        <f t="shared" ref="B5:B46" si="1">D4+1</f>
        <v>5650001</v>
      </c>
      <c r="C5" s="91" t="s">
        <v>2</v>
      </c>
      <c r="D5" s="7">
        <v>5950000</v>
      </c>
      <c r="E5" s="13">
        <v>5.0000000000000001E-3</v>
      </c>
      <c r="G5" s="91">
        <f t="shared" ref="G5:G42" si="2">G4+1</f>
        <v>3</v>
      </c>
      <c r="H5" s="7">
        <f t="shared" ref="H5:H42" si="3">J4+1</f>
        <v>6500001</v>
      </c>
      <c r="I5" s="91" t="s">
        <v>2</v>
      </c>
      <c r="J5" s="7">
        <v>6850000</v>
      </c>
      <c r="K5" s="13">
        <v>5.0000000000000001E-3</v>
      </c>
      <c r="M5" s="91">
        <f t="shared" ref="M5:M42" si="4">M4+1</f>
        <v>3</v>
      </c>
      <c r="N5" s="7">
        <f t="shared" ref="N5:N43" si="5">P4+1</f>
        <v>6950001</v>
      </c>
      <c r="O5" s="91" t="s">
        <v>2</v>
      </c>
      <c r="P5" s="7">
        <v>7350000</v>
      </c>
      <c r="Q5" s="13">
        <v>5.0000000000000001E-3</v>
      </c>
    </row>
    <row r="6" spans="1:25" ht="15" customHeight="1">
      <c r="A6" s="91">
        <f t="shared" si="0"/>
        <v>4</v>
      </c>
      <c r="B6" s="7">
        <f t="shared" si="1"/>
        <v>5950001</v>
      </c>
      <c r="C6" s="91" t="s">
        <v>2</v>
      </c>
      <c r="D6" s="7">
        <v>6300000</v>
      </c>
      <c r="E6" s="13">
        <v>7.4999999999999997E-3</v>
      </c>
      <c r="G6" s="91">
        <f t="shared" si="2"/>
        <v>4</v>
      </c>
      <c r="H6" s="7">
        <f t="shared" si="3"/>
        <v>6850001</v>
      </c>
      <c r="I6" s="91" t="s">
        <v>2</v>
      </c>
      <c r="J6" s="7">
        <v>7300000</v>
      </c>
      <c r="K6" s="13">
        <v>7.4999999999999997E-3</v>
      </c>
      <c r="M6" s="91">
        <f t="shared" si="4"/>
        <v>4</v>
      </c>
      <c r="N6" s="7">
        <f t="shared" si="5"/>
        <v>7350001</v>
      </c>
      <c r="O6" s="91" t="s">
        <v>2</v>
      </c>
      <c r="P6" s="7">
        <v>7800000</v>
      </c>
      <c r="Q6" s="13">
        <v>7.4999999999999997E-3</v>
      </c>
    </row>
    <row r="7" spans="1:25" ht="15" customHeight="1">
      <c r="A7" s="91">
        <f t="shared" si="0"/>
        <v>5</v>
      </c>
      <c r="B7" s="7">
        <f t="shared" si="1"/>
        <v>6300001</v>
      </c>
      <c r="C7" s="91" t="s">
        <v>2</v>
      </c>
      <c r="D7" s="7">
        <v>6750000</v>
      </c>
      <c r="E7" s="13">
        <v>0.01</v>
      </c>
      <c r="G7" s="91">
        <f t="shared" si="2"/>
        <v>5</v>
      </c>
      <c r="H7" s="7">
        <f t="shared" si="3"/>
        <v>7300001</v>
      </c>
      <c r="I7" s="91" t="s">
        <v>2</v>
      </c>
      <c r="J7" s="7">
        <v>9200000</v>
      </c>
      <c r="K7" s="13">
        <v>0.01</v>
      </c>
      <c r="M7" s="91">
        <f t="shared" si="4"/>
        <v>5</v>
      </c>
      <c r="N7" s="7">
        <f t="shared" si="5"/>
        <v>7800001</v>
      </c>
      <c r="O7" s="91" t="s">
        <v>2</v>
      </c>
      <c r="P7" s="7">
        <v>8850000</v>
      </c>
      <c r="Q7" s="13">
        <v>0.01</v>
      </c>
      <c r="S7" s="2" t="s">
        <v>23</v>
      </c>
      <c r="T7" s="6"/>
      <c r="U7" s="6"/>
      <c r="V7" s="6"/>
    </row>
    <row r="8" spans="1:25" ht="15" customHeight="1">
      <c r="A8" s="91">
        <f t="shared" si="0"/>
        <v>6</v>
      </c>
      <c r="B8" s="7">
        <f t="shared" si="1"/>
        <v>6750001</v>
      </c>
      <c r="C8" s="91" t="s">
        <v>2</v>
      </c>
      <c r="D8" s="7">
        <v>7500000</v>
      </c>
      <c r="E8" s="13">
        <v>1.2500000000000001E-2</v>
      </c>
      <c r="G8" s="91">
        <f t="shared" si="2"/>
        <v>6</v>
      </c>
      <c r="H8" s="7">
        <f t="shared" si="3"/>
        <v>9200001</v>
      </c>
      <c r="I8" s="91" t="s">
        <v>2</v>
      </c>
      <c r="J8" s="7">
        <v>10750000</v>
      </c>
      <c r="K8" s="13">
        <v>1.4999999999999999E-2</v>
      </c>
      <c r="M8" s="91">
        <f t="shared" si="4"/>
        <v>6</v>
      </c>
      <c r="N8" s="7">
        <f t="shared" si="5"/>
        <v>8850001</v>
      </c>
      <c r="O8" s="91" t="s">
        <v>2</v>
      </c>
      <c r="P8" s="7">
        <v>9800000</v>
      </c>
      <c r="Q8" s="13">
        <v>1.2500000000000001E-2</v>
      </c>
      <c r="S8" s="549" t="s">
        <v>22</v>
      </c>
      <c r="T8" s="549"/>
      <c r="U8" s="549"/>
      <c r="V8" s="90" t="s">
        <v>13</v>
      </c>
    </row>
    <row r="9" spans="1:25" ht="15" customHeight="1">
      <c r="A9" s="91">
        <f t="shared" si="0"/>
        <v>7</v>
      </c>
      <c r="B9" s="7">
        <f t="shared" si="1"/>
        <v>7500001</v>
      </c>
      <c r="C9" s="91" t="s">
        <v>2</v>
      </c>
      <c r="D9" s="7">
        <v>8550000</v>
      </c>
      <c r="E9" s="13">
        <v>1.5000000000000001E-2</v>
      </c>
      <c r="G9" s="91">
        <f t="shared" si="2"/>
        <v>7</v>
      </c>
      <c r="H9" s="7">
        <f t="shared" si="3"/>
        <v>10750001</v>
      </c>
      <c r="I9" s="91" t="s">
        <v>2</v>
      </c>
      <c r="J9" s="7">
        <v>11250000</v>
      </c>
      <c r="K9" s="13">
        <v>0.02</v>
      </c>
      <c r="M9" s="91">
        <f t="shared" si="4"/>
        <v>7</v>
      </c>
      <c r="N9" s="7">
        <f t="shared" si="5"/>
        <v>9800001</v>
      </c>
      <c r="O9" s="91" t="s">
        <v>2</v>
      </c>
      <c r="P9" s="7">
        <v>10950000</v>
      </c>
      <c r="Q9" s="13">
        <v>1.5000000000000001E-2</v>
      </c>
      <c r="S9" s="19">
        <v>0</v>
      </c>
      <c r="T9" s="91" t="s">
        <v>2</v>
      </c>
      <c r="U9" s="4">
        <v>60000000</v>
      </c>
      <c r="V9" s="17">
        <v>0.05</v>
      </c>
    </row>
    <row r="10" spans="1:25" ht="15" customHeight="1">
      <c r="A10" s="91">
        <f t="shared" si="0"/>
        <v>8</v>
      </c>
      <c r="B10" s="7">
        <f t="shared" si="1"/>
        <v>8550001</v>
      </c>
      <c r="C10" s="91" t="s">
        <v>2</v>
      </c>
      <c r="D10" s="7">
        <v>9650000</v>
      </c>
      <c r="E10" s="13">
        <v>1.7500000000000002E-2</v>
      </c>
      <c r="G10" s="91">
        <f t="shared" si="2"/>
        <v>8</v>
      </c>
      <c r="H10" s="7">
        <f t="shared" si="3"/>
        <v>11250001</v>
      </c>
      <c r="I10" s="91" t="s">
        <v>2</v>
      </c>
      <c r="J10" s="7">
        <v>11600000</v>
      </c>
      <c r="K10" s="13">
        <v>2.5000000000000001E-2</v>
      </c>
      <c r="M10" s="91">
        <f t="shared" si="4"/>
        <v>8</v>
      </c>
      <c r="N10" s="7">
        <f t="shared" si="5"/>
        <v>10950001</v>
      </c>
      <c r="O10" s="91" t="s">
        <v>2</v>
      </c>
      <c r="P10" s="7">
        <v>11200000</v>
      </c>
      <c r="Q10" s="13">
        <v>1.7500000000000002E-2</v>
      </c>
      <c r="S10" s="4">
        <f>U9+1</f>
        <v>60000001</v>
      </c>
      <c r="T10" s="91" t="s">
        <v>2</v>
      </c>
      <c r="U10" s="4">
        <v>250000000</v>
      </c>
      <c r="V10" s="17">
        <v>0.15</v>
      </c>
    </row>
    <row r="11" spans="1:25" ht="15" customHeight="1">
      <c r="A11" s="91">
        <f t="shared" si="0"/>
        <v>9</v>
      </c>
      <c r="B11" s="7">
        <f t="shared" si="1"/>
        <v>9650001</v>
      </c>
      <c r="C11" s="91" t="s">
        <v>2</v>
      </c>
      <c r="D11" s="7">
        <v>10050000</v>
      </c>
      <c r="E11" s="13">
        <v>0.02</v>
      </c>
      <c r="G11" s="91">
        <f t="shared" si="2"/>
        <v>9</v>
      </c>
      <c r="H11" s="7">
        <f t="shared" si="3"/>
        <v>11600001</v>
      </c>
      <c r="I11" s="91" t="s">
        <v>2</v>
      </c>
      <c r="J11" s="7">
        <v>12600000</v>
      </c>
      <c r="K11" s="13">
        <v>3.0000000000000002E-2</v>
      </c>
      <c r="M11" s="91">
        <f t="shared" si="4"/>
        <v>9</v>
      </c>
      <c r="N11" s="7">
        <f t="shared" si="5"/>
        <v>11200001</v>
      </c>
      <c r="O11" s="91" t="s">
        <v>2</v>
      </c>
      <c r="P11" s="7">
        <v>12050000</v>
      </c>
      <c r="Q11" s="13">
        <v>0.02</v>
      </c>
      <c r="S11" s="4">
        <f t="shared" ref="S11:S13" si="6">U10+1</f>
        <v>250000001</v>
      </c>
      <c r="T11" s="91" t="s">
        <v>2</v>
      </c>
      <c r="U11" s="4">
        <v>500000000</v>
      </c>
      <c r="V11" s="17">
        <v>0.25</v>
      </c>
    </row>
    <row r="12" spans="1:25" ht="15" customHeight="1">
      <c r="A12" s="91">
        <f t="shared" si="0"/>
        <v>10</v>
      </c>
      <c r="B12" s="7">
        <f t="shared" si="1"/>
        <v>10050001</v>
      </c>
      <c r="C12" s="91" t="s">
        <v>2</v>
      </c>
      <c r="D12" s="7">
        <v>10350000</v>
      </c>
      <c r="E12" s="13">
        <v>2.2499999999999999E-2</v>
      </c>
      <c r="G12" s="91">
        <f t="shared" si="2"/>
        <v>10</v>
      </c>
      <c r="H12" s="7">
        <f t="shared" si="3"/>
        <v>12600001</v>
      </c>
      <c r="I12" s="91" t="s">
        <v>2</v>
      </c>
      <c r="J12" s="7">
        <v>13600000</v>
      </c>
      <c r="K12" s="13">
        <v>0.04</v>
      </c>
      <c r="M12" s="91">
        <f t="shared" si="4"/>
        <v>10</v>
      </c>
      <c r="N12" s="7">
        <f t="shared" si="5"/>
        <v>12050001</v>
      </c>
      <c r="O12" s="91" t="s">
        <v>2</v>
      </c>
      <c r="P12" s="7">
        <v>12950000</v>
      </c>
      <c r="Q12" s="13">
        <v>0.03</v>
      </c>
      <c r="S12" s="4">
        <f t="shared" si="6"/>
        <v>500000001</v>
      </c>
      <c r="T12" s="91" t="s">
        <v>2</v>
      </c>
      <c r="U12" s="4">
        <v>5000000000</v>
      </c>
      <c r="V12" s="17">
        <v>0.3</v>
      </c>
    </row>
    <row r="13" spans="1:25" ht="15" customHeight="1">
      <c r="A13" s="91">
        <f t="shared" si="0"/>
        <v>11</v>
      </c>
      <c r="B13" s="7">
        <f t="shared" si="1"/>
        <v>10350001</v>
      </c>
      <c r="C13" s="91" t="s">
        <v>2</v>
      </c>
      <c r="D13" s="7">
        <v>10700000</v>
      </c>
      <c r="E13" s="13">
        <v>2.4999999999999998E-2</v>
      </c>
      <c r="G13" s="91">
        <f t="shared" si="2"/>
        <v>11</v>
      </c>
      <c r="H13" s="7">
        <f t="shared" si="3"/>
        <v>13600001</v>
      </c>
      <c r="I13" s="91" t="s">
        <v>2</v>
      </c>
      <c r="J13" s="7">
        <v>14950000</v>
      </c>
      <c r="K13" s="13">
        <v>0.05</v>
      </c>
      <c r="M13" s="91">
        <f t="shared" si="4"/>
        <v>11</v>
      </c>
      <c r="N13" s="7">
        <f t="shared" si="5"/>
        <v>12950001</v>
      </c>
      <c r="O13" s="91" t="s">
        <v>2</v>
      </c>
      <c r="P13" s="7">
        <v>14150000</v>
      </c>
      <c r="Q13" s="13">
        <v>0.04</v>
      </c>
      <c r="S13" s="4">
        <f t="shared" si="6"/>
        <v>5000000001</v>
      </c>
      <c r="T13" s="91" t="s">
        <v>2</v>
      </c>
      <c r="U13" s="7" t="s">
        <v>18</v>
      </c>
      <c r="V13" s="17">
        <v>0.35</v>
      </c>
    </row>
    <row r="14" spans="1:25" ht="15" customHeight="1">
      <c r="A14" s="91">
        <f t="shared" si="0"/>
        <v>12</v>
      </c>
      <c r="B14" s="7">
        <f t="shared" si="1"/>
        <v>10700001</v>
      </c>
      <c r="C14" s="91" t="s">
        <v>2</v>
      </c>
      <c r="D14" s="7">
        <v>11050000</v>
      </c>
      <c r="E14" s="13">
        <v>0.03</v>
      </c>
      <c r="G14" s="91">
        <f t="shared" si="2"/>
        <v>12</v>
      </c>
      <c r="H14" s="7">
        <f t="shared" si="3"/>
        <v>14950001</v>
      </c>
      <c r="I14" s="91" t="s">
        <v>2</v>
      </c>
      <c r="J14" s="7">
        <v>16400000</v>
      </c>
      <c r="K14" s="13">
        <v>6.0000000000000005E-2</v>
      </c>
      <c r="M14" s="91">
        <f t="shared" si="4"/>
        <v>12</v>
      </c>
      <c r="N14" s="7">
        <f t="shared" si="5"/>
        <v>14150001</v>
      </c>
      <c r="O14" s="91" t="s">
        <v>2</v>
      </c>
      <c r="P14" s="7">
        <v>1550000</v>
      </c>
      <c r="Q14" s="13">
        <v>0.05</v>
      </c>
      <c r="T14" s="548"/>
      <c r="U14" s="548"/>
    </row>
    <row r="15" spans="1:25" ht="15" customHeight="1">
      <c r="A15" s="91">
        <f t="shared" si="0"/>
        <v>13</v>
      </c>
      <c r="B15" s="7">
        <f t="shared" si="1"/>
        <v>11050001</v>
      </c>
      <c r="C15" s="91" t="s">
        <v>2</v>
      </c>
      <c r="D15" s="7">
        <v>11600000</v>
      </c>
      <c r="E15" s="13">
        <v>3.5000000000000003E-2</v>
      </c>
      <c r="G15" s="91">
        <f t="shared" si="2"/>
        <v>13</v>
      </c>
      <c r="H15" s="7">
        <f t="shared" si="3"/>
        <v>16400001</v>
      </c>
      <c r="I15" s="91" t="s">
        <v>2</v>
      </c>
      <c r="J15" s="7">
        <v>18450000</v>
      </c>
      <c r="K15" s="13">
        <v>7.0000000000000007E-2</v>
      </c>
      <c r="M15" s="91">
        <f t="shared" si="4"/>
        <v>13</v>
      </c>
      <c r="N15" s="7">
        <f t="shared" si="5"/>
        <v>1550001</v>
      </c>
      <c r="O15" s="91" t="s">
        <v>2</v>
      </c>
      <c r="P15" s="7">
        <v>17050000</v>
      </c>
      <c r="Q15" s="13">
        <v>6.0000000000000005E-2</v>
      </c>
      <c r="U15" s="20"/>
    </row>
    <row r="16" spans="1:25" ht="15" customHeight="1">
      <c r="A16" s="91">
        <f t="shared" si="0"/>
        <v>14</v>
      </c>
      <c r="B16" s="7">
        <f t="shared" si="1"/>
        <v>11600001</v>
      </c>
      <c r="C16" s="91" t="s">
        <v>2</v>
      </c>
      <c r="D16" s="7">
        <v>12500000</v>
      </c>
      <c r="E16" s="13">
        <v>0.04</v>
      </c>
      <c r="G16" s="91">
        <f t="shared" si="2"/>
        <v>14</v>
      </c>
      <c r="H16" s="7">
        <f t="shared" si="3"/>
        <v>18450001</v>
      </c>
      <c r="I16" s="91" t="s">
        <v>2</v>
      </c>
      <c r="J16" s="7">
        <v>21850000</v>
      </c>
      <c r="K16" s="13">
        <v>0.08</v>
      </c>
      <c r="M16" s="91">
        <f t="shared" si="4"/>
        <v>14</v>
      </c>
      <c r="N16" s="7">
        <f t="shared" si="5"/>
        <v>17050001</v>
      </c>
      <c r="O16" s="91" t="s">
        <v>2</v>
      </c>
      <c r="P16" s="7">
        <v>19500000</v>
      </c>
      <c r="Q16" s="13">
        <v>7.0000000000000007E-2</v>
      </c>
      <c r="S16" s="2" t="s">
        <v>6</v>
      </c>
      <c r="T16" s="21"/>
      <c r="U16" s="20"/>
    </row>
    <row r="17" spans="1:25" ht="15" customHeight="1">
      <c r="A17" s="91">
        <f t="shared" si="0"/>
        <v>15</v>
      </c>
      <c r="B17" s="7">
        <f t="shared" si="1"/>
        <v>12500001</v>
      </c>
      <c r="C17" s="91" t="s">
        <v>2</v>
      </c>
      <c r="D17" s="7">
        <v>13750000</v>
      </c>
      <c r="E17" s="13">
        <v>0.05</v>
      </c>
      <c r="G17" s="91">
        <f t="shared" si="2"/>
        <v>15</v>
      </c>
      <c r="H17" s="7">
        <f t="shared" si="3"/>
        <v>21850001</v>
      </c>
      <c r="I17" s="91" t="s">
        <v>2</v>
      </c>
      <c r="J17" s="7">
        <v>26000000</v>
      </c>
      <c r="K17" s="13">
        <v>0.09</v>
      </c>
      <c r="M17" s="91">
        <f t="shared" si="4"/>
        <v>15</v>
      </c>
      <c r="N17" s="7">
        <f t="shared" si="5"/>
        <v>19500001</v>
      </c>
      <c r="O17" s="91" t="s">
        <v>2</v>
      </c>
      <c r="P17" s="7">
        <v>22700000</v>
      </c>
      <c r="Q17" s="13">
        <v>0.08</v>
      </c>
      <c r="S17" s="549" t="s">
        <v>19</v>
      </c>
      <c r="T17" s="549"/>
      <c r="U17" s="24" t="s">
        <v>20</v>
      </c>
      <c r="V17" s="89"/>
      <c r="W17" s="89"/>
      <c r="X17" s="89"/>
      <c r="Y17" s="89"/>
    </row>
    <row r="18" spans="1:25" ht="15" customHeight="1">
      <c r="A18" s="91">
        <f t="shared" si="0"/>
        <v>16</v>
      </c>
      <c r="B18" s="7">
        <f t="shared" si="1"/>
        <v>13750001</v>
      </c>
      <c r="C18" s="91" t="s">
        <v>2</v>
      </c>
      <c r="D18" s="7">
        <v>15100000</v>
      </c>
      <c r="E18" s="13">
        <v>6.0000000000000005E-2</v>
      </c>
      <c r="G18" s="91">
        <f t="shared" si="2"/>
        <v>16</v>
      </c>
      <c r="H18" s="7">
        <f t="shared" si="3"/>
        <v>26000001</v>
      </c>
      <c r="I18" s="91" t="s">
        <v>2</v>
      </c>
      <c r="J18" s="7">
        <v>27700000</v>
      </c>
      <c r="K18" s="13">
        <v>9.9999999999999992E-2</v>
      </c>
      <c r="M18" s="91">
        <f t="shared" si="4"/>
        <v>16</v>
      </c>
      <c r="N18" s="7">
        <f t="shared" si="5"/>
        <v>22700001</v>
      </c>
      <c r="O18" s="91" t="s">
        <v>2</v>
      </c>
      <c r="P18" s="7">
        <v>26600000</v>
      </c>
      <c r="Q18" s="13">
        <v>0.09</v>
      </c>
      <c r="S18" s="550" t="s">
        <v>7</v>
      </c>
      <c r="T18" s="550"/>
      <c r="U18" s="23">
        <v>54000000</v>
      </c>
      <c r="V18" s="89"/>
      <c r="W18" s="89"/>
      <c r="X18" s="89"/>
      <c r="Y18" s="89"/>
    </row>
    <row r="19" spans="1:25" ht="15" customHeight="1">
      <c r="A19" s="91">
        <f t="shared" si="0"/>
        <v>17</v>
      </c>
      <c r="B19" s="7">
        <f t="shared" si="1"/>
        <v>15100001</v>
      </c>
      <c r="C19" s="91" t="s">
        <v>2</v>
      </c>
      <c r="D19" s="7">
        <v>16950000</v>
      </c>
      <c r="E19" s="13">
        <v>7.0000000000000007E-2</v>
      </c>
      <c r="G19" s="91">
        <f t="shared" si="2"/>
        <v>17</v>
      </c>
      <c r="H19" s="7">
        <f t="shared" si="3"/>
        <v>27700001</v>
      </c>
      <c r="I19" s="91" t="s">
        <v>2</v>
      </c>
      <c r="J19" s="7">
        <v>29350000</v>
      </c>
      <c r="K19" s="13">
        <v>0.10999999999999999</v>
      </c>
      <c r="M19" s="91">
        <f t="shared" si="4"/>
        <v>17</v>
      </c>
      <c r="N19" s="7">
        <f t="shared" si="5"/>
        <v>26600001</v>
      </c>
      <c r="O19" s="91" t="s">
        <v>2</v>
      </c>
      <c r="P19" s="7">
        <v>28100000</v>
      </c>
      <c r="Q19" s="13">
        <v>9.9999999999999992E-2</v>
      </c>
      <c r="S19" s="550" t="s">
        <v>16</v>
      </c>
      <c r="T19" s="550"/>
      <c r="U19" s="23">
        <v>58500000</v>
      </c>
      <c r="V19" s="89"/>
      <c r="W19" s="89"/>
      <c r="X19" s="89"/>
      <c r="Y19" s="89"/>
    </row>
    <row r="20" spans="1:25" ht="15" customHeight="1">
      <c r="A20" s="91">
        <f t="shared" si="0"/>
        <v>18</v>
      </c>
      <c r="B20" s="7">
        <f t="shared" si="1"/>
        <v>16950001</v>
      </c>
      <c r="C20" s="91" t="s">
        <v>2</v>
      </c>
      <c r="D20" s="7">
        <v>19750000</v>
      </c>
      <c r="E20" s="13">
        <v>0.08</v>
      </c>
      <c r="G20" s="91">
        <f t="shared" si="2"/>
        <v>18</v>
      </c>
      <c r="H20" s="7">
        <f t="shared" si="3"/>
        <v>29350001</v>
      </c>
      <c r="I20" s="91" t="s">
        <v>2</v>
      </c>
      <c r="J20" s="7">
        <v>31450000</v>
      </c>
      <c r="K20" s="13">
        <v>0.11999999999999998</v>
      </c>
      <c r="M20" s="91">
        <f t="shared" si="4"/>
        <v>18</v>
      </c>
      <c r="N20" s="7">
        <f t="shared" si="5"/>
        <v>28100001</v>
      </c>
      <c r="O20" s="91" t="s">
        <v>2</v>
      </c>
      <c r="P20" s="7">
        <v>30100000</v>
      </c>
      <c r="Q20" s="13">
        <v>0.10999999999999999</v>
      </c>
      <c r="S20" s="550" t="s">
        <v>8</v>
      </c>
      <c r="T20" s="550"/>
      <c r="U20" s="23">
        <v>63000000</v>
      </c>
      <c r="V20" s="89"/>
      <c r="W20" s="89"/>
      <c r="X20" s="89"/>
      <c r="Y20" s="89"/>
    </row>
    <row r="21" spans="1:25" ht="15" customHeight="1">
      <c r="A21" s="91">
        <f t="shared" si="0"/>
        <v>19</v>
      </c>
      <c r="B21" s="7">
        <f t="shared" si="1"/>
        <v>19750001</v>
      </c>
      <c r="C21" s="91" t="s">
        <v>2</v>
      </c>
      <c r="D21" s="7">
        <v>24150000</v>
      </c>
      <c r="E21" s="13">
        <v>0.09</v>
      </c>
      <c r="G21" s="91">
        <f t="shared" si="2"/>
        <v>19</v>
      </c>
      <c r="H21" s="7">
        <f t="shared" si="3"/>
        <v>31450001</v>
      </c>
      <c r="I21" s="91" t="s">
        <v>2</v>
      </c>
      <c r="J21" s="7">
        <v>33950000</v>
      </c>
      <c r="K21" s="13">
        <v>0.12999999999999998</v>
      </c>
      <c r="M21" s="91">
        <f t="shared" si="4"/>
        <v>19</v>
      </c>
      <c r="N21" s="7">
        <f t="shared" si="5"/>
        <v>30100001</v>
      </c>
      <c r="O21" s="91" t="s">
        <v>2</v>
      </c>
      <c r="P21" s="7">
        <v>32600000</v>
      </c>
      <c r="Q21" s="13">
        <v>0.11999999999999998</v>
      </c>
      <c r="S21" s="550" t="s">
        <v>10</v>
      </c>
      <c r="T21" s="550"/>
      <c r="U21" s="23">
        <v>67500000</v>
      </c>
      <c r="V21" s="89"/>
      <c r="W21" s="89"/>
      <c r="X21" s="89"/>
      <c r="Y21" s="89"/>
    </row>
    <row r="22" spans="1:25" ht="15" customHeight="1">
      <c r="A22" s="91">
        <f t="shared" si="0"/>
        <v>20</v>
      </c>
      <c r="B22" s="7">
        <f t="shared" si="1"/>
        <v>24150001</v>
      </c>
      <c r="C22" s="91" t="s">
        <v>2</v>
      </c>
      <c r="D22" s="7">
        <v>26450000</v>
      </c>
      <c r="E22" s="13">
        <v>9.9999999999999992E-2</v>
      </c>
      <c r="G22" s="91">
        <f t="shared" si="2"/>
        <v>20</v>
      </c>
      <c r="H22" s="7">
        <f t="shared" si="3"/>
        <v>33950001</v>
      </c>
      <c r="I22" s="91" t="s">
        <v>2</v>
      </c>
      <c r="J22" s="7">
        <v>37100000</v>
      </c>
      <c r="K22" s="13">
        <v>0.13999999999999999</v>
      </c>
      <c r="M22" s="91">
        <f t="shared" si="4"/>
        <v>20</v>
      </c>
      <c r="N22" s="7">
        <f t="shared" si="5"/>
        <v>32600001</v>
      </c>
      <c r="O22" s="91" t="s">
        <v>2</v>
      </c>
      <c r="P22" s="7">
        <v>35400000</v>
      </c>
      <c r="Q22" s="13">
        <v>0.12999999999999998</v>
      </c>
      <c r="S22" s="550" t="s">
        <v>17</v>
      </c>
      <c r="T22" s="550"/>
      <c r="U22" s="23">
        <v>58500000</v>
      </c>
      <c r="V22" s="89"/>
      <c r="W22" s="89"/>
      <c r="X22" s="89"/>
      <c r="Y22" s="89"/>
    </row>
    <row r="23" spans="1:25" ht="15" customHeight="1">
      <c r="A23" s="91">
        <f t="shared" si="0"/>
        <v>21</v>
      </c>
      <c r="B23" s="7">
        <f t="shared" si="1"/>
        <v>26450001</v>
      </c>
      <c r="C23" s="91" t="s">
        <v>2</v>
      </c>
      <c r="D23" s="7">
        <v>28000000</v>
      </c>
      <c r="E23" s="13">
        <v>0.10999999999999999</v>
      </c>
      <c r="G23" s="91">
        <f t="shared" si="2"/>
        <v>21</v>
      </c>
      <c r="H23" s="7">
        <f t="shared" si="3"/>
        <v>37100001</v>
      </c>
      <c r="I23" s="91" t="s">
        <v>2</v>
      </c>
      <c r="J23" s="7">
        <v>41100000</v>
      </c>
      <c r="K23" s="13">
        <v>0.15</v>
      </c>
      <c r="M23" s="91">
        <f t="shared" si="4"/>
        <v>21</v>
      </c>
      <c r="N23" s="7">
        <f t="shared" si="5"/>
        <v>35400001</v>
      </c>
      <c r="O23" s="91" t="s">
        <v>2</v>
      </c>
      <c r="P23" s="7">
        <v>38900000</v>
      </c>
      <c r="Q23" s="13">
        <v>0.13999999999999999</v>
      </c>
      <c r="S23" s="550" t="s">
        <v>9</v>
      </c>
      <c r="T23" s="550"/>
      <c r="U23" s="23">
        <v>63000000</v>
      </c>
      <c r="V23" s="89"/>
      <c r="W23" s="89"/>
      <c r="X23" s="89"/>
      <c r="Y23" s="89"/>
    </row>
    <row r="24" spans="1:25" ht="15" customHeight="1">
      <c r="A24" s="91">
        <f t="shared" si="0"/>
        <v>22</v>
      </c>
      <c r="B24" s="7">
        <f t="shared" si="1"/>
        <v>28000001</v>
      </c>
      <c r="C24" s="91" t="s">
        <v>2</v>
      </c>
      <c r="D24" s="7">
        <v>30050000</v>
      </c>
      <c r="E24" s="13">
        <v>0.11999999999999998</v>
      </c>
      <c r="G24" s="91">
        <f t="shared" si="2"/>
        <v>22</v>
      </c>
      <c r="H24" s="7">
        <f t="shared" si="3"/>
        <v>41100001</v>
      </c>
      <c r="I24" s="91" t="s">
        <v>2</v>
      </c>
      <c r="J24" s="7">
        <v>45800000</v>
      </c>
      <c r="K24" s="13">
        <v>0.16</v>
      </c>
      <c r="M24" s="91">
        <f t="shared" si="4"/>
        <v>22</v>
      </c>
      <c r="N24" s="7">
        <f t="shared" si="5"/>
        <v>38900001</v>
      </c>
      <c r="O24" s="91" t="s">
        <v>2</v>
      </c>
      <c r="P24" s="7">
        <v>43000000</v>
      </c>
      <c r="Q24" s="13">
        <v>0.15</v>
      </c>
      <c r="S24" s="550" t="s">
        <v>11</v>
      </c>
      <c r="T24" s="550"/>
      <c r="U24" s="23">
        <v>67500000</v>
      </c>
      <c r="V24" s="89"/>
      <c r="W24" s="89"/>
      <c r="X24" s="89"/>
      <c r="Y24" s="89"/>
    </row>
    <row r="25" spans="1:25" ht="15" customHeight="1">
      <c r="A25" s="91">
        <f t="shared" si="0"/>
        <v>23</v>
      </c>
      <c r="B25" s="7">
        <f t="shared" si="1"/>
        <v>30050001</v>
      </c>
      <c r="C25" s="91" t="s">
        <v>2</v>
      </c>
      <c r="D25" s="7">
        <v>32400000</v>
      </c>
      <c r="E25" s="13">
        <v>0.12999999999999998</v>
      </c>
      <c r="G25" s="91">
        <f t="shared" si="2"/>
        <v>23</v>
      </c>
      <c r="H25" s="7">
        <f t="shared" si="3"/>
        <v>45800001</v>
      </c>
      <c r="I25" s="91" t="s">
        <v>2</v>
      </c>
      <c r="J25" s="7">
        <v>49500000</v>
      </c>
      <c r="K25" s="13">
        <v>0.17</v>
      </c>
      <c r="M25" s="91">
        <f t="shared" si="4"/>
        <v>23</v>
      </c>
      <c r="N25" s="7">
        <f t="shared" si="5"/>
        <v>43000001</v>
      </c>
      <c r="O25" s="91" t="s">
        <v>2</v>
      </c>
      <c r="P25" s="7">
        <v>47400000</v>
      </c>
      <c r="Q25" s="13">
        <v>0.16</v>
      </c>
      <c r="S25" s="550" t="s">
        <v>12</v>
      </c>
      <c r="T25" s="550"/>
      <c r="U25" s="23">
        <v>72000000</v>
      </c>
      <c r="V25" s="89"/>
      <c r="W25" s="89"/>
      <c r="X25" s="89"/>
      <c r="Y25" s="89"/>
    </row>
    <row r="26" spans="1:25" ht="15" customHeight="1">
      <c r="A26" s="91">
        <f t="shared" si="0"/>
        <v>24</v>
      </c>
      <c r="B26" s="7">
        <f t="shared" si="1"/>
        <v>32400001</v>
      </c>
      <c r="C26" s="91" t="s">
        <v>2</v>
      </c>
      <c r="D26" s="7">
        <v>35400000</v>
      </c>
      <c r="E26" s="13">
        <v>0.13999999999999999</v>
      </c>
      <c r="G26" s="91">
        <f t="shared" si="2"/>
        <v>24</v>
      </c>
      <c r="H26" s="7">
        <f t="shared" si="3"/>
        <v>49500001</v>
      </c>
      <c r="I26" s="91" t="s">
        <v>2</v>
      </c>
      <c r="J26" s="7">
        <v>53800000</v>
      </c>
      <c r="K26" s="13">
        <v>0.18000000000000002</v>
      </c>
      <c r="M26" s="91">
        <f t="shared" si="4"/>
        <v>24</v>
      </c>
      <c r="N26" s="7">
        <f t="shared" si="5"/>
        <v>47400001</v>
      </c>
      <c r="O26" s="91" t="s">
        <v>2</v>
      </c>
      <c r="P26" s="7">
        <v>51200000</v>
      </c>
      <c r="Q26" s="13">
        <v>0.17</v>
      </c>
      <c r="V26" s="89"/>
      <c r="W26" s="89"/>
      <c r="X26" s="89"/>
      <c r="Y26" s="89"/>
    </row>
    <row r="27" spans="1:25" ht="15" customHeight="1">
      <c r="A27" s="91">
        <f t="shared" si="0"/>
        <v>25</v>
      </c>
      <c r="B27" s="7">
        <f t="shared" si="1"/>
        <v>35400001</v>
      </c>
      <c r="C27" s="91" t="s">
        <v>2</v>
      </c>
      <c r="D27" s="7">
        <v>39100000</v>
      </c>
      <c r="E27" s="13">
        <v>0.15</v>
      </c>
      <c r="G27" s="91">
        <f t="shared" si="2"/>
        <v>25</v>
      </c>
      <c r="H27" s="7">
        <f t="shared" si="3"/>
        <v>53800001</v>
      </c>
      <c r="I27" s="91" t="s">
        <v>2</v>
      </c>
      <c r="J27" s="7">
        <v>58500000</v>
      </c>
      <c r="K27" s="13">
        <v>0.19000000000000003</v>
      </c>
      <c r="M27" s="91">
        <f t="shared" si="4"/>
        <v>25</v>
      </c>
      <c r="N27" s="7">
        <f t="shared" si="5"/>
        <v>51200001</v>
      </c>
      <c r="O27" s="91" t="s">
        <v>2</v>
      </c>
      <c r="P27" s="7">
        <v>55800000</v>
      </c>
      <c r="Q27" s="13">
        <v>0.18000000000000002</v>
      </c>
      <c r="V27" s="89"/>
      <c r="W27" s="89"/>
      <c r="X27" s="89"/>
      <c r="Y27" s="89"/>
    </row>
    <row r="28" spans="1:25" ht="15" customHeight="1">
      <c r="A28" s="91">
        <f t="shared" si="0"/>
        <v>26</v>
      </c>
      <c r="B28" s="7">
        <f t="shared" si="1"/>
        <v>39100001</v>
      </c>
      <c r="C28" s="91" t="s">
        <v>2</v>
      </c>
      <c r="D28" s="7">
        <v>43850000</v>
      </c>
      <c r="E28" s="13">
        <v>0.16</v>
      </c>
      <c r="G28" s="91">
        <f t="shared" si="2"/>
        <v>26</v>
      </c>
      <c r="H28" s="7">
        <f t="shared" si="3"/>
        <v>58500001</v>
      </c>
      <c r="I28" s="91" t="s">
        <v>2</v>
      </c>
      <c r="J28" s="7">
        <v>64000000</v>
      </c>
      <c r="K28" s="13">
        <v>0.20000000000000004</v>
      </c>
      <c r="M28" s="91">
        <f t="shared" si="4"/>
        <v>26</v>
      </c>
      <c r="N28" s="7">
        <f t="shared" si="5"/>
        <v>55800001</v>
      </c>
      <c r="O28" s="91" t="s">
        <v>2</v>
      </c>
      <c r="P28" s="7">
        <v>60400000</v>
      </c>
      <c r="Q28" s="13">
        <v>0.19000000000000003</v>
      </c>
      <c r="V28" s="89"/>
      <c r="W28" s="89"/>
      <c r="X28" s="89"/>
      <c r="Y28" s="89"/>
    </row>
    <row r="29" spans="1:25" ht="15" customHeight="1">
      <c r="A29" s="91">
        <f t="shared" si="0"/>
        <v>27</v>
      </c>
      <c r="B29" s="7">
        <f t="shared" si="1"/>
        <v>43850001</v>
      </c>
      <c r="C29" s="91" t="s">
        <v>2</v>
      </c>
      <c r="D29" s="7">
        <v>47800000</v>
      </c>
      <c r="E29" s="13">
        <v>0.17</v>
      </c>
      <c r="G29" s="91">
        <f t="shared" si="2"/>
        <v>27</v>
      </c>
      <c r="H29" s="7">
        <f t="shared" si="3"/>
        <v>64000001</v>
      </c>
      <c r="I29" s="91" t="s">
        <v>2</v>
      </c>
      <c r="J29" s="7">
        <v>71000000</v>
      </c>
      <c r="K29" s="13">
        <v>0.21000000000000005</v>
      </c>
      <c r="M29" s="91">
        <f t="shared" si="4"/>
        <v>27</v>
      </c>
      <c r="N29" s="7">
        <f t="shared" si="5"/>
        <v>60400001</v>
      </c>
      <c r="O29" s="91" t="s">
        <v>2</v>
      </c>
      <c r="P29" s="7">
        <v>66700000</v>
      </c>
      <c r="Q29" s="13">
        <v>0.20000000000000004</v>
      </c>
      <c r="V29" s="89"/>
      <c r="W29" s="89"/>
      <c r="X29" s="89"/>
      <c r="Y29" s="89"/>
    </row>
    <row r="30" spans="1:25" ht="15" customHeight="1">
      <c r="A30" s="91">
        <f t="shared" si="0"/>
        <v>28</v>
      </c>
      <c r="B30" s="7">
        <f t="shared" si="1"/>
        <v>47800001</v>
      </c>
      <c r="C30" s="91" t="s">
        <v>2</v>
      </c>
      <c r="D30" s="7">
        <v>51400000</v>
      </c>
      <c r="E30" s="13">
        <v>0.18000000000000002</v>
      </c>
      <c r="G30" s="91">
        <f t="shared" si="2"/>
        <v>28</v>
      </c>
      <c r="H30" s="7">
        <f t="shared" si="3"/>
        <v>71000001</v>
      </c>
      <c r="I30" s="91" t="s">
        <v>2</v>
      </c>
      <c r="J30" s="7">
        <v>80000000</v>
      </c>
      <c r="K30" s="13">
        <v>0.22000000000000006</v>
      </c>
      <c r="M30" s="91">
        <f t="shared" si="4"/>
        <v>28</v>
      </c>
      <c r="N30" s="7">
        <f t="shared" si="5"/>
        <v>66700001</v>
      </c>
      <c r="O30" s="91" t="s">
        <v>2</v>
      </c>
      <c r="P30" s="7">
        <v>74500000</v>
      </c>
      <c r="Q30" s="13">
        <v>0.21000000000000005</v>
      </c>
      <c r="V30" s="89"/>
      <c r="W30" s="89"/>
      <c r="X30" s="89"/>
      <c r="Y30" s="89"/>
    </row>
    <row r="31" spans="1:25" ht="15" customHeight="1">
      <c r="A31" s="91">
        <f t="shared" si="0"/>
        <v>29</v>
      </c>
      <c r="B31" s="7">
        <f t="shared" si="1"/>
        <v>51400001</v>
      </c>
      <c r="C31" s="91" t="s">
        <v>2</v>
      </c>
      <c r="D31" s="7">
        <v>56300000</v>
      </c>
      <c r="E31" s="13">
        <v>0.19000000000000003</v>
      </c>
      <c r="G31" s="91">
        <f t="shared" si="2"/>
        <v>29</v>
      </c>
      <c r="H31" s="7">
        <f t="shared" si="3"/>
        <v>80000001</v>
      </c>
      <c r="I31" s="91" t="s">
        <v>2</v>
      </c>
      <c r="J31" s="7">
        <v>93000000</v>
      </c>
      <c r="K31" s="13">
        <v>0.23000000000000007</v>
      </c>
      <c r="M31" s="91">
        <f t="shared" si="4"/>
        <v>29</v>
      </c>
      <c r="N31" s="7">
        <f t="shared" si="5"/>
        <v>74500001</v>
      </c>
      <c r="O31" s="91" t="s">
        <v>2</v>
      </c>
      <c r="P31" s="7">
        <v>83200000</v>
      </c>
      <c r="Q31" s="13">
        <v>0.22000000000000006</v>
      </c>
      <c r="S31" s="74"/>
      <c r="U31" s="75"/>
      <c r="V31" s="89"/>
      <c r="W31" s="89"/>
      <c r="X31" s="89"/>
      <c r="Y31" s="89"/>
    </row>
    <row r="32" spans="1:25" ht="15" customHeight="1">
      <c r="A32" s="91">
        <f t="shared" si="0"/>
        <v>30</v>
      </c>
      <c r="B32" s="7">
        <f t="shared" si="1"/>
        <v>56300001</v>
      </c>
      <c r="C32" s="91" t="s">
        <v>2</v>
      </c>
      <c r="D32" s="7">
        <v>62200000</v>
      </c>
      <c r="E32" s="13">
        <v>0.20000000000000004</v>
      </c>
      <c r="G32" s="91">
        <f t="shared" si="2"/>
        <v>30</v>
      </c>
      <c r="H32" s="7">
        <f t="shared" si="3"/>
        <v>93000001</v>
      </c>
      <c r="I32" s="91" t="s">
        <v>2</v>
      </c>
      <c r="J32" s="7">
        <v>109000000</v>
      </c>
      <c r="K32" s="13">
        <v>0.24000000000000007</v>
      </c>
      <c r="M32" s="91">
        <f t="shared" si="4"/>
        <v>30</v>
      </c>
      <c r="N32" s="7">
        <f t="shared" si="5"/>
        <v>83200001</v>
      </c>
      <c r="O32" s="91" t="s">
        <v>2</v>
      </c>
      <c r="P32" s="7">
        <v>95600000</v>
      </c>
      <c r="Q32" s="13">
        <v>0.23000000000000007</v>
      </c>
      <c r="V32" s="89"/>
      <c r="W32" s="89"/>
      <c r="X32" s="89"/>
      <c r="Y32" s="89"/>
    </row>
    <row r="33" spans="1:25" ht="15" customHeight="1">
      <c r="A33" s="91">
        <f t="shared" si="0"/>
        <v>31</v>
      </c>
      <c r="B33" s="7">
        <f t="shared" si="1"/>
        <v>62200001</v>
      </c>
      <c r="C33" s="91" t="s">
        <v>2</v>
      </c>
      <c r="D33" s="7">
        <v>68600000</v>
      </c>
      <c r="E33" s="13">
        <v>0.21000000000000005</v>
      </c>
      <c r="G33" s="91">
        <f t="shared" si="2"/>
        <v>31</v>
      </c>
      <c r="H33" s="7">
        <f t="shared" si="3"/>
        <v>109000001</v>
      </c>
      <c r="I33" s="91" t="s">
        <v>2</v>
      </c>
      <c r="J33" s="7">
        <v>129000000</v>
      </c>
      <c r="K33" s="13">
        <v>0.25000000000000006</v>
      </c>
      <c r="M33" s="91">
        <f t="shared" si="4"/>
        <v>31</v>
      </c>
      <c r="N33" s="7">
        <f t="shared" si="5"/>
        <v>95600001</v>
      </c>
      <c r="O33" s="91" t="s">
        <v>2</v>
      </c>
      <c r="P33" s="7">
        <v>110000000</v>
      </c>
      <c r="Q33" s="13">
        <v>0.24000000000000007</v>
      </c>
      <c r="S33" s="76"/>
      <c r="T33" s="89"/>
      <c r="U33" s="89"/>
      <c r="V33" s="89"/>
      <c r="W33" s="89"/>
      <c r="X33" s="89"/>
      <c r="Y33" s="89"/>
    </row>
    <row r="34" spans="1:25" ht="15" customHeight="1">
      <c r="A34" s="91">
        <f t="shared" si="0"/>
        <v>32</v>
      </c>
      <c r="B34" s="7">
        <f t="shared" si="1"/>
        <v>68600001</v>
      </c>
      <c r="C34" s="91" t="s">
        <v>2</v>
      </c>
      <c r="D34" s="7">
        <v>77500000</v>
      </c>
      <c r="E34" s="13">
        <v>0.22000000000000006</v>
      </c>
      <c r="G34" s="91">
        <f t="shared" si="2"/>
        <v>32</v>
      </c>
      <c r="H34" s="7">
        <f t="shared" si="3"/>
        <v>129000001</v>
      </c>
      <c r="I34" s="91" t="s">
        <v>2</v>
      </c>
      <c r="J34" s="7">
        <v>163000000</v>
      </c>
      <c r="K34" s="13">
        <v>0.26000000000000006</v>
      </c>
      <c r="M34" s="91">
        <f t="shared" si="4"/>
        <v>32</v>
      </c>
      <c r="N34" s="7">
        <f t="shared" si="5"/>
        <v>110000001</v>
      </c>
      <c r="O34" s="91" t="s">
        <v>2</v>
      </c>
      <c r="P34" s="7">
        <v>134000000</v>
      </c>
      <c r="Q34" s="13">
        <v>0.25000000000000006</v>
      </c>
      <c r="T34" s="89"/>
      <c r="U34" s="89"/>
      <c r="V34" s="89"/>
      <c r="W34" s="89"/>
      <c r="X34" s="89"/>
      <c r="Y34" s="89"/>
    </row>
    <row r="35" spans="1:25" ht="15" customHeight="1">
      <c r="A35" s="91">
        <f t="shared" si="0"/>
        <v>33</v>
      </c>
      <c r="B35" s="7">
        <f t="shared" si="1"/>
        <v>77500001</v>
      </c>
      <c r="C35" s="91" t="s">
        <v>2</v>
      </c>
      <c r="D35" s="7">
        <v>89000000</v>
      </c>
      <c r="E35" s="13">
        <v>0.23000000000000007</v>
      </c>
      <c r="G35" s="91">
        <f t="shared" si="2"/>
        <v>33</v>
      </c>
      <c r="H35" s="7">
        <f t="shared" si="3"/>
        <v>163000001</v>
      </c>
      <c r="I35" s="91" t="s">
        <v>2</v>
      </c>
      <c r="J35" s="7">
        <v>211000000</v>
      </c>
      <c r="K35" s="13">
        <v>0.27000000000000007</v>
      </c>
      <c r="M35" s="91">
        <f t="shared" si="4"/>
        <v>33</v>
      </c>
      <c r="N35" s="7">
        <f t="shared" si="5"/>
        <v>134000001</v>
      </c>
      <c r="O35" s="91" t="s">
        <v>2</v>
      </c>
      <c r="P35" s="7">
        <v>169000000</v>
      </c>
      <c r="Q35" s="13">
        <v>0.26000000000000006</v>
      </c>
      <c r="T35" s="89"/>
      <c r="U35" s="89"/>
      <c r="V35" s="89"/>
      <c r="W35" s="89"/>
      <c r="X35" s="89"/>
      <c r="Y35" s="89"/>
    </row>
    <row r="36" spans="1:25" ht="15" customHeight="1">
      <c r="A36" s="91">
        <f t="shared" si="0"/>
        <v>34</v>
      </c>
      <c r="B36" s="7">
        <f t="shared" si="1"/>
        <v>89000001</v>
      </c>
      <c r="C36" s="91" t="s">
        <v>2</v>
      </c>
      <c r="D36" s="7">
        <v>103000000</v>
      </c>
      <c r="E36" s="13">
        <v>0.24000000000000007</v>
      </c>
      <c r="G36" s="91">
        <f t="shared" si="2"/>
        <v>34</v>
      </c>
      <c r="H36" s="7">
        <f t="shared" si="3"/>
        <v>211000001</v>
      </c>
      <c r="I36" s="91" t="s">
        <v>2</v>
      </c>
      <c r="J36" s="7">
        <v>374000000</v>
      </c>
      <c r="K36" s="13">
        <v>0.28000000000000008</v>
      </c>
      <c r="M36" s="91">
        <f t="shared" si="4"/>
        <v>34</v>
      </c>
      <c r="N36" s="7">
        <f t="shared" si="5"/>
        <v>169000001</v>
      </c>
      <c r="O36" s="91" t="s">
        <v>2</v>
      </c>
      <c r="P36" s="7">
        <v>221000000</v>
      </c>
      <c r="Q36" s="13">
        <v>0.27000000000000007</v>
      </c>
      <c r="T36" s="89"/>
      <c r="U36" s="89"/>
      <c r="V36" s="89"/>
      <c r="W36" s="89"/>
      <c r="X36" s="89"/>
      <c r="Y36" s="89"/>
    </row>
    <row r="37" spans="1:25" ht="15" customHeight="1">
      <c r="A37" s="91">
        <f t="shared" si="0"/>
        <v>35</v>
      </c>
      <c r="B37" s="7">
        <f t="shared" si="1"/>
        <v>103000001</v>
      </c>
      <c r="C37" s="91" t="s">
        <v>2</v>
      </c>
      <c r="D37" s="7">
        <v>125000000</v>
      </c>
      <c r="E37" s="13">
        <v>0.25000000000000006</v>
      </c>
      <c r="G37" s="91">
        <f t="shared" si="2"/>
        <v>35</v>
      </c>
      <c r="H37" s="7">
        <f t="shared" si="3"/>
        <v>374000001</v>
      </c>
      <c r="I37" s="91" t="s">
        <v>2</v>
      </c>
      <c r="J37" s="7">
        <v>459000000</v>
      </c>
      <c r="K37" s="13">
        <v>0.29000000000000009</v>
      </c>
      <c r="M37" s="91">
        <f t="shared" si="4"/>
        <v>35</v>
      </c>
      <c r="N37" s="7">
        <f t="shared" si="5"/>
        <v>221000001</v>
      </c>
      <c r="O37" s="91" t="s">
        <v>2</v>
      </c>
      <c r="P37" s="7">
        <v>390000000</v>
      </c>
      <c r="Q37" s="13">
        <v>0.28000000000000008</v>
      </c>
      <c r="T37" s="89"/>
      <c r="U37" s="89"/>
      <c r="V37" s="89"/>
      <c r="W37" s="89"/>
      <c r="X37" s="89"/>
      <c r="Y37" s="89"/>
    </row>
    <row r="38" spans="1:25" ht="15" customHeight="1">
      <c r="A38" s="91">
        <f t="shared" si="0"/>
        <v>36</v>
      </c>
      <c r="B38" s="7">
        <f t="shared" si="1"/>
        <v>125000001</v>
      </c>
      <c r="C38" s="91" t="s">
        <v>2</v>
      </c>
      <c r="D38" s="7">
        <v>157000000</v>
      </c>
      <c r="E38" s="13">
        <v>0.26000000000000006</v>
      </c>
      <c r="G38" s="91">
        <f t="shared" si="2"/>
        <v>36</v>
      </c>
      <c r="H38" s="7">
        <f t="shared" si="3"/>
        <v>459000001</v>
      </c>
      <c r="I38" s="91" t="s">
        <v>2</v>
      </c>
      <c r="J38" s="7">
        <v>555000000</v>
      </c>
      <c r="K38" s="13">
        <v>0.3000000000000001</v>
      </c>
      <c r="M38" s="91">
        <f t="shared" si="4"/>
        <v>36</v>
      </c>
      <c r="N38" s="7">
        <f t="shared" si="5"/>
        <v>390000001</v>
      </c>
      <c r="O38" s="91" t="s">
        <v>2</v>
      </c>
      <c r="P38" s="7">
        <v>463000000</v>
      </c>
      <c r="Q38" s="13">
        <v>0.29000000000000009</v>
      </c>
      <c r="T38" s="89"/>
      <c r="U38" s="89"/>
      <c r="V38" s="89"/>
      <c r="W38" s="89"/>
      <c r="X38" s="89"/>
      <c r="Y38" s="89"/>
    </row>
    <row r="39" spans="1:25" ht="15" customHeight="1">
      <c r="A39" s="91">
        <f t="shared" si="0"/>
        <v>37</v>
      </c>
      <c r="B39" s="7">
        <f t="shared" si="1"/>
        <v>157000001</v>
      </c>
      <c r="C39" s="91" t="s">
        <v>2</v>
      </c>
      <c r="D39" s="7">
        <v>206000000</v>
      </c>
      <c r="E39" s="13">
        <v>0.27000000000000007</v>
      </c>
      <c r="G39" s="91">
        <f t="shared" si="2"/>
        <v>37</v>
      </c>
      <c r="H39" s="7">
        <f t="shared" si="3"/>
        <v>555000001</v>
      </c>
      <c r="I39" s="91" t="s">
        <v>2</v>
      </c>
      <c r="J39" s="7">
        <v>704000000</v>
      </c>
      <c r="K39" s="13">
        <v>0.31000000000000011</v>
      </c>
      <c r="M39" s="91">
        <f t="shared" si="4"/>
        <v>37</v>
      </c>
      <c r="N39" s="7">
        <f t="shared" si="5"/>
        <v>463000001</v>
      </c>
      <c r="O39" s="91" t="s">
        <v>2</v>
      </c>
      <c r="P39" s="7">
        <v>561000000</v>
      </c>
      <c r="Q39" s="13">
        <v>0.3000000000000001</v>
      </c>
      <c r="T39" s="89"/>
      <c r="U39" s="89"/>
      <c r="V39" s="89"/>
      <c r="W39" s="89"/>
      <c r="X39" s="89"/>
      <c r="Y39" s="89"/>
    </row>
    <row r="40" spans="1:25" ht="15" customHeight="1">
      <c r="A40" s="91">
        <f t="shared" si="0"/>
        <v>38</v>
      </c>
      <c r="B40" s="7">
        <f t="shared" si="1"/>
        <v>206000001</v>
      </c>
      <c r="C40" s="91" t="s">
        <v>2</v>
      </c>
      <c r="D40" s="7">
        <v>337000000</v>
      </c>
      <c r="E40" s="13">
        <v>0.28000000000000008</v>
      </c>
      <c r="G40" s="91">
        <f t="shared" si="2"/>
        <v>38</v>
      </c>
      <c r="H40" s="7">
        <f t="shared" si="3"/>
        <v>704000001</v>
      </c>
      <c r="I40" s="91" t="s">
        <v>2</v>
      </c>
      <c r="J40" s="7">
        <v>957000000</v>
      </c>
      <c r="K40" s="13">
        <v>0.32000000000000012</v>
      </c>
      <c r="M40" s="91">
        <f t="shared" si="4"/>
        <v>38</v>
      </c>
      <c r="N40" s="7">
        <f t="shared" si="5"/>
        <v>561000001</v>
      </c>
      <c r="O40" s="91" t="s">
        <v>2</v>
      </c>
      <c r="P40" s="7">
        <v>709000000</v>
      </c>
      <c r="Q40" s="13">
        <v>0.31000000000000011</v>
      </c>
      <c r="T40" s="89"/>
      <c r="U40" s="89"/>
      <c r="V40" s="89"/>
      <c r="W40" s="89"/>
      <c r="X40" s="89"/>
      <c r="Y40" s="89"/>
    </row>
    <row r="41" spans="1:25" ht="15" customHeight="1">
      <c r="A41" s="91">
        <f t="shared" si="0"/>
        <v>39</v>
      </c>
      <c r="B41" s="7">
        <f t="shared" si="1"/>
        <v>337000001</v>
      </c>
      <c r="C41" s="91" t="s">
        <v>2</v>
      </c>
      <c r="D41" s="7">
        <v>454000000</v>
      </c>
      <c r="E41" s="13">
        <v>0.29000000000000009</v>
      </c>
      <c r="G41" s="91">
        <f t="shared" si="2"/>
        <v>39</v>
      </c>
      <c r="H41" s="7">
        <f t="shared" si="3"/>
        <v>957000001</v>
      </c>
      <c r="I41" s="91" t="s">
        <v>2</v>
      </c>
      <c r="J41" s="7">
        <v>1405000000</v>
      </c>
      <c r="K41" s="13">
        <v>0.33000000000000013</v>
      </c>
      <c r="M41" s="91">
        <f t="shared" si="4"/>
        <v>39</v>
      </c>
      <c r="N41" s="7">
        <f t="shared" si="5"/>
        <v>709000001</v>
      </c>
      <c r="O41" s="91" t="s">
        <v>2</v>
      </c>
      <c r="P41" s="7">
        <v>965000000</v>
      </c>
      <c r="Q41" s="13">
        <v>0.32000000000000012</v>
      </c>
      <c r="T41" s="89"/>
      <c r="U41" s="89"/>
      <c r="V41" s="89"/>
      <c r="W41" s="89"/>
      <c r="X41" s="89"/>
      <c r="Y41" s="89"/>
    </row>
    <row r="42" spans="1:25" ht="15" customHeight="1">
      <c r="A42" s="91">
        <f t="shared" si="0"/>
        <v>40</v>
      </c>
      <c r="B42" s="7">
        <f t="shared" si="1"/>
        <v>454000001</v>
      </c>
      <c r="C42" s="91" t="s">
        <v>2</v>
      </c>
      <c r="D42" s="7">
        <v>550000000</v>
      </c>
      <c r="E42" s="13">
        <v>0.3000000000000001</v>
      </c>
      <c r="G42" s="91">
        <f t="shared" si="2"/>
        <v>40</v>
      </c>
      <c r="H42" s="7">
        <f t="shared" si="3"/>
        <v>1405000001</v>
      </c>
      <c r="I42" s="91" t="s">
        <v>2</v>
      </c>
      <c r="J42" s="7" t="s">
        <v>18</v>
      </c>
      <c r="K42" s="13">
        <v>0.34000000000000014</v>
      </c>
      <c r="M42" s="91">
        <f t="shared" si="4"/>
        <v>40</v>
      </c>
      <c r="N42" s="7">
        <f t="shared" si="5"/>
        <v>965000001</v>
      </c>
      <c r="O42" s="91" t="s">
        <v>2</v>
      </c>
      <c r="P42" s="7">
        <v>1419000000</v>
      </c>
      <c r="Q42" s="13">
        <v>0.33000000000000013</v>
      </c>
      <c r="T42" s="89"/>
      <c r="U42" s="89"/>
      <c r="V42" s="89"/>
      <c r="W42" s="89"/>
      <c r="X42" s="89"/>
      <c r="Y42" s="89"/>
    </row>
    <row r="43" spans="1:25" ht="15" customHeight="1">
      <c r="A43" s="91">
        <f t="shared" si="0"/>
        <v>41</v>
      </c>
      <c r="B43" s="7">
        <f t="shared" si="1"/>
        <v>550000001</v>
      </c>
      <c r="C43" s="91" t="s">
        <v>2</v>
      </c>
      <c r="D43" s="7">
        <v>695000000</v>
      </c>
      <c r="E43" s="13">
        <v>0.31000000000000011</v>
      </c>
      <c r="M43" s="91">
        <f>M42+1</f>
        <v>41</v>
      </c>
      <c r="N43" s="7">
        <f t="shared" si="5"/>
        <v>1419000001</v>
      </c>
      <c r="O43" s="91" t="s">
        <v>2</v>
      </c>
      <c r="P43" s="7" t="s">
        <v>18</v>
      </c>
      <c r="Q43" s="13">
        <v>0.34000000000000014</v>
      </c>
      <c r="T43" s="89"/>
      <c r="U43" s="89"/>
      <c r="V43" s="89"/>
      <c r="W43" s="89"/>
      <c r="X43" s="89"/>
      <c r="Y43" s="89"/>
    </row>
    <row r="44" spans="1:25" ht="15" customHeight="1">
      <c r="A44" s="91">
        <f t="shared" si="0"/>
        <v>42</v>
      </c>
      <c r="B44" s="7">
        <f t="shared" si="1"/>
        <v>695000001</v>
      </c>
      <c r="C44" s="91" t="s">
        <v>2</v>
      </c>
      <c r="D44" s="7">
        <v>910000000</v>
      </c>
      <c r="E44" s="13">
        <v>0.32000000000000012</v>
      </c>
      <c r="T44" s="89"/>
      <c r="U44" s="89"/>
      <c r="V44" s="89"/>
      <c r="W44" s="89"/>
      <c r="X44" s="89"/>
      <c r="Y44" s="89"/>
    </row>
    <row r="45" spans="1:25" ht="15" customHeight="1">
      <c r="A45" s="91">
        <f t="shared" si="0"/>
        <v>43</v>
      </c>
      <c r="B45" s="7">
        <f t="shared" si="1"/>
        <v>910000001</v>
      </c>
      <c r="C45" s="91" t="s">
        <v>2</v>
      </c>
      <c r="D45" s="7">
        <v>1400000000</v>
      </c>
      <c r="E45" s="13">
        <v>0.33000000000000013</v>
      </c>
      <c r="T45" s="89"/>
      <c r="U45" s="89"/>
      <c r="V45" s="89"/>
      <c r="W45" s="89"/>
      <c r="X45" s="89"/>
      <c r="Y45" s="89"/>
    </row>
    <row r="46" spans="1:25" ht="15" customHeight="1">
      <c r="A46" s="91">
        <f t="shared" si="0"/>
        <v>44</v>
      </c>
      <c r="B46" s="7">
        <f t="shared" si="1"/>
        <v>1400000001</v>
      </c>
      <c r="C46" s="91" t="s">
        <v>2</v>
      </c>
      <c r="D46" s="7" t="s">
        <v>18</v>
      </c>
      <c r="E46" s="13">
        <v>0.34000000000000014</v>
      </c>
      <c r="J46" s="8"/>
      <c r="T46" s="89"/>
      <c r="U46" s="89"/>
      <c r="V46" s="89"/>
      <c r="W46" s="89"/>
      <c r="X46" s="89"/>
      <c r="Y46" s="89"/>
    </row>
    <row r="47" spans="1:25" ht="15" customHeight="1">
      <c r="J47" s="10"/>
      <c r="T47" s="89"/>
      <c r="U47" s="89"/>
      <c r="V47" s="89"/>
      <c r="W47" s="89"/>
      <c r="X47" s="89"/>
      <c r="Y47" s="89"/>
    </row>
    <row r="48" spans="1:25" ht="15" customHeight="1">
      <c r="J48" s="10"/>
      <c r="T48" s="89"/>
      <c r="U48" s="89"/>
      <c r="V48" s="89"/>
      <c r="W48" s="89"/>
      <c r="X48" s="89"/>
      <c r="Y48" s="89"/>
    </row>
    <row r="54" spans="2:25" ht="15" customHeight="1">
      <c r="B54" s="89"/>
      <c r="D54" s="89"/>
      <c r="E54" s="89"/>
      <c r="J54" s="22"/>
      <c r="K54" s="89"/>
      <c r="Q54" s="89"/>
      <c r="S54" s="89"/>
      <c r="T54" s="89"/>
      <c r="U54" s="89"/>
      <c r="V54" s="89"/>
      <c r="W54" s="89"/>
      <c r="X54" s="89"/>
      <c r="Y54" s="89"/>
    </row>
    <row r="55" spans="2:25" ht="15" customHeight="1">
      <c r="B55" s="89"/>
      <c r="D55" s="89"/>
      <c r="E55" s="89"/>
      <c r="J55" s="22">
        <v>20000000</v>
      </c>
      <c r="K55" s="89"/>
      <c r="Q55" s="89"/>
      <c r="S55" s="89"/>
      <c r="T55" s="89"/>
      <c r="U55" s="89"/>
      <c r="V55" s="89"/>
      <c r="W55" s="89"/>
      <c r="X55" s="89"/>
      <c r="Y55" s="89"/>
    </row>
    <row r="56" spans="2:25" ht="15" customHeight="1">
      <c r="B56" s="89"/>
      <c r="D56" s="89"/>
      <c r="E56" s="89"/>
      <c r="J56" s="22">
        <f ca="1">J61</f>
        <v>1739130.4347826089</v>
      </c>
      <c r="K56" s="89"/>
      <c r="Q56" s="89"/>
      <c r="S56" s="89"/>
      <c r="T56" s="89"/>
      <c r="U56" s="89"/>
      <c r="V56" s="89"/>
      <c r="W56" s="89"/>
      <c r="X56" s="89"/>
      <c r="Y56" s="89"/>
    </row>
    <row r="57" spans="2:25" ht="15" customHeight="1">
      <c r="B57" s="89"/>
      <c r="D57" s="89"/>
      <c r="E57" s="89"/>
      <c r="J57" s="22">
        <f ca="1">SUM(J55:J56)</f>
        <v>21739130.434782609</v>
      </c>
      <c r="K57" s="89"/>
      <c r="Q57" s="89"/>
      <c r="S57" s="89"/>
      <c r="T57" s="89"/>
      <c r="U57" s="89"/>
      <c r="V57" s="89"/>
      <c r="W57" s="89"/>
      <c r="X57" s="89"/>
      <c r="Y57" s="89"/>
    </row>
    <row r="59" spans="2:25" ht="15" customHeight="1">
      <c r="B59" s="89"/>
      <c r="D59" s="89"/>
      <c r="E59" s="89"/>
      <c r="J59" s="22"/>
      <c r="K59" s="89"/>
      <c r="Q59" s="89"/>
      <c r="S59" s="89"/>
      <c r="T59" s="89"/>
      <c r="U59" s="89"/>
      <c r="V59" s="89"/>
      <c r="W59" s="89"/>
      <c r="X59" s="89"/>
      <c r="Y59" s="89"/>
    </row>
    <row r="60" spans="2:25" ht="15" customHeight="1">
      <c r="B60" s="89"/>
      <c r="D60" s="89"/>
      <c r="E60" s="89"/>
      <c r="J60" s="22"/>
      <c r="K60" s="89"/>
      <c r="Q60" s="89"/>
      <c r="S60" s="89"/>
      <c r="T60" s="89"/>
      <c r="U60" s="89"/>
      <c r="V60" s="89"/>
      <c r="W60" s="89"/>
      <c r="X60" s="89"/>
      <c r="Y60" s="89"/>
    </row>
    <row r="61" spans="2:25" ht="15" customHeight="1">
      <c r="B61" s="89"/>
      <c r="D61" s="89"/>
      <c r="E61" s="89"/>
      <c r="J61" s="22">
        <f ca="1">J57*8%</f>
        <v>1739130.4347826089</v>
      </c>
      <c r="K61" s="89"/>
      <c r="Q61" s="89"/>
      <c r="S61" s="89"/>
      <c r="T61" s="89"/>
      <c r="U61" s="89"/>
      <c r="V61" s="89"/>
      <c r="W61" s="89"/>
      <c r="X61" s="89"/>
      <c r="Y61" s="89"/>
    </row>
  </sheetData>
  <mergeCells count="15">
    <mergeCell ref="S22:T22"/>
    <mergeCell ref="S23:T23"/>
    <mergeCell ref="S24:T24"/>
    <mergeCell ref="S25:T25"/>
    <mergeCell ref="S17:T17"/>
    <mergeCell ref="S18:T18"/>
    <mergeCell ref="S19:T19"/>
    <mergeCell ref="S20:T20"/>
    <mergeCell ref="S21:T21"/>
    <mergeCell ref="T14:U14"/>
    <mergeCell ref="S8:U8"/>
    <mergeCell ref="S2:U2"/>
    <mergeCell ref="B2:D2"/>
    <mergeCell ref="H2:J2"/>
    <mergeCell ref="N2:P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Y560"/>
  <sheetViews>
    <sheetView tabSelected="1" zoomScale="85" zoomScaleNormal="85" workbookViewId="0">
      <pane xSplit="12" ySplit="5" topLeftCell="M103" activePane="bottomRight" state="frozen"/>
      <selection pane="topRight" activeCell="M1" sqref="M1"/>
      <selection pane="bottomLeft" activeCell="A6" sqref="A6"/>
      <selection pane="bottomRight" activeCell="G130" sqref="G130"/>
    </sheetView>
  </sheetViews>
  <sheetFormatPr defaultColWidth="9.28515625" defaultRowHeight="12.75" outlineLevelCol="1"/>
  <cols>
    <col min="1" max="1" width="1.5703125" style="465" customWidth="1"/>
    <col min="2" max="2" width="5.7109375" style="201" customWidth="1"/>
    <col min="3" max="3" width="15.5703125" style="28" customWidth="1"/>
    <col min="4" max="4" width="17.42578125" style="418" customWidth="1" outlineLevel="1"/>
    <col min="5" max="5" width="18.85546875" style="29" customWidth="1" outlineLevel="1"/>
    <col min="6" max="6" width="21.5703125" style="28" customWidth="1" outlineLevel="1"/>
    <col min="7" max="7" width="16.5703125" style="421" customWidth="1" outlineLevel="1"/>
    <col min="8" max="8" width="5" style="422" customWidth="1" outlineLevel="1"/>
    <col min="9" max="9" width="6.7109375" style="422" customWidth="1" outlineLevel="1"/>
    <col min="10" max="10" width="7.85546875" style="422" customWidth="1" outlineLevel="1"/>
    <col min="11" max="12" width="5.28515625" style="422" customWidth="1" outlineLevel="1"/>
    <col min="13" max="17" width="12.7109375" style="28" customWidth="1"/>
    <col min="18" max="21" width="13.5703125" style="28" customWidth="1"/>
    <col min="22" max="22" width="14.5703125" style="28" customWidth="1"/>
    <col min="23" max="27" width="13.5703125" style="28" customWidth="1"/>
    <col min="28" max="28" width="14.5703125" style="28" customWidth="1"/>
    <col min="29" max="30" width="13.5703125" style="28" customWidth="1"/>
    <col min="31" max="31" width="15.42578125" style="28" customWidth="1"/>
    <col min="32" max="32" width="14.7109375" style="28" customWidth="1"/>
    <col min="33" max="33" width="12.42578125" style="28" customWidth="1"/>
    <col min="34" max="34" width="12" style="28" customWidth="1"/>
    <col min="35" max="35" width="13" style="28" customWidth="1"/>
    <col min="36" max="37" width="14.7109375" style="31" customWidth="1"/>
    <col min="38" max="38" width="12.28515625" style="32" customWidth="1"/>
    <col min="39" max="39" width="12.28515625" style="33" customWidth="1"/>
    <col min="40" max="40" width="9.7109375" style="32" customWidth="1"/>
    <col min="41" max="41" width="12" style="33" customWidth="1"/>
    <col min="42" max="43" width="9.28515625" style="32" customWidth="1"/>
    <col min="44" max="55" width="9.28515625" style="201"/>
    <col min="56" max="16384" width="9.28515625" style="465"/>
  </cols>
  <sheetData>
    <row r="1" spans="2:43" s="201" customFormat="1" ht="17.649999999999999" customHeight="1" thickBot="1">
      <c r="C1" s="420" t="s">
        <v>40</v>
      </c>
      <c r="D1" s="418"/>
      <c r="E1" s="29"/>
      <c r="F1" s="28"/>
      <c r="G1" s="421"/>
      <c r="H1" s="422"/>
      <c r="I1" s="422"/>
      <c r="J1" s="422"/>
      <c r="K1" s="422"/>
      <c r="L1" s="422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31"/>
      <c r="AK1" s="31"/>
      <c r="AL1" s="32"/>
      <c r="AM1" s="33"/>
      <c r="AN1" s="32"/>
      <c r="AO1" s="33"/>
      <c r="AP1" s="32"/>
      <c r="AQ1" s="32"/>
    </row>
    <row r="2" spans="2:43" s="201" customFormat="1" ht="20.100000000000001" customHeight="1" thickBot="1">
      <c r="B2" s="593" t="s">
        <v>24</v>
      </c>
      <c r="C2" s="596" t="s">
        <v>25</v>
      </c>
      <c r="D2" s="599" t="s">
        <v>26</v>
      </c>
      <c r="E2" s="600" t="s">
        <v>27</v>
      </c>
      <c r="F2" s="596" t="s">
        <v>28</v>
      </c>
      <c r="G2" s="591" t="s">
        <v>29</v>
      </c>
      <c r="H2" s="574" t="s">
        <v>47</v>
      </c>
      <c r="I2" s="575"/>
      <c r="J2" s="575"/>
      <c r="K2" s="575"/>
      <c r="L2" s="575"/>
      <c r="M2" s="578" t="s">
        <v>31</v>
      </c>
      <c r="N2" s="579"/>
      <c r="O2" s="579"/>
      <c r="P2" s="579"/>
      <c r="Q2" s="579"/>
      <c r="R2" s="579"/>
      <c r="S2" s="565" t="s">
        <v>184</v>
      </c>
      <c r="T2" s="566"/>
      <c r="U2" s="566"/>
      <c r="V2" s="573" t="s">
        <v>188</v>
      </c>
      <c r="W2" s="560" t="s">
        <v>189</v>
      </c>
      <c r="X2" s="563" t="s">
        <v>190</v>
      </c>
      <c r="Y2" s="563" t="s">
        <v>191</v>
      </c>
      <c r="Z2" s="563" t="s">
        <v>192</v>
      </c>
      <c r="AA2" s="563" t="s">
        <v>193</v>
      </c>
      <c r="AB2" s="551" t="s">
        <v>194</v>
      </c>
      <c r="AC2" s="554" t="s">
        <v>195</v>
      </c>
      <c r="AD2" s="555"/>
      <c r="AE2" s="558" t="s">
        <v>196</v>
      </c>
      <c r="AF2" s="563" t="s">
        <v>32</v>
      </c>
      <c r="AG2" s="559" t="s">
        <v>33</v>
      </c>
      <c r="AH2" s="551" t="s">
        <v>56</v>
      </c>
      <c r="AI2" s="560"/>
      <c r="AJ2" s="559" t="s">
        <v>34</v>
      </c>
      <c r="AK2" s="589" t="s">
        <v>35</v>
      </c>
      <c r="AL2" s="32"/>
      <c r="AM2" s="33"/>
      <c r="AN2" s="32"/>
      <c r="AO2" s="33"/>
      <c r="AP2" s="32"/>
      <c r="AQ2" s="32"/>
    </row>
    <row r="3" spans="2:43" s="201" customFormat="1" ht="13.9" customHeight="1" thickBot="1">
      <c r="B3" s="594"/>
      <c r="C3" s="597"/>
      <c r="D3" s="597"/>
      <c r="E3" s="600"/>
      <c r="F3" s="597"/>
      <c r="G3" s="591"/>
      <c r="H3" s="576"/>
      <c r="I3" s="577"/>
      <c r="J3" s="577"/>
      <c r="K3" s="577"/>
      <c r="L3" s="577"/>
      <c r="M3" s="580" t="s">
        <v>36</v>
      </c>
      <c r="N3" s="582" t="s">
        <v>44</v>
      </c>
      <c r="O3" s="588" t="s">
        <v>738</v>
      </c>
      <c r="P3" s="582" t="s">
        <v>46</v>
      </c>
      <c r="Q3" s="584" t="s">
        <v>45</v>
      </c>
      <c r="R3" s="582" t="s">
        <v>41</v>
      </c>
      <c r="S3" s="567" t="s">
        <v>185</v>
      </c>
      <c r="T3" s="569" t="s">
        <v>186</v>
      </c>
      <c r="U3" s="571" t="s">
        <v>187</v>
      </c>
      <c r="V3" s="573"/>
      <c r="W3" s="561"/>
      <c r="X3" s="564"/>
      <c r="Y3" s="564"/>
      <c r="Z3" s="564"/>
      <c r="AA3" s="564"/>
      <c r="AB3" s="552"/>
      <c r="AC3" s="556"/>
      <c r="AD3" s="557"/>
      <c r="AE3" s="558"/>
      <c r="AF3" s="564"/>
      <c r="AG3" s="559"/>
      <c r="AH3" s="590"/>
      <c r="AI3" s="562"/>
      <c r="AJ3" s="559"/>
      <c r="AK3" s="589"/>
      <c r="AL3" s="32"/>
      <c r="AM3" s="33"/>
      <c r="AN3" s="32"/>
      <c r="AO3" s="33"/>
      <c r="AP3" s="32"/>
      <c r="AQ3" s="32"/>
    </row>
    <row r="4" spans="2:43" s="201" customFormat="1" ht="36.6" customHeight="1" thickBot="1">
      <c r="B4" s="595"/>
      <c r="C4" s="598"/>
      <c r="D4" s="598"/>
      <c r="E4" s="600"/>
      <c r="F4" s="598"/>
      <c r="G4" s="592"/>
      <c r="H4" s="423" t="s">
        <v>37</v>
      </c>
      <c r="I4" s="423" t="s">
        <v>6</v>
      </c>
      <c r="J4" s="424" t="s">
        <v>15</v>
      </c>
      <c r="K4" s="586" t="s">
        <v>30</v>
      </c>
      <c r="L4" s="587"/>
      <c r="M4" s="581"/>
      <c r="N4" s="583"/>
      <c r="O4" s="583"/>
      <c r="P4" s="583"/>
      <c r="Q4" s="585"/>
      <c r="R4" s="583"/>
      <c r="S4" s="568"/>
      <c r="T4" s="570"/>
      <c r="U4" s="572"/>
      <c r="V4" s="573"/>
      <c r="W4" s="562"/>
      <c r="X4" s="553"/>
      <c r="Y4" s="553"/>
      <c r="Z4" s="553"/>
      <c r="AA4" s="553"/>
      <c r="AB4" s="553"/>
      <c r="AC4" s="425" t="s">
        <v>197</v>
      </c>
      <c r="AD4" s="425" t="s">
        <v>198</v>
      </c>
      <c r="AE4" s="559"/>
      <c r="AF4" s="553"/>
      <c r="AG4" s="559"/>
      <c r="AH4" s="426" t="s">
        <v>55</v>
      </c>
      <c r="AI4" s="426" t="s">
        <v>54</v>
      </c>
      <c r="AJ4" s="559"/>
      <c r="AK4" s="589"/>
      <c r="AL4" s="32"/>
      <c r="AM4" s="33"/>
      <c r="AN4" s="32"/>
      <c r="AO4" s="33"/>
      <c r="AP4" s="32"/>
      <c r="AQ4" s="32"/>
    </row>
    <row r="5" spans="2:43" s="429" customFormat="1" ht="21.4" customHeight="1" thickBot="1">
      <c r="B5" s="427">
        <v>1</v>
      </c>
      <c r="C5" s="428">
        <v>2</v>
      </c>
      <c r="D5" s="427">
        <v>3</v>
      </c>
      <c r="E5" s="428">
        <v>4</v>
      </c>
      <c r="F5" s="427">
        <v>5</v>
      </c>
      <c r="G5" s="428">
        <v>6</v>
      </c>
      <c r="H5" s="427">
        <v>7</v>
      </c>
      <c r="I5" s="428">
        <v>8</v>
      </c>
      <c r="J5" s="427">
        <v>9</v>
      </c>
      <c r="K5" s="428">
        <v>10</v>
      </c>
      <c r="L5" s="427">
        <v>11</v>
      </c>
      <c r="M5" s="428">
        <v>12</v>
      </c>
      <c r="N5" s="427">
        <v>13</v>
      </c>
      <c r="O5" s="427"/>
      <c r="P5" s="428">
        <v>14</v>
      </c>
      <c r="Q5" s="427">
        <v>15</v>
      </c>
      <c r="R5" s="428">
        <v>16</v>
      </c>
      <c r="S5" s="427">
        <v>17</v>
      </c>
      <c r="T5" s="428">
        <v>18</v>
      </c>
      <c r="U5" s="427">
        <v>19</v>
      </c>
      <c r="V5" s="428">
        <v>20</v>
      </c>
      <c r="W5" s="427">
        <v>21</v>
      </c>
      <c r="X5" s="428">
        <v>22</v>
      </c>
      <c r="Y5" s="427">
        <v>23</v>
      </c>
      <c r="Z5" s="428">
        <v>24</v>
      </c>
      <c r="AA5" s="427">
        <v>25</v>
      </c>
      <c r="AB5" s="428">
        <v>26</v>
      </c>
      <c r="AC5" s="427">
        <v>27</v>
      </c>
      <c r="AD5" s="428">
        <v>27</v>
      </c>
      <c r="AE5" s="427">
        <v>29</v>
      </c>
      <c r="AF5" s="428">
        <v>30</v>
      </c>
      <c r="AG5" s="427">
        <v>31</v>
      </c>
      <c r="AH5" s="428">
        <v>32</v>
      </c>
      <c r="AI5" s="427">
        <v>33</v>
      </c>
      <c r="AJ5" s="428">
        <v>34</v>
      </c>
      <c r="AK5" s="427">
        <v>35</v>
      </c>
      <c r="AL5" s="65"/>
      <c r="AM5" s="66"/>
      <c r="AN5" s="65"/>
      <c r="AO5" s="66"/>
      <c r="AP5" s="65"/>
      <c r="AQ5" s="65"/>
    </row>
    <row r="6" spans="2:43" s="201" customFormat="1" ht="15" customHeight="1">
      <c r="B6" s="196">
        <v>1</v>
      </c>
      <c r="C6" s="430" t="str">
        <f>+PERBULAN!B6</f>
        <v>ARYADI</v>
      </c>
      <c r="D6" s="431" t="s">
        <v>222</v>
      </c>
      <c r="E6" s="432" t="s">
        <v>338</v>
      </c>
      <c r="F6" s="111" t="s">
        <v>223</v>
      </c>
      <c r="G6" s="433" t="s">
        <v>391</v>
      </c>
      <c r="H6" s="434" t="s">
        <v>39</v>
      </c>
      <c r="I6" s="435" t="s">
        <v>7</v>
      </c>
      <c r="J6" s="436" t="str">
        <f>IF(ISBLANK(I6),"",IF(OR(I6="TK/0",I6="TK/1",I6="K/0"),"TER A",IF(I6="K/3","TER C","TER B")))</f>
        <v>TER A</v>
      </c>
      <c r="K6" s="437">
        <v>1</v>
      </c>
      <c r="L6" s="438">
        <v>12</v>
      </c>
      <c r="M6" s="46">
        <v>3747380</v>
      </c>
      <c r="N6" s="46">
        <v>353106.64</v>
      </c>
      <c r="O6" s="46"/>
      <c r="P6" s="46">
        <v>190071.64</v>
      </c>
      <c r="Q6" s="46">
        <v>0</v>
      </c>
      <c r="R6" s="46">
        <f t="shared" ref="R6" si="0">SUM(M6:Q6)</f>
        <v>4290558.28</v>
      </c>
      <c r="S6" s="46">
        <f>+SETAHUN!J6</f>
        <v>3991100</v>
      </c>
      <c r="T6" s="46">
        <f>+SETAHUN!L6</f>
        <v>200000</v>
      </c>
      <c r="U6" s="46">
        <v>0</v>
      </c>
      <c r="V6" s="46">
        <f>+SETAHUN!G6+M6+N6</f>
        <v>50134090.799999997</v>
      </c>
      <c r="W6" s="46">
        <v>0</v>
      </c>
      <c r="X6" s="46">
        <f>+SETAHUN!W6+P6</f>
        <v>2277474.48</v>
      </c>
      <c r="Y6" s="46">
        <v>0</v>
      </c>
      <c r="Z6" s="46">
        <v>0</v>
      </c>
      <c r="AA6" s="46">
        <f>SUM(S6:U6)</f>
        <v>4191100</v>
      </c>
      <c r="AB6" s="46">
        <f>SUM(V6:AA6)</f>
        <v>56602665.279999994</v>
      </c>
      <c r="AC6" s="46">
        <f t="shared" ref="AC6:AC31" si="1">ROUND(IF((AB6)*5%&gt;6000000,6000000,(AB6)*5%),0)</f>
        <v>2830133</v>
      </c>
      <c r="AD6" s="46">
        <f>('ASTEK 2% -DIISI SMPAI DESEMBER'!O124+'ASTEK 2% -DIISI SMPAI DESEMBER'!O5)</f>
        <v>1404648</v>
      </c>
      <c r="AE6" s="46">
        <f>AB6-AC6-AD6</f>
        <v>52367884.279999994</v>
      </c>
      <c r="AF6" s="88">
        <f t="shared" ref="AF6:AF31" si="2">IFERROR(VLOOKUP(I6,TARIF,3,FALSE),0)</f>
        <v>54000000</v>
      </c>
      <c r="AG6" s="88">
        <f>ROUNDDOWN(IF(AE6&lt;=AF6,0,IF(AE6&gt;AF6,AE6-AF6)),-3)</f>
        <v>0</v>
      </c>
      <c r="AH6" s="439">
        <f>IF(AG6&gt;5000000000,AG6*35%-306000000,IF(AG6&gt;500000000,AG6*30%-56000000,IF(AG6&gt;250000000,AG6*25%-31000000,IF(AG6&gt;60000000,AG6*15%-6000000,AG6*5%))))</f>
        <v>0</v>
      </c>
      <c r="AI6" s="439">
        <f t="shared" ref="AI6" si="3">ROUND(IF(E6=0,AH6*120%,AH6),0)</f>
        <v>0</v>
      </c>
      <c r="AJ6" s="88">
        <f>+'PAJAK JAN-NOV'!R3</f>
        <v>123670</v>
      </c>
      <c r="AK6" s="409">
        <f>IF(AH6&lt;=AJ6,0,IF(AH6&gt;AJ6,AH6-AJ6))</f>
        <v>0</v>
      </c>
      <c r="AL6" s="32" t="str">
        <f>+'PAJAK JAN-NOV'!B3</f>
        <v>ARYADI</v>
      </c>
      <c r="AM6" s="33">
        <f>AJ6-AI6</f>
        <v>123670</v>
      </c>
      <c r="AN6" s="32"/>
      <c r="AO6" s="33"/>
      <c r="AP6" s="32"/>
      <c r="AQ6" s="32"/>
    </row>
    <row r="7" spans="2:43" s="201" customFormat="1" ht="15" customHeight="1">
      <c r="B7" s="196">
        <v>2</v>
      </c>
      <c r="C7" s="197" t="str">
        <f>+PERBULAN!B7</f>
        <v>SUPRI</v>
      </c>
      <c r="D7" s="198" t="s">
        <v>228</v>
      </c>
      <c r="E7" s="440" t="s">
        <v>341</v>
      </c>
      <c r="F7" s="253" t="s">
        <v>229</v>
      </c>
      <c r="G7" s="433" t="s">
        <v>88</v>
      </c>
      <c r="H7" s="199" t="s">
        <v>39</v>
      </c>
      <c r="I7" s="200" t="s">
        <v>7</v>
      </c>
      <c r="J7" s="436" t="str">
        <f t="shared" ref="J7:J31" si="4">IF(ISBLANK(I7),"",IF(OR(I7="TK/0",I7="TK/1",I7="K/0"),"TER A",IF(I7="K/3","TER C","TER B")))</f>
        <v>TER A</v>
      </c>
      <c r="K7" s="437">
        <v>1</v>
      </c>
      <c r="L7" s="438">
        <v>12</v>
      </c>
      <c r="M7" s="46">
        <v>3359720</v>
      </c>
      <c r="N7" s="46">
        <v>109000</v>
      </c>
      <c r="O7" s="46"/>
      <c r="P7" s="46">
        <v>190071.64</v>
      </c>
      <c r="Q7" s="46">
        <v>0</v>
      </c>
      <c r="R7" s="46">
        <f t="shared" ref="R7:R70" si="5">SUM(M7:Q7)</f>
        <v>3658791.64</v>
      </c>
      <c r="S7" s="46">
        <f>+SETAHUN!J7</f>
        <v>3994600</v>
      </c>
      <c r="T7" s="46">
        <f>+SETAHUN!L7</f>
        <v>200000</v>
      </c>
      <c r="U7" s="46">
        <v>0</v>
      </c>
      <c r="V7" s="46">
        <f>+SETAHUN!G7+M7+N7</f>
        <v>46561690.159999996</v>
      </c>
      <c r="W7" s="46">
        <v>0</v>
      </c>
      <c r="X7" s="46">
        <f>+SETAHUN!W7+P7</f>
        <v>2278174.48</v>
      </c>
      <c r="Y7" s="46">
        <v>0</v>
      </c>
      <c r="Z7" s="46">
        <v>0</v>
      </c>
      <c r="AA7" s="46">
        <f t="shared" ref="AA7:AA31" si="6">SUM(S7:U7)</f>
        <v>4194600</v>
      </c>
      <c r="AB7" s="46">
        <f t="shared" ref="AB7:AB31" si="7">SUM(V7:AA7)</f>
        <v>53034464.639999993</v>
      </c>
      <c r="AC7" s="46">
        <f t="shared" si="1"/>
        <v>2651723</v>
      </c>
      <c r="AD7" s="46">
        <f>('ASTEK 2% -DIISI SMPAI DESEMBER'!O125+'ASTEK 2% -DIISI SMPAI DESEMBER'!O6)</f>
        <v>1404648</v>
      </c>
      <c r="AE7" s="46">
        <f t="shared" ref="AE7:AE31" si="8">AB7-AC7-AD7</f>
        <v>48978093.639999993</v>
      </c>
      <c r="AF7" s="88">
        <f t="shared" si="2"/>
        <v>54000000</v>
      </c>
      <c r="AG7" s="88">
        <f t="shared" ref="AG7:AG70" si="9">ROUNDDOWN(IF(AE7&lt;=AF7,0,IF(AE7&gt;AF7,AE7-AF7)),-3)</f>
        <v>0</v>
      </c>
      <c r="AH7" s="439">
        <f t="shared" ref="AH7:AH31" si="10">IF(AG7&gt;5000000000,AG7*35%-306000000,IF(AG7&gt;500000000,AG7*30%-56000000,IF(AG7&gt;250000000,AG7*25%-31000000,IF(AG7&gt;60000000,AG7*15%-6000000,AG7*5%))))</f>
        <v>0</v>
      </c>
      <c r="AI7" s="439">
        <f>ROUND(IF(E7=0,AH7*120%,AH7),0)</f>
        <v>0</v>
      </c>
      <c r="AJ7" s="88">
        <f>+'PAJAK JAN-NOV'!R4</f>
        <v>122683</v>
      </c>
      <c r="AK7" s="410">
        <f t="shared" ref="AK7:AK40" si="11">IF(AH7&lt;=AJ7,0,IF(AH7&gt;AJ7,AH7-AJ7))</f>
        <v>0</v>
      </c>
      <c r="AL7" s="32" t="str">
        <f>+'PAJAK JAN-NOV'!B4</f>
        <v>SUPRI</v>
      </c>
      <c r="AM7" s="33">
        <f t="shared" ref="AM7:AM69" si="12">AJ7-AI7</f>
        <v>122683</v>
      </c>
      <c r="AN7" s="32"/>
      <c r="AO7" s="33"/>
      <c r="AP7" s="32"/>
      <c r="AQ7" s="32"/>
    </row>
    <row r="8" spans="2:43" s="201" customFormat="1" ht="15" customHeight="1">
      <c r="B8" s="196">
        <v>3</v>
      </c>
      <c r="C8" s="197" t="str">
        <f>+PERBULAN!B8</f>
        <v>ROTIA</v>
      </c>
      <c r="D8" s="198" t="s">
        <v>234</v>
      </c>
      <c r="E8" s="440" t="s">
        <v>342</v>
      </c>
      <c r="F8" s="253" t="s">
        <v>235</v>
      </c>
      <c r="G8" s="433" t="s">
        <v>88</v>
      </c>
      <c r="H8" s="199" t="s">
        <v>38</v>
      </c>
      <c r="I8" s="200" t="s">
        <v>7</v>
      </c>
      <c r="J8" s="436" t="str">
        <f t="shared" si="4"/>
        <v>TER A</v>
      </c>
      <c r="K8" s="437">
        <v>1</v>
      </c>
      <c r="L8" s="438">
        <v>12</v>
      </c>
      <c r="M8" s="46">
        <v>4005820</v>
      </c>
      <c r="N8" s="46">
        <v>127250</v>
      </c>
      <c r="O8" s="46"/>
      <c r="P8" s="46">
        <v>190410.44</v>
      </c>
      <c r="Q8" s="46">
        <v>0</v>
      </c>
      <c r="R8" s="46">
        <f t="shared" si="5"/>
        <v>4323480.4400000004</v>
      </c>
      <c r="S8" s="46">
        <f>+SETAHUN!J8</f>
        <v>3998100</v>
      </c>
      <c r="T8" s="46">
        <f>+SETAHUN!L8</f>
        <v>200000</v>
      </c>
      <c r="U8" s="46">
        <v>0</v>
      </c>
      <c r="V8" s="46">
        <f>+SETAHUN!G8+M8+N8</f>
        <v>48645046.360000007</v>
      </c>
      <c r="W8" s="46">
        <v>0</v>
      </c>
      <c r="X8" s="46">
        <f>+SETAHUN!W8+P8</f>
        <v>2280679.08</v>
      </c>
      <c r="Y8" s="46">
        <v>0</v>
      </c>
      <c r="Z8" s="46">
        <v>0</v>
      </c>
      <c r="AA8" s="46">
        <f t="shared" si="6"/>
        <v>4198100</v>
      </c>
      <c r="AB8" s="46">
        <f t="shared" si="7"/>
        <v>55123825.440000005</v>
      </c>
      <c r="AC8" s="46">
        <f t="shared" si="1"/>
        <v>2756191</v>
      </c>
      <c r="AD8" s="46">
        <f>('ASTEK 2% -DIISI SMPAI DESEMBER'!O126+'ASTEK 2% -DIISI SMPAI DESEMBER'!O7)</f>
        <v>1405593</v>
      </c>
      <c r="AE8" s="46">
        <f t="shared" si="8"/>
        <v>50962041.440000005</v>
      </c>
      <c r="AF8" s="88">
        <f t="shared" si="2"/>
        <v>54000000</v>
      </c>
      <c r="AG8" s="88">
        <f t="shared" si="9"/>
        <v>0</v>
      </c>
      <c r="AH8" s="439">
        <f t="shared" si="10"/>
        <v>0</v>
      </c>
      <c r="AI8" s="439">
        <f>ROUND(IF(E8=0,AH8*120%,AH8),0)</f>
        <v>0</v>
      </c>
      <c r="AJ8" s="88">
        <f>+'PAJAK JAN-NOV'!R5</f>
        <v>124762</v>
      </c>
      <c r="AK8" s="411">
        <f t="shared" si="11"/>
        <v>0</v>
      </c>
      <c r="AL8" s="32" t="str">
        <f>+'PAJAK JAN-NOV'!B5</f>
        <v>ROTIA</v>
      </c>
      <c r="AM8" s="33">
        <f t="shared" si="12"/>
        <v>124762</v>
      </c>
      <c r="AN8" s="32"/>
      <c r="AO8" s="33"/>
      <c r="AP8" s="32"/>
      <c r="AQ8" s="32"/>
    </row>
    <row r="9" spans="2:43" s="201" customFormat="1" ht="15" customHeight="1">
      <c r="B9" s="196">
        <v>4</v>
      </c>
      <c r="C9" s="197" t="str">
        <f>+PERBULAN!B9</f>
        <v>SURYANI</v>
      </c>
      <c r="D9" s="198" t="s">
        <v>237</v>
      </c>
      <c r="E9" s="440" t="s">
        <v>343</v>
      </c>
      <c r="F9" s="253" t="s">
        <v>238</v>
      </c>
      <c r="G9" s="433" t="s">
        <v>88</v>
      </c>
      <c r="H9" s="199" t="s">
        <v>38</v>
      </c>
      <c r="I9" s="200" t="s">
        <v>7</v>
      </c>
      <c r="J9" s="436" t="str">
        <f t="shared" si="4"/>
        <v>TER A</v>
      </c>
      <c r="K9" s="437">
        <v>1</v>
      </c>
      <c r="L9" s="438">
        <v>12</v>
      </c>
      <c r="M9" s="46">
        <v>4005820</v>
      </c>
      <c r="N9" s="46">
        <v>123750</v>
      </c>
      <c r="O9" s="46"/>
      <c r="P9" s="46">
        <v>190241.04</v>
      </c>
      <c r="Q9" s="46">
        <v>0</v>
      </c>
      <c r="R9" s="46">
        <f t="shared" si="5"/>
        <v>4319811.04</v>
      </c>
      <c r="S9" s="46">
        <f>+SETAHUN!J9</f>
        <v>3998100</v>
      </c>
      <c r="T9" s="46">
        <f>+SETAHUN!L9</f>
        <v>200000</v>
      </c>
      <c r="U9" s="46">
        <v>0</v>
      </c>
      <c r="V9" s="46">
        <f>+SETAHUN!G9+M9+N9</f>
        <v>48709475.160000004</v>
      </c>
      <c r="W9" s="46">
        <v>0</v>
      </c>
      <c r="X9" s="46">
        <f>+SETAHUN!W9+P9</f>
        <v>2280030.88</v>
      </c>
      <c r="Y9" s="46">
        <v>0</v>
      </c>
      <c r="Z9" s="46">
        <v>0</v>
      </c>
      <c r="AA9" s="46">
        <f t="shared" si="6"/>
        <v>4198100</v>
      </c>
      <c r="AB9" s="46">
        <f t="shared" si="7"/>
        <v>55187606.040000007</v>
      </c>
      <c r="AC9" s="46">
        <f t="shared" si="1"/>
        <v>2759380</v>
      </c>
      <c r="AD9" s="46">
        <f>('ASTEK 2% -DIISI SMPAI DESEMBER'!O127+'ASTEK 2% -DIISI SMPAI DESEMBER'!O8)</f>
        <v>1405278</v>
      </c>
      <c r="AE9" s="46">
        <f t="shared" si="8"/>
        <v>51022948.040000007</v>
      </c>
      <c r="AF9" s="88">
        <f t="shared" si="2"/>
        <v>54000000</v>
      </c>
      <c r="AG9" s="88">
        <f t="shared" si="9"/>
        <v>0</v>
      </c>
      <c r="AH9" s="439">
        <f t="shared" ref="AH9:AH28" si="13">IF(AG9&gt;5000000000,AG9*35%-306000000,IF(AG9&gt;500000000,AG9*30%-56000000,IF(AG9&gt;250000000,AG9*25%-31000000,IF(AG9&gt;60000000,AG9*15%-6000000,AG9*5%))))</f>
        <v>0</v>
      </c>
      <c r="AI9" s="439">
        <f t="shared" ref="AI9:AI28" si="14">ROUND(IF(E9=0,AH9*120%,AH9),0)</f>
        <v>0</v>
      </c>
      <c r="AJ9" s="88">
        <f>+'PAJAK JAN-NOV'!R6</f>
        <v>124762</v>
      </c>
      <c r="AK9" s="410">
        <f t="shared" si="11"/>
        <v>0</v>
      </c>
      <c r="AL9" s="32" t="str">
        <f>+'PAJAK JAN-NOV'!B6</f>
        <v>SURYANI</v>
      </c>
      <c r="AM9" s="33">
        <f t="shared" si="12"/>
        <v>124762</v>
      </c>
      <c r="AN9" s="32"/>
      <c r="AO9" s="33"/>
      <c r="AP9" s="32"/>
      <c r="AQ9" s="32"/>
    </row>
    <row r="10" spans="2:43" s="201" customFormat="1" ht="15" customHeight="1">
      <c r="B10" s="196">
        <v>5</v>
      </c>
      <c r="C10" s="197" t="str">
        <f>+PERBULAN!B10</f>
        <v>SAHINA YUNI</v>
      </c>
      <c r="D10" s="198" t="s">
        <v>240</v>
      </c>
      <c r="E10" s="440" t="s">
        <v>344</v>
      </c>
      <c r="F10" s="253" t="s">
        <v>241</v>
      </c>
      <c r="G10" s="433" t="s">
        <v>88</v>
      </c>
      <c r="H10" s="199" t="s">
        <v>38</v>
      </c>
      <c r="I10" s="200" t="s">
        <v>7</v>
      </c>
      <c r="J10" s="436" t="str">
        <f t="shared" si="4"/>
        <v>TER A</v>
      </c>
      <c r="K10" s="437">
        <v>1</v>
      </c>
      <c r="L10" s="438">
        <v>12</v>
      </c>
      <c r="M10" s="46">
        <v>3876600</v>
      </c>
      <c r="N10" s="46">
        <v>121500</v>
      </c>
      <c r="O10" s="46"/>
      <c r="P10" s="46">
        <v>190241.04</v>
      </c>
      <c r="Q10" s="46">
        <v>0</v>
      </c>
      <c r="R10" s="46">
        <f t="shared" si="5"/>
        <v>4188341.04</v>
      </c>
      <c r="S10" s="46">
        <f>+SETAHUN!J10</f>
        <v>3994600</v>
      </c>
      <c r="T10" s="46">
        <f>+SETAHUN!L10</f>
        <v>200000</v>
      </c>
      <c r="U10" s="46">
        <v>0</v>
      </c>
      <c r="V10" s="46">
        <f>+SETAHUN!G10+M10+N10</f>
        <v>48148597.159999996</v>
      </c>
      <c r="W10" s="46">
        <v>0</v>
      </c>
      <c r="X10" s="46">
        <f>+SETAHUN!W10+P10</f>
        <v>2278483.88</v>
      </c>
      <c r="Y10" s="46">
        <v>0</v>
      </c>
      <c r="Z10" s="46">
        <v>0</v>
      </c>
      <c r="AA10" s="46">
        <f t="shared" si="6"/>
        <v>4194600</v>
      </c>
      <c r="AB10" s="46">
        <f t="shared" si="7"/>
        <v>54621681.039999999</v>
      </c>
      <c r="AC10" s="46">
        <f t="shared" si="1"/>
        <v>2731084</v>
      </c>
      <c r="AD10" s="46">
        <f>('ASTEK 2% -DIISI SMPAI DESEMBER'!O128+'ASTEK 2% -DIISI SMPAI DESEMBER'!O9)</f>
        <v>1404753</v>
      </c>
      <c r="AE10" s="46">
        <f t="shared" si="8"/>
        <v>50485844.039999999</v>
      </c>
      <c r="AF10" s="88">
        <f t="shared" si="2"/>
        <v>54000000</v>
      </c>
      <c r="AG10" s="88">
        <f t="shared" si="9"/>
        <v>0</v>
      </c>
      <c r="AH10" s="439">
        <f t="shared" si="13"/>
        <v>0</v>
      </c>
      <c r="AI10" s="439">
        <f t="shared" si="14"/>
        <v>0</v>
      </c>
      <c r="AJ10" s="88">
        <f>+'PAJAK JAN-NOV'!R7</f>
        <v>124655</v>
      </c>
      <c r="AK10" s="410">
        <f t="shared" si="11"/>
        <v>0</v>
      </c>
      <c r="AL10" s="32" t="str">
        <f>+'PAJAK JAN-NOV'!B7</f>
        <v>SAHINA YUNI</v>
      </c>
      <c r="AM10" s="33">
        <f t="shared" si="12"/>
        <v>124655</v>
      </c>
      <c r="AN10" s="32"/>
      <c r="AO10" s="33"/>
      <c r="AP10" s="32"/>
      <c r="AQ10" s="32"/>
    </row>
    <row r="11" spans="2:43" s="201" customFormat="1" ht="15" customHeight="1">
      <c r="B11" s="196">
        <v>6</v>
      </c>
      <c r="C11" s="197" t="str">
        <f>+PERBULAN!B11</f>
        <v>NURLELA</v>
      </c>
      <c r="D11" s="198" t="s">
        <v>243</v>
      </c>
      <c r="E11" s="440" t="s">
        <v>345</v>
      </c>
      <c r="F11" s="253" t="s">
        <v>244</v>
      </c>
      <c r="G11" s="433" t="s">
        <v>88</v>
      </c>
      <c r="H11" s="199" t="s">
        <v>38</v>
      </c>
      <c r="I11" s="200" t="s">
        <v>7</v>
      </c>
      <c r="J11" s="436" t="str">
        <f t="shared" si="4"/>
        <v>TER A</v>
      </c>
      <c r="K11" s="437">
        <v>1</v>
      </c>
      <c r="L11" s="438">
        <v>12</v>
      </c>
      <c r="M11" s="46">
        <v>4005820</v>
      </c>
      <c r="N11" s="46">
        <v>165750</v>
      </c>
      <c r="O11" s="46"/>
      <c r="P11" s="46">
        <v>192273.84</v>
      </c>
      <c r="Q11" s="46">
        <v>0</v>
      </c>
      <c r="R11" s="46">
        <f t="shared" si="5"/>
        <v>4363843.84</v>
      </c>
      <c r="S11" s="46">
        <f>+SETAHUN!J11</f>
        <v>4033100</v>
      </c>
      <c r="T11" s="46">
        <f>+SETAHUN!L11</f>
        <v>200000</v>
      </c>
      <c r="U11" s="46">
        <v>0</v>
      </c>
      <c r="V11" s="46">
        <f>+SETAHUN!G11+M11+N11</f>
        <v>48826608.159999996</v>
      </c>
      <c r="W11" s="46">
        <v>0</v>
      </c>
      <c r="X11" s="46">
        <f>+SETAHUN!W11+P11</f>
        <v>2300487.6799999997</v>
      </c>
      <c r="Y11" s="46">
        <v>0</v>
      </c>
      <c r="Z11" s="46">
        <v>0</v>
      </c>
      <c r="AA11" s="46">
        <f t="shared" si="6"/>
        <v>4233100</v>
      </c>
      <c r="AB11" s="46">
        <f t="shared" si="7"/>
        <v>55360195.839999996</v>
      </c>
      <c r="AC11" s="46">
        <f t="shared" si="1"/>
        <v>2768010</v>
      </c>
      <c r="AD11" s="46">
        <f>('ASTEK 2% -DIISI SMPAI DESEMBER'!O129+'ASTEK 2% -DIISI SMPAI DESEMBER'!O10)</f>
        <v>1412838</v>
      </c>
      <c r="AE11" s="46">
        <f t="shared" si="8"/>
        <v>51179347.839999996</v>
      </c>
      <c r="AF11" s="88">
        <f t="shared" si="2"/>
        <v>54000000</v>
      </c>
      <c r="AG11" s="88">
        <f t="shared" si="9"/>
        <v>0</v>
      </c>
      <c r="AH11" s="439">
        <f t="shared" si="13"/>
        <v>0</v>
      </c>
      <c r="AI11" s="439">
        <f t="shared" si="14"/>
        <v>0</v>
      </c>
      <c r="AJ11" s="88">
        <f>+'PAJAK JAN-NOV'!R8</f>
        <v>125833</v>
      </c>
      <c r="AK11" s="410">
        <f t="shared" si="11"/>
        <v>0</v>
      </c>
      <c r="AL11" s="32" t="str">
        <f>+'PAJAK JAN-NOV'!B8</f>
        <v>NURLELA</v>
      </c>
      <c r="AM11" s="33">
        <f t="shared" si="12"/>
        <v>125833</v>
      </c>
      <c r="AN11" s="32"/>
      <c r="AO11" s="33"/>
      <c r="AP11" s="32"/>
      <c r="AQ11" s="32"/>
    </row>
    <row r="12" spans="2:43" s="201" customFormat="1" ht="15" customHeight="1">
      <c r="B12" s="196">
        <v>7</v>
      </c>
      <c r="C12" s="197" t="str">
        <f>+PERBULAN!B12</f>
        <v>SUSINARTI</v>
      </c>
      <c r="D12" s="198" t="s">
        <v>246</v>
      </c>
      <c r="E12" s="440" t="s">
        <v>346</v>
      </c>
      <c r="F12" s="253" t="s">
        <v>247</v>
      </c>
      <c r="G12" s="433" t="s">
        <v>88</v>
      </c>
      <c r="H12" s="199" t="s">
        <v>38</v>
      </c>
      <c r="I12" s="200" t="s">
        <v>7</v>
      </c>
      <c r="J12" s="436" t="str">
        <f t="shared" si="4"/>
        <v>TER A</v>
      </c>
      <c r="K12" s="437">
        <v>1</v>
      </c>
      <c r="L12" s="438">
        <v>12</v>
      </c>
      <c r="M12" s="46">
        <v>3876600</v>
      </c>
      <c r="N12" s="46">
        <v>118000</v>
      </c>
      <c r="O12" s="46"/>
      <c r="P12" s="46">
        <v>190071.64</v>
      </c>
      <c r="Q12" s="46">
        <v>0</v>
      </c>
      <c r="R12" s="46">
        <f t="shared" si="5"/>
        <v>4184671.64</v>
      </c>
      <c r="S12" s="46">
        <f>+SETAHUN!J12</f>
        <v>3991100</v>
      </c>
      <c r="T12" s="46">
        <f>+SETAHUN!L12</f>
        <v>200000</v>
      </c>
      <c r="U12" s="46">
        <v>0</v>
      </c>
      <c r="V12" s="46">
        <f>+SETAHUN!G12+M12+N12</f>
        <v>48298107.359999992</v>
      </c>
      <c r="W12" s="46">
        <v>0</v>
      </c>
      <c r="X12" s="46">
        <f>+SETAHUN!W12+P12</f>
        <v>2276966.2800000003</v>
      </c>
      <c r="Y12" s="46">
        <v>0</v>
      </c>
      <c r="Z12" s="46">
        <v>0</v>
      </c>
      <c r="AA12" s="46">
        <f t="shared" si="6"/>
        <v>4191100</v>
      </c>
      <c r="AB12" s="46">
        <f t="shared" si="7"/>
        <v>54766173.639999993</v>
      </c>
      <c r="AC12" s="46">
        <f t="shared" si="1"/>
        <v>2738309</v>
      </c>
      <c r="AD12" s="46">
        <f>('ASTEK 2% -DIISI SMPAI DESEMBER'!O130+'ASTEK 2% -DIISI SMPAI DESEMBER'!O11)</f>
        <v>1404333</v>
      </c>
      <c r="AE12" s="46">
        <f t="shared" si="8"/>
        <v>50623531.639999993</v>
      </c>
      <c r="AF12" s="88">
        <f t="shared" si="2"/>
        <v>54000000</v>
      </c>
      <c r="AG12" s="88">
        <f t="shared" si="9"/>
        <v>0</v>
      </c>
      <c r="AH12" s="439">
        <f t="shared" si="13"/>
        <v>0</v>
      </c>
      <c r="AI12" s="439">
        <f t="shared" si="14"/>
        <v>0</v>
      </c>
      <c r="AJ12" s="88">
        <f>+'PAJAK JAN-NOV'!R9</f>
        <v>124548</v>
      </c>
      <c r="AK12" s="410">
        <f t="shared" si="11"/>
        <v>0</v>
      </c>
      <c r="AL12" s="32" t="str">
        <f>+'PAJAK JAN-NOV'!B9</f>
        <v>SUSINARTI</v>
      </c>
      <c r="AM12" s="33">
        <f t="shared" si="12"/>
        <v>124548</v>
      </c>
      <c r="AN12" s="32"/>
      <c r="AO12" s="33"/>
      <c r="AP12" s="32"/>
      <c r="AQ12" s="32"/>
    </row>
    <row r="13" spans="2:43" s="201" customFormat="1" ht="15" customHeight="1">
      <c r="B13" s="196">
        <v>8</v>
      </c>
      <c r="C13" s="197" t="str">
        <f>+PERBULAN!B13</f>
        <v>JAHIMIN</v>
      </c>
      <c r="D13" s="198" t="s">
        <v>249</v>
      </c>
      <c r="E13" s="440" t="s">
        <v>347</v>
      </c>
      <c r="F13" s="253" t="s">
        <v>250</v>
      </c>
      <c r="G13" s="433" t="s">
        <v>88</v>
      </c>
      <c r="H13" s="199" t="s">
        <v>39</v>
      </c>
      <c r="I13" s="200" t="s">
        <v>17</v>
      </c>
      <c r="J13" s="436" t="str">
        <f t="shared" si="4"/>
        <v>TER A</v>
      </c>
      <c r="K13" s="437">
        <v>1</v>
      </c>
      <c r="L13" s="438">
        <v>12</v>
      </c>
      <c r="M13" s="46">
        <v>3747380</v>
      </c>
      <c r="N13" s="46">
        <v>192800</v>
      </c>
      <c r="O13" s="46"/>
      <c r="P13" s="46">
        <v>191765.64</v>
      </c>
      <c r="Q13" s="46">
        <v>0</v>
      </c>
      <c r="R13" s="46">
        <f t="shared" si="5"/>
        <v>4131945.64</v>
      </c>
      <c r="S13" s="46">
        <f>+SETAHUN!J13</f>
        <v>4069600</v>
      </c>
      <c r="T13" s="46">
        <f>+SETAHUN!L13</f>
        <v>200000</v>
      </c>
      <c r="U13" s="46">
        <v>0</v>
      </c>
      <c r="V13" s="46">
        <f>+SETAHUN!G13+M13+N13</f>
        <v>48367645.159999996</v>
      </c>
      <c r="W13" s="46">
        <v>0</v>
      </c>
      <c r="X13" s="46">
        <f>+SETAHUN!W13+P13</f>
        <v>2295198.48</v>
      </c>
      <c r="Y13" s="46">
        <v>0</v>
      </c>
      <c r="Z13" s="46">
        <v>0</v>
      </c>
      <c r="AA13" s="46">
        <f t="shared" si="6"/>
        <v>4269600</v>
      </c>
      <c r="AB13" s="46">
        <f t="shared" si="7"/>
        <v>54932443.639999993</v>
      </c>
      <c r="AC13" s="46">
        <f t="shared" si="1"/>
        <v>2746622</v>
      </c>
      <c r="AD13" s="46">
        <f>('ASTEK 2% -DIISI SMPAI DESEMBER'!O131+'ASTEK 2% -DIISI SMPAI DESEMBER'!O12)</f>
        <v>1410948</v>
      </c>
      <c r="AE13" s="46">
        <f t="shared" si="8"/>
        <v>50774873.639999993</v>
      </c>
      <c r="AF13" s="88">
        <f t="shared" si="2"/>
        <v>58500000</v>
      </c>
      <c r="AG13" s="88">
        <f t="shared" si="9"/>
        <v>0</v>
      </c>
      <c r="AH13" s="439">
        <f t="shared" si="13"/>
        <v>0</v>
      </c>
      <c r="AI13" s="439">
        <f t="shared" si="14"/>
        <v>0</v>
      </c>
      <c r="AJ13" s="88">
        <f>+'PAJAK JAN-NOV'!R10</f>
        <v>126945</v>
      </c>
      <c r="AK13" s="410">
        <f t="shared" si="11"/>
        <v>0</v>
      </c>
      <c r="AL13" s="32" t="str">
        <f>+'PAJAK JAN-NOV'!B10</f>
        <v>JAHIMIN</v>
      </c>
      <c r="AM13" s="33">
        <f t="shared" si="12"/>
        <v>126945</v>
      </c>
      <c r="AN13" s="32"/>
      <c r="AO13" s="33"/>
      <c r="AP13" s="32"/>
      <c r="AQ13" s="32"/>
    </row>
    <row r="14" spans="2:43" s="201" customFormat="1" ht="15" customHeight="1">
      <c r="B14" s="196">
        <v>9</v>
      </c>
      <c r="C14" s="197" t="str">
        <f>+PERBULAN!B14</f>
        <v>GUSTAMI</v>
      </c>
      <c r="D14" s="198" t="s">
        <v>258</v>
      </c>
      <c r="E14" s="440" t="s">
        <v>350</v>
      </c>
      <c r="F14" s="253" t="s">
        <v>259</v>
      </c>
      <c r="G14" s="433" t="s">
        <v>88</v>
      </c>
      <c r="H14" s="199" t="s">
        <v>39</v>
      </c>
      <c r="I14" s="200" t="s">
        <v>9</v>
      </c>
      <c r="J14" s="436" t="str">
        <f t="shared" si="4"/>
        <v>TER B</v>
      </c>
      <c r="K14" s="437">
        <v>1</v>
      </c>
      <c r="L14" s="438">
        <v>12</v>
      </c>
      <c r="M14" s="46">
        <v>3876600</v>
      </c>
      <c r="N14" s="46">
        <v>147500</v>
      </c>
      <c r="O14" s="46"/>
      <c r="P14" s="46">
        <v>189394.04</v>
      </c>
      <c r="Q14" s="46">
        <v>0</v>
      </c>
      <c r="R14" s="46">
        <f t="shared" si="5"/>
        <v>4213494.04</v>
      </c>
      <c r="S14" s="46">
        <f>+SETAHUN!J14</f>
        <v>4049100</v>
      </c>
      <c r="T14" s="46">
        <f>+SETAHUN!L14</f>
        <v>200000</v>
      </c>
      <c r="U14" s="46">
        <v>0</v>
      </c>
      <c r="V14" s="46">
        <f>+SETAHUN!G14+M14+N14</f>
        <v>49313529.159999996</v>
      </c>
      <c r="W14" s="46">
        <v>0</v>
      </c>
      <c r="X14" s="46">
        <f>+SETAHUN!W14+P14</f>
        <v>2269201.88</v>
      </c>
      <c r="Y14" s="46">
        <v>0</v>
      </c>
      <c r="Z14" s="46">
        <v>0</v>
      </c>
      <c r="AA14" s="46">
        <f t="shared" si="6"/>
        <v>4249100</v>
      </c>
      <c r="AB14" s="46">
        <f t="shared" si="7"/>
        <v>55831831.039999999</v>
      </c>
      <c r="AC14" s="46">
        <f t="shared" si="1"/>
        <v>2791592</v>
      </c>
      <c r="AD14" s="46">
        <f>('ASTEK 2% -DIISI SMPAI DESEMBER'!O132+'ASTEK 2% -DIISI SMPAI DESEMBER'!O13)</f>
        <v>1401603</v>
      </c>
      <c r="AE14" s="46">
        <f t="shared" si="8"/>
        <v>51638636.039999999</v>
      </c>
      <c r="AF14" s="88">
        <f t="shared" si="2"/>
        <v>63000000</v>
      </c>
      <c r="AG14" s="88">
        <f t="shared" si="9"/>
        <v>0</v>
      </c>
      <c r="AH14" s="439">
        <f t="shared" si="13"/>
        <v>0</v>
      </c>
      <c r="AI14" s="439">
        <f t="shared" si="14"/>
        <v>0</v>
      </c>
      <c r="AJ14" s="88">
        <f>+'PAJAK JAN-NOV'!R11</f>
        <v>84210</v>
      </c>
      <c r="AK14" s="410">
        <f t="shared" si="11"/>
        <v>0</v>
      </c>
      <c r="AL14" s="32" t="str">
        <f>+'PAJAK JAN-NOV'!B11</f>
        <v>GUSTAMI</v>
      </c>
      <c r="AM14" s="33">
        <f t="shared" si="12"/>
        <v>84210</v>
      </c>
      <c r="AN14" s="32"/>
      <c r="AO14" s="33"/>
      <c r="AP14" s="32"/>
      <c r="AQ14" s="32"/>
    </row>
    <row r="15" spans="2:43" s="201" customFormat="1" ht="15" customHeight="1">
      <c r="B15" s="196">
        <v>10</v>
      </c>
      <c r="C15" s="197" t="str">
        <f>+PERBULAN!B15</f>
        <v>AGUS TRIANTIKA</v>
      </c>
      <c r="D15" s="198" t="s">
        <v>261</v>
      </c>
      <c r="E15" s="413" t="s">
        <v>73</v>
      </c>
      <c r="F15" s="253" t="s">
        <v>262</v>
      </c>
      <c r="G15" s="433" t="s">
        <v>88</v>
      </c>
      <c r="H15" s="199" t="s">
        <v>39</v>
      </c>
      <c r="I15" s="200" t="s">
        <v>11</v>
      </c>
      <c r="J15" s="436" t="str">
        <f t="shared" si="4"/>
        <v>TER B</v>
      </c>
      <c r="K15" s="437">
        <v>1</v>
      </c>
      <c r="L15" s="438">
        <v>12</v>
      </c>
      <c r="M15" s="46">
        <v>3747380</v>
      </c>
      <c r="N15" s="46">
        <v>187950</v>
      </c>
      <c r="O15" s="46"/>
      <c r="P15" s="46">
        <v>188934.24</v>
      </c>
      <c r="Q15" s="46">
        <v>0</v>
      </c>
      <c r="R15" s="46">
        <f t="shared" si="5"/>
        <v>4124264.24</v>
      </c>
      <c r="S15" s="46">
        <f>+SETAHUN!J15</f>
        <v>4067100</v>
      </c>
      <c r="T15" s="46">
        <f>+SETAHUN!L15</f>
        <v>200000</v>
      </c>
      <c r="U15" s="46">
        <v>0</v>
      </c>
      <c r="V15" s="46">
        <f>+SETAHUN!G15+M15+N15</f>
        <v>47333376.359999992</v>
      </c>
      <c r="W15" s="46">
        <v>0</v>
      </c>
      <c r="X15" s="46">
        <f>+SETAHUN!W15+P15</f>
        <v>2264984.88</v>
      </c>
      <c r="Y15" s="46">
        <v>0</v>
      </c>
      <c r="Z15" s="46">
        <v>0</v>
      </c>
      <c r="AA15" s="46">
        <f t="shared" si="6"/>
        <v>4267100</v>
      </c>
      <c r="AB15" s="46">
        <f t="shared" si="7"/>
        <v>53865461.239999995</v>
      </c>
      <c r="AC15" s="46">
        <f t="shared" si="1"/>
        <v>2693273</v>
      </c>
      <c r="AD15" s="46">
        <f>('ASTEK 2% -DIISI SMPAI DESEMBER'!O133+'ASTEK 2% -DIISI SMPAI DESEMBER'!O14)</f>
        <v>1400328</v>
      </c>
      <c r="AE15" s="46">
        <f t="shared" si="8"/>
        <v>49771860.239999995</v>
      </c>
      <c r="AF15" s="88">
        <f t="shared" si="2"/>
        <v>67500000</v>
      </c>
      <c r="AG15" s="88">
        <f t="shared" si="9"/>
        <v>0</v>
      </c>
      <c r="AH15" s="439">
        <f t="shared" si="13"/>
        <v>0</v>
      </c>
      <c r="AI15" s="439">
        <f t="shared" si="14"/>
        <v>0</v>
      </c>
      <c r="AJ15" s="88">
        <f>+'PAJAK JAN-NOV'!R12</f>
        <v>83228</v>
      </c>
      <c r="AK15" s="410">
        <f t="shared" si="11"/>
        <v>0</v>
      </c>
      <c r="AL15" s="32" t="str">
        <f>+'PAJAK JAN-NOV'!B12</f>
        <v>AGUS TRIANTIKA</v>
      </c>
      <c r="AM15" s="33">
        <f t="shared" si="12"/>
        <v>83228</v>
      </c>
      <c r="AN15" s="32"/>
      <c r="AO15" s="33"/>
      <c r="AP15" s="32"/>
      <c r="AQ15" s="32"/>
    </row>
    <row r="16" spans="2:43" s="201" customFormat="1" ht="15" customHeight="1">
      <c r="B16" s="196">
        <v>11</v>
      </c>
      <c r="C16" s="197" t="str">
        <f>+PERBULAN!B16</f>
        <v>FIKA HOIRI</v>
      </c>
      <c r="D16" s="198" t="s">
        <v>264</v>
      </c>
      <c r="E16" s="413" t="s">
        <v>73</v>
      </c>
      <c r="F16" s="253" t="s">
        <v>265</v>
      </c>
      <c r="G16" s="433" t="s">
        <v>88</v>
      </c>
      <c r="H16" s="199" t="s">
        <v>39</v>
      </c>
      <c r="I16" s="200" t="s">
        <v>9</v>
      </c>
      <c r="J16" s="436" t="str">
        <f t="shared" si="4"/>
        <v>TER B</v>
      </c>
      <c r="K16" s="437">
        <v>1</v>
      </c>
      <c r="L16" s="438">
        <v>12</v>
      </c>
      <c r="M16" s="46">
        <v>3747380</v>
      </c>
      <c r="N16" s="46">
        <v>147350</v>
      </c>
      <c r="O16" s="46"/>
      <c r="P16" s="46">
        <v>188232.44</v>
      </c>
      <c r="Q16" s="46">
        <v>0</v>
      </c>
      <c r="R16" s="46">
        <f t="shared" si="5"/>
        <v>4082962.44</v>
      </c>
      <c r="S16" s="46">
        <f>+SETAHUN!J16</f>
        <v>4026100</v>
      </c>
      <c r="T16" s="46">
        <f>+SETAHUN!L16</f>
        <v>200000</v>
      </c>
      <c r="U16" s="46">
        <v>0</v>
      </c>
      <c r="V16" s="46">
        <f>+SETAHUN!G16+M16+N16</f>
        <v>46171925.160000004</v>
      </c>
      <c r="W16" s="46">
        <v>0</v>
      </c>
      <c r="X16" s="46">
        <f>+SETAHUN!W16+P16</f>
        <v>2257075.2799999998</v>
      </c>
      <c r="Y16" s="46">
        <v>0</v>
      </c>
      <c r="Z16" s="46">
        <v>0</v>
      </c>
      <c r="AA16" s="46">
        <f t="shared" si="6"/>
        <v>4226100</v>
      </c>
      <c r="AB16" s="46">
        <f t="shared" si="7"/>
        <v>52655100.440000005</v>
      </c>
      <c r="AC16" s="46">
        <f t="shared" si="1"/>
        <v>2632755</v>
      </c>
      <c r="AD16" s="46">
        <f>('ASTEK 2% -DIISI SMPAI DESEMBER'!O134+'ASTEK 2% -DIISI SMPAI DESEMBER'!O15)</f>
        <v>1397508</v>
      </c>
      <c r="AE16" s="46">
        <f t="shared" si="8"/>
        <v>48624837.440000005</v>
      </c>
      <c r="AF16" s="88">
        <f t="shared" si="2"/>
        <v>63000000</v>
      </c>
      <c r="AG16" s="88">
        <f t="shared" si="9"/>
        <v>0</v>
      </c>
      <c r="AH16" s="439">
        <f t="shared" si="13"/>
        <v>0</v>
      </c>
      <c r="AI16" s="439">
        <f t="shared" si="14"/>
        <v>0</v>
      </c>
      <c r="AJ16" s="88">
        <f>+'PAJAK JAN-NOV'!R13</f>
        <v>81064</v>
      </c>
      <c r="AK16" s="410">
        <f t="shared" si="11"/>
        <v>0</v>
      </c>
      <c r="AL16" s="32" t="str">
        <f>+'PAJAK JAN-NOV'!B13</f>
        <v>FIKA HOIRI</v>
      </c>
      <c r="AM16" s="33">
        <f t="shared" si="12"/>
        <v>81064</v>
      </c>
      <c r="AN16" s="32"/>
      <c r="AO16" s="33"/>
      <c r="AP16" s="32"/>
      <c r="AQ16" s="32"/>
    </row>
    <row r="17" spans="2:43" s="201" customFormat="1" ht="15" customHeight="1">
      <c r="B17" s="196">
        <v>12</v>
      </c>
      <c r="C17" s="197" t="str">
        <f>+PERBULAN!B17</f>
        <v>NOPI HARIKA</v>
      </c>
      <c r="D17" s="198" t="s">
        <v>267</v>
      </c>
      <c r="E17" s="440" t="s">
        <v>351</v>
      </c>
      <c r="F17" s="253" t="s">
        <v>268</v>
      </c>
      <c r="G17" s="433" t="s">
        <v>88</v>
      </c>
      <c r="H17" s="199" t="s">
        <v>38</v>
      </c>
      <c r="I17" s="200" t="s">
        <v>7</v>
      </c>
      <c r="J17" s="436" t="str">
        <f t="shared" si="4"/>
        <v>TER A</v>
      </c>
      <c r="K17" s="437">
        <v>1</v>
      </c>
      <c r="L17" s="438">
        <v>12</v>
      </c>
      <c r="M17" s="46">
        <v>3876600</v>
      </c>
      <c r="N17" s="46">
        <v>196428.32</v>
      </c>
      <c r="O17" s="46"/>
      <c r="P17" s="46">
        <v>190071.64</v>
      </c>
      <c r="Q17" s="46">
        <v>0</v>
      </c>
      <c r="R17" s="46">
        <f t="shared" si="5"/>
        <v>4263099.96</v>
      </c>
      <c r="S17" s="46">
        <f>+SETAHUN!J17</f>
        <v>3991100</v>
      </c>
      <c r="T17" s="46">
        <f>+SETAHUN!L17</f>
        <v>200000</v>
      </c>
      <c r="U17" s="46">
        <v>0</v>
      </c>
      <c r="V17" s="46">
        <f>+SETAHUN!G17+M17+N17</f>
        <v>48124097.479999997</v>
      </c>
      <c r="W17" s="46">
        <v>0</v>
      </c>
      <c r="X17" s="46">
        <f>+SETAHUN!W17+P17</f>
        <v>2277474.48</v>
      </c>
      <c r="Y17" s="46">
        <v>0</v>
      </c>
      <c r="Z17" s="46">
        <v>0</v>
      </c>
      <c r="AA17" s="46">
        <f t="shared" si="6"/>
        <v>4191100</v>
      </c>
      <c r="AB17" s="46">
        <f t="shared" si="7"/>
        <v>54592671.959999993</v>
      </c>
      <c r="AC17" s="46">
        <f t="shared" si="1"/>
        <v>2729634</v>
      </c>
      <c r="AD17" s="46">
        <f>('ASTEK 2% -DIISI SMPAI DESEMBER'!O135+'ASTEK 2% -DIISI SMPAI DESEMBER'!O16)</f>
        <v>1404648</v>
      </c>
      <c r="AE17" s="46">
        <f t="shared" si="8"/>
        <v>50458389.959999993</v>
      </c>
      <c r="AF17" s="88">
        <f t="shared" si="2"/>
        <v>54000000</v>
      </c>
      <c r="AG17" s="88">
        <f t="shared" si="9"/>
        <v>0</v>
      </c>
      <c r="AH17" s="439">
        <f t="shared" si="13"/>
        <v>0</v>
      </c>
      <c r="AI17" s="439">
        <f t="shared" si="14"/>
        <v>0</v>
      </c>
      <c r="AJ17" s="88">
        <f>+'PAJAK JAN-NOV'!R14</f>
        <v>124548</v>
      </c>
      <c r="AK17" s="410">
        <f t="shared" si="11"/>
        <v>0</v>
      </c>
      <c r="AL17" s="32" t="str">
        <f>+'PAJAK JAN-NOV'!B14</f>
        <v>NOPI HARIKA</v>
      </c>
      <c r="AM17" s="33">
        <f t="shared" si="12"/>
        <v>124548</v>
      </c>
      <c r="AN17" s="32"/>
      <c r="AO17" s="33"/>
      <c r="AP17" s="32"/>
      <c r="AQ17" s="32"/>
    </row>
    <row r="18" spans="2:43" s="201" customFormat="1" ht="15" customHeight="1">
      <c r="B18" s="196">
        <v>13</v>
      </c>
      <c r="C18" s="197" t="str">
        <f>+PERBULAN!B18</f>
        <v>SARI IRIANTI</v>
      </c>
      <c r="D18" s="198" t="s">
        <v>273</v>
      </c>
      <c r="E18" s="440" t="s">
        <v>353</v>
      </c>
      <c r="F18" s="253" t="s">
        <v>274</v>
      </c>
      <c r="G18" s="433" t="s">
        <v>88</v>
      </c>
      <c r="H18" s="199" t="s">
        <v>38</v>
      </c>
      <c r="I18" s="200" t="s">
        <v>7</v>
      </c>
      <c r="J18" s="436" t="str">
        <f t="shared" si="4"/>
        <v>TER A</v>
      </c>
      <c r="K18" s="437">
        <v>1</v>
      </c>
      <c r="L18" s="438">
        <v>12</v>
      </c>
      <c r="M18" s="46">
        <v>3876600</v>
      </c>
      <c r="N18" s="46">
        <v>97500</v>
      </c>
      <c r="O18" s="46"/>
      <c r="P18" s="46">
        <v>189079.44</v>
      </c>
      <c r="Q18" s="46">
        <v>0</v>
      </c>
      <c r="R18" s="46">
        <f t="shared" si="5"/>
        <v>4163179.44</v>
      </c>
      <c r="S18" s="46">
        <f>+SETAHUN!J18</f>
        <v>3971100</v>
      </c>
      <c r="T18" s="46">
        <f>+SETAHUN!L18</f>
        <v>200000</v>
      </c>
      <c r="U18" s="46">
        <v>0</v>
      </c>
      <c r="V18" s="46">
        <f>+SETAHUN!G18+M18+N18</f>
        <v>47799665.359999999</v>
      </c>
      <c r="W18" s="46">
        <v>0</v>
      </c>
      <c r="X18" s="46">
        <f>+SETAHUN!W18+P18</f>
        <v>2266576.08</v>
      </c>
      <c r="Y18" s="46">
        <v>0</v>
      </c>
      <c r="Z18" s="46">
        <v>0</v>
      </c>
      <c r="AA18" s="46">
        <f t="shared" si="6"/>
        <v>4171100</v>
      </c>
      <c r="AB18" s="46">
        <f t="shared" si="7"/>
        <v>54237341.439999998</v>
      </c>
      <c r="AC18" s="46">
        <f t="shared" si="1"/>
        <v>2711867</v>
      </c>
      <c r="AD18" s="46">
        <f>('ASTEK 2% -DIISI SMPAI DESEMBER'!O136+'ASTEK 2% -DIISI SMPAI DESEMBER'!O17)</f>
        <v>1400868</v>
      </c>
      <c r="AE18" s="46">
        <f t="shared" si="8"/>
        <v>50124606.439999998</v>
      </c>
      <c r="AF18" s="88">
        <f t="shared" si="2"/>
        <v>54000000</v>
      </c>
      <c r="AG18" s="88">
        <f t="shared" si="9"/>
        <v>0</v>
      </c>
      <c r="AH18" s="439">
        <f t="shared" si="13"/>
        <v>0</v>
      </c>
      <c r="AI18" s="439">
        <f t="shared" si="14"/>
        <v>0</v>
      </c>
      <c r="AJ18" s="88">
        <f>+'PAJAK JAN-NOV'!R15</f>
        <v>123936</v>
      </c>
      <c r="AK18" s="410">
        <f t="shared" si="11"/>
        <v>0</v>
      </c>
      <c r="AL18" s="32" t="str">
        <f>+'PAJAK JAN-NOV'!B15</f>
        <v>SARI IRIANTI</v>
      </c>
      <c r="AM18" s="33">
        <f t="shared" si="12"/>
        <v>123936</v>
      </c>
      <c r="AN18" s="32"/>
      <c r="AO18" s="33"/>
      <c r="AP18" s="32"/>
      <c r="AQ18" s="32"/>
    </row>
    <row r="19" spans="2:43" s="201" customFormat="1" ht="15" customHeight="1">
      <c r="B19" s="196">
        <v>14</v>
      </c>
      <c r="C19" s="197" t="str">
        <f>+PERBULAN!B19</f>
        <v>ROSNANI</v>
      </c>
      <c r="D19" s="198" t="s">
        <v>278</v>
      </c>
      <c r="E19" s="413" t="s">
        <v>355</v>
      </c>
      <c r="F19" s="253" t="s">
        <v>279</v>
      </c>
      <c r="G19" s="433" t="s">
        <v>88</v>
      </c>
      <c r="H19" s="199" t="s">
        <v>38</v>
      </c>
      <c r="I19" s="200" t="s">
        <v>7</v>
      </c>
      <c r="J19" s="436" t="str">
        <f t="shared" si="4"/>
        <v>TER A</v>
      </c>
      <c r="K19" s="437">
        <v>1</v>
      </c>
      <c r="L19" s="438">
        <v>12</v>
      </c>
      <c r="M19" s="46">
        <v>4005820</v>
      </c>
      <c r="N19" s="46">
        <v>127250</v>
      </c>
      <c r="O19" s="46"/>
      <c r="P19" s="46">
        <v>190410.44</v>
      </c>
      <c r="Q19" s="46">
        <v>0</v>
      </c>
      <c r="R19" s="46">
        <f t="shared" si="5"/>
        <v>4323480.4400000004</v>
      </c>
      <c r="S19" s="46">
        <f>+SETAHUN!J19</f>
        <v>3998100</v>
      </c>
      <c r="T19" s="46">
        <f>+SETAHUN!L19</f>
        <v>200000</v>
      </c>
      <c r="U19" s="46">
        <v>0</v>
      </c>
      <c r="V19" s="46">
        <f>+SETAHUN!G19+M19+N19</f>
        <v>48323818.360000007</v>
      </c>
      <c r="W19" s="46">
        <v>0</v>
      </c>
      <c r="X19" s="46">
        <f>+SETAHUN!W19+P19</f>
        <v>2280679.08</v>
      </c>
      <c r="Y19" s="46">
        <v>0</v>
      </c>
      <c r="Z19" s="46">
        <v>0</v>
      </c>
      <c r="AA19" s="46">
        <f t="shared" si="6"/>
        <v>4198100</v>
      </c>
      <c r="AB19" s="46">
        <f t="shared" si="7"/>
        <v>54802597.440000005</v>
      </c>
      <c r="AC19" s="46">
        <f t="shared" si="1"/>
        <v>2740130</v>
      </c>
      <c r="AD19" s="46">
        <f>('ASTEK 2% -DIISI SMPAI DESEMBER'!O137+'ASTEK 2% -DIISI SMPAI DESEMBER'!O18)</f>
        <v>1405593</v>
      </c>
      <c r="AE19" s="46">
        <f t="shared" si="8"/>
        <v>50656874.440000005</v>
      </c>
      <c r="AF19" s="88">
        <f t="shared" si="2"/>
        <v>54000000</v>
      </c>
      <c r="AG19" s="88">
        <f t="shared" si="9"/>
        <v>0</v>
      </c>
      <c r="AH19" s="439">
        <f t="shared" si="13"/>
        <v>0</v>
      </c>
      <c r="AI19" s="439">
        <f t="shared" si="14"/>
        <v>0</v>
      </c>
      <c r="AJ19" s="88">
        <f>+'PAJAK JAN-NOV'!R16</f>
        <v>122790</v>
      </c>
      <c r="AK19" s="410">
        <f t="shared" si="11"/>
        <v>0</v>
      </c>
      <c r="AL19" s="32" t="str">
        <f>+'PAJAK JAN-NOV'!B16</f>
        <v>ROSNANI</v>
      </c>
      <c r="AM19" s="33">
        <f t="shared" si="12"/>
        <v>122790</v>
      </c>
      <c r="AN19" s="32"/>
      <c r="AO19" s="33"/>
      <c r="AP19" s="32"/>
      <c r="AQ19" s="32"/>
    </row>
    <row r="20" spans="2:43" s="201" customFormat="1" ht="15" customHeight="1">
      <c r="B20" s="196">
        <v>15</v>
      </c>
      <c r="C20" s="197" t="str">
        <f>+PERBULAN!B20</f>
        <v>YESI</v>
      </c>
      <c r="D20" s="198" t="s">
        <v>287</v>
      </c>
      <c r="E20" s="440" t="s">
        <v>73</v>
      </c>
      <c r="F20" s="253" t="s">
        <v>288</v>
      </c>
      <c r="G20" s="433" t="s">
        <v>88</v>
      </c>
      <c r="H20" s="441" t="s">
        <v>38</v>
      </c>
      <c r="I20" s="436" t="s">
        <v>7</v>
      </c>
      <c r="J20" s="436" t="str">
        <f t="shared" si="4"/>
        <v>TER A</v>
      </c>
      <c r="K20" s="437">
        <v>1</v>
      </c>
      <c r="L20" s="438">
        <v>12</v>
      </c>
      <c r="M20" s="46">
        <v>3876600</v>
      </c>
      <c r="N20" s="46">
        <v>88500</v>
      </c>
      <c r="O20" s="46"/>
      <c r="P20" s="46">
        <v>188643.84</v>
      </c>
      <c r="Q20" s="46">
        <v>0</v>
      </c>
      <c r="R20" s="46">
        <f t="shared" si="5"/>
        <v>4153743.84</v>
      </c>
      <c r="S20" s="46">
        <f>+SETAHUN!J20</f>
        <v>3962100</v>
      </c>
      <c r="T20" s="46">
        <f>+SETAHUN!L20</f>
        <v>200000</v>
      </c>
      <c r="U20" s="46">
        <v>0</v>
      </c>
      <c r="V20" s="46">
        <f>+SETAHUN!G20+M20+N20</f>
        <v>47636380.159999996</v>
      </c>
      <c r="W20" s="46">
        <v>0</v>
      </c>
      <c r="X20" s="46">
        <f>+SETAHUN!W20+P20</f>
        <v>2261947.6799999997</v>
      </c>
      <c r="Y20" s="46">
        <v>0</v>
      </c>
      <c r="Z20" s="46">
        <v>0</v>
      </c>
      <c r="AA20" s="46">
        <f t="shared" si="6"/>
        <v>4162100</v>
      </c>
      <c r="AB20" s="46">
        <f t="shared" si="7"/>
        <v>54060427.839999996</v>
      </c>
      <c r="AC20" s="46">
        <f t="shared" si="1"/>
        <v>2703021</v>
      </c>
      <c r="AD20" s="46">
        <f>('ASTEK 2% -DIISI SMPAI DESEMBER'!O138+'ASTEK 2% -DIISI SMPAI DESEMBER'!O19)</f>
        <v>1399338</v>
      </c>
      <c r="AE20" s="46">
        <f t="shared" si="8"/>
        <v>49958068.839999996</v>
      </c>
      <c r="AF20" s="88">
        <f t="shared" si="2"/>
        <v>54000000</v>
      </c>
      <c r="AG20" s="88">
        <f t="shared" si="9"/>
        <v>0</v>
      </c>
      <c r="AH20" s="439">
        <f t="shared" si="13"/>
        <v>0</v>
      </c>
      <c r="AI20" s="439">
        <f t="shared" si="14"/>
        <v>0</v>
      </c>
      <c r="AJ20" s="88">
        <f>+'PAJAK JAN-NOV'!R17</f>
        <v>121688</v>
      </c>
      <c r="AK20" s="410">
        <f t="shared" si="11"/>
        <v>0</v>
      </c>
      <c r="AL20" s="32" t="str">
        <f>+'PAJAK JAN-NOV'!B17</f>
        <v>YESI</v>
      </c>
      <c r="AM20" s="33">
        <f t="shared" si="12"/>
        <v>121688</v>
      </c>
      <c r="AN20" s="32"/>
      <c r="AO20" s="33"/>
      <c r="AP20" s="32"/>
      <c r="AQ20" s="32"/>
    </row>
    <row r="21" spans="2:43" s="201" customFormat="1" ht="15" customHeight="1">
      <c r="B21" s="196">
        <v>16</v>
      </c>
      <c r="C21" s="197" t="str">
        <f>+PERBULAN!B21</f>
        <v>WAKINI</v>
      </c>
      <c r="D21" s="198" t="s">
        <v>290</v>
      </c>
      <c r="E21" s="442" t="s">
        <v>73</v>
      </c>
      <c r="F21" s="253" t="s">
        <v>291</v>
      </c>
      <c r="G21" s="433" t="s">
        <v>88</v>
      </c>
      <c r="H21" s="441" t="s">
        <v>38</v>
      </c>
      <c r="I21" s="436" t="s">
        <v>7</v>
      </c>
      <c r="J21" s="436" t="str">
        <f t="shared" si="4"/>
        <v>TER A</v>
      </c>
      <c r="K21" s="437">
        <v>1</v>
      </c>
      <c r="L21" s="438">
        <v>12</v>
      </c>
      <c r="M21" s="46">
        <v>4005820</v>
      </c>
      <c r="N21" s="46">
        <v>121750</v>
      </c>
      <c r="O21" s="46"/>
      <c r="P21" s="46">
        <v>188643.84</v>
      </c>
      <c r="Q21" s="46">
        <v>0</v>
      </c>
      <c r="R21" s="46">
        <f t="shared" si="5"/>
        <v>4316213.84</v>
      </c>
      <c r="S21" s="46">
        <f>+SETAHUN!J21</f>
        <v>3962100</v>
      </c>
      <c r="T21" s="46">
        <f>+SETAHUN!L21</f>
        <v>900000</v>
      </c>
      <c r="U21" s="46">
        <v>0</v>
      </c>
      <c r="V21" s="46">
        <f>+SETAHUN!G21+M21+N21</f>
        <v>48831670.159999996</v>
      </c>
      <c r="W21" s="46">
        <v>0</v>
      </c>
      <c r="X21" s="46">
        <f>+SETAHUN!W21+P21</f>
        <v>2261947.6799999997</v>
      </c>
      <c r="Y21" s="46">
        <v>0</v>
      </c>
      <c r="Z21" s="46">
        <v>0</v>
      </c>
      <c r="AA21" s="46">
        <f t="shared" si="6"/>
        <v>4862100</v>
      </c>
      <c r="AB21" s="46">
        <f t="shared" si="7"/>
        <v>55955717.839999996</v>
      </c>
      <c r="AC21" s="46">
        <f t="shared" si="1"/>
        <v>2797786</v>
      </c>
      <c r="AD21" s="46">
        <f>('ASTEK 2% -DIISI SMPAI DESEMBER'!O139+'ASTEK 2% -DIISI SMPAI DESEMBER'!O20)</f>
        <v>1399338</v>
      </c>
      <c r="AE21" s="46">
        <f t="shared" si="8"/>
        <v>51758593.839999996</v>
      </c>
      <c r="AF21" s="88">
        <f t="shared" si="2"/>
        <v>54000000</v>
      </c>
      <c r="AG21" s="88">
        <f t="shared" si="9"/>
        <v>0</v>
      </c>
      <c r="AH21" s="439">
        <f t="shared" si="13"/>
        <v>0</v>
      </c>
      <c r="AI21" s="439">
        <f t="shared" si="14"/>
        <v>0</v>
      </c>
      <c r="AJ21" s="88">
        <f>+'PAJAK JAN-NOV'!R18</f>
        <v>123660</v>
      </c>
      <c r="AK21" s="410">
        <f t="shared" si="11"/>
        <v>0</v>
      </c>
      <c r="AL21" s="32" t="str">
        <f>+'PAJAK JAN-NOV'!B18</f>
        <v>WAKINI</v>
      </c>
      <c r="AM21" s="33">
        <f t="shared" si="12"/>
        <v>123660</v>
      </c>
      <c r="AN21" s="32"/>
      <c r="AO21" s="33"/>
      <c r="AP21" s="32"/>
      <c r="AQ21" s="32"/>
    </row>
    <row r="22" spans="2:43" s="201" customFormat="1" ht="15" customHeight="1">
      <c r="B22" s="196">
        <v>17</v>
      </c>
      <c r="C22" s="197" t="str">
        <f>+PERBULAN!B22</f>
        <v>WITA SARI</v>
      </c>
      <c r="D22" s="443" t="s">
        <v>293</v>
      </c>
      <c r="E22" s="444" t="s">
        <v>359</v>
      </c>
      <c r="F22" s="253" t="s">
        <v>294</v>
      </c>
      <c r="G22" s="433" t="s">
        <v>88</v>
      </c>
      <c r="H22" s="441" t="s">
        <v>38</v>
      </c>
      <c r="I22" s="436" t="s">
        <v>7</v>
      </c>
      <c r="J22" s="436" t="str">
        <f t="shared" si="4"/>
        <v>TER A</v>
      </c>
      <c r="K22" s="437">
        <v>1</v>
      </c>
      <c r="L22" s="438">
        <v>12</v>
      </c>
      <c r="M22" s="46">
        <v>4005820</v>
      </c>
      <c r="N22" s="46">
        <v>121750</v>
      </c>
      <c r="O22" s="46"/>
      <c r="P22" s="46">
        <v>188643.84</v>
      </c>
      <c r="Q22" s="46">
        <v>0</v>
      </c>
      <c r="R22" s="46">
        <f t="shared" si="5"/>
        <v>4316213.84</v>
      </c>
      <c r="S22" s="46">
        <f>+SETAHUN!J22</f>
        <v>3962100</v>
      </c>
      <c r="T22" s="46">
        <f>+SETAHUN!L22</f>
        <v>200000</v>
      </c>
      <c r="U22" s="46">
        <v>0</v>
      </c>
      <c r="V22" s="46">
        <f>+SETAHUN!G22+M22+N22</f>
        <v>48831670.159999996</v>
      </c>
      <c r="W22" s="46">
        <v>0</v>
      </c>
      <c r="X22" s="46">
        <f>+SETAHUN!W22+P22</f>
        <v>2261947.6799999997</v>
      </c>
      <c r="Y22" s="46">
        <v>0</v>
      </c>
      <c r="Z22" s="46">
        <v>0</v>
      </c>
      <c r="AA22" s="46">
        <f t="shared" si="6"/>
        <v>4162100</v>
      </c>
      <c r="AB22" s="46">
        <f t="shared" si="7"/>
        <v>55255717.839999996</v>
      </c>
      <c r="AC22" s="46">
        <f t="shared" si="1"/>
        <v>2762786</v>
      </c>
      <c r="AD22" s="46">
        <f>('ASTEK 2% -DIISI SMPAI DESEMBER'!O140+'ASTEK 2% -DIISI SMPAI DESEMBER'!O21)</f>
        <v>1399338</v>
      </c>
      <c r="AE22" s="46">
        <f t="shared" si="8"/>
        <v>51093593.839999996</v>
      </c>
      <c r="AF22" s="88">
        <f t="shared" si="2"/>
        <v>54000000</v>
      </c>
      <c r="AG22" s="88">
        <f t="shared" si="9"/>
        <v>0</v>
      </c>
      <c r="AH22" s="439">
        <f t="shared" si="13"/>
        <v>0</v>
      </c>
      <c r="AI22" s="439">
        <f t="shared" si="14"/>
        <v>0</v>
      </c>
      <c r="AJ22" s="88">
        <f>+'PAJAK JAN-NOV'!R19</f>
        <v>123660</v>
      </c>
      <c r="AK22" s="410">
        <f t="shared" si="11"/>
        <v>0</v>
      </c>
      <c r="AL22" s="32" t="str">
        <f>+'PAJAK JAN-NOV'!B19</f>
        <v>WITA SARI</v>
      </c>
      <c r="AM22" s="33">
        <f t="shared" si="12"/>
        <v>123660</v>
      </c>
      <c r="AN22" s="32"/>
      <c r="AO22" s="33"/>
      <c r="AP22" s="32"/>
      <c r="AQ22" s="32"/>
    </row>
    <row r="23" spans="2:43" s="201" customFormat="1" ht="15" customHeight="1">
      <c r="B23" s="196">
        <v>18</v>
      </c>
      <c r="C23" s="197" t="str">
        <f>+PERBULAN!B23</f>
        <v>SARWANDI</v>
      </c>
      <c r="D23" s="198" t="s">
        <v>296</v>
      </c>
      <c r="E23" s="440" t="s">
        <v>360</v>
      </c>
      <c r="F23" s="253" t="s">
        <v>297</v>
      </c>
      <c r="G23" s="433" t="s">
        <v>88</v>
      </c>
      <c r="H23" s="199" t="s">
        <v>39</v>
      </c>
      <c r="I23" s="200" t="s">
        <v>17</v>
      </c>
      <c r="J23" s="436" t="str">
        <f t="shared" si="4"/>
        <v>TER A</v>
      </c>
      <c r="K23" s="437">
        <v>1</v>
      </c>
      <c r="L23" s="438">
        <v>12</v>
      </c>
      <c r="M23" s="46">
        <v>3876600</v>
      </c>
      <c r="N23" s="46">
        <v>151000</v>
      </c>
      <c r="O23" s="46"/>
      <c r="P23" s="46">
        <v>189563.44</v>
      </c>
      <c r="Q23" s="46">
        <v>0</v>
      </c>
      <c r="R23" s="46">
        <f t="shared" si="5"/>
        <v>4217163.4400000004</v>
      </c>
      <c r="S23" s="46">
        <f>+SETAHUN!J23</f>
        <v>4024100</v>
      </c>
      <c r="T23" s="46">
        <f>+SETAHUN!L23</f>
        <v>200000</v>
      </c>
      <c r="U23" s="46">
        <v>0</v>
      </c>
      <c r="V23" s="46">
        <f>+SETAHUN!G23+M23+N23</f>
        <v>46565336.760000005</v>
      </c>
      <c r="W23" s="46">
        <v>0</v>
      </c>
      <c r="X23" s="46">
        <f>+SETAHUN!W23+P23</f>
        <v>2271227.6800000002</v>
      </c>
      <c r="Y23" s="46">
        <v>0</v>
      </c>
      <c r="Z23" s="46">
        <v>0</v>
      </c>
      <c r="AA23" s="46">
        <f t="shared" si="6"/>
        <v>4224100</v>
      </c>
      <c r="AB23" s="46">
        <f t="shared" si="7"/>
        <v>53060664.440000005</v>
      </c>
      <c r="AC23" s="46">
        <f t="shared" si="1"/>
        <v>2653033</v>
      </c>
      <c r="AD23" s="46">
        <f>('ASTEK 2% -DIISI SMPAI DESEMBER'!O141+'ASTEK 2% -DIISI SMPAI DESEMBER'!O22)</f>
        <v>1402338</v>
      </c>
      <c r="AE23" s="46">
        <f t="shared" si="8"/>
        <v>49005293.440000005</v>
      </c>
      <c r="AF23" s="88">
        <f t="shared" si="2"/>
        <v>58500000</v>
      </c>
      <c r="AG23" s="88">
        <f t="shared" si="9"/>
        <v>0</v>
      </c>
      <c r="AH23" s="439">
        <f t="shared" si="13"/>
        <v>0</v>
      </c>
      <c r="AI23" s="439">
        <f t="shared" si="14"/>
        <v>0</v>
      </c>
      <c r="AJ23" s="88">
        <f>+'PAJAK JAN-NOV'!R20</f>
        <v>123559</v>
      </c>
      <c r="AK23" s="410">
        <f t="shared" si="11"/>
        <v>0</v>
      </c>
      <c r="AL23" s="32" t="str">
        <f>+'PAJAK JAN-NOV'!B20</f>
        <v>SARWANDI</v>
      </c>
      <c r="AM23" s="33">
        <f t="shared" si="12"/>
        <v>123559</v>
      </c>
      <c r="AN23" s="32"/>
      <c r="AO23" s="33"/>
      <c r="AP23" s="32"/>
      <c r="AQ23" s="32"/>
    </row>
    <row r="24" spans="2:43" s="201" customFormat="1" ht="15" customHeight="1">
      <c r="B24" s="196">
        <v>19</v>
      </c>
      <c r="C24" s="197" t="str">
        <f>+PERBULAN!B24</f>
        <v>ANI MARIA</v>
      </c>
      <c r="D24" s="198" t="s">
        <v>299</v>
      </c>
      <c r="E24" s="440" t="s">
        <v>361</v>
      </c>
      <c r="F24" s="253" t="s">
        <v>300</v>
      </c>
      <c r="G24" s="433" t="s">
        <v>88</v>
      </c>
      <c r="H24" s="199" t="s">
        <v>38</v>
      </c>
      <c r="I24" s="200" t="s">
        <v>7</v>
      </c>
      <c r="J24" s="436" t="str">
        <f t="shared" si="4"/>
        <v>TER A</v>
      </c>
      <c r="K24" s="437">
        <v>1</v>
      </c>
      <c r="L24" s="438">
        <v>12</v>
      </c>
      <c r="M24" s="46">
        <v>4005820</v>
      </c>
      <c r="N24" s="46">
        <v>120250</v>
      </c>
      <c r="O24" s="46"/>
      <c r="P24" s="46">
        <v>190071.64</v>
      </c>
      <c r="Q24" s="46">
        <v>0</v>
      </c>
      <c r="R24" s="46">
        <f t="shared" si="5"/>
        <v>4316141.6399999997</v>
      </c>
      <c r="S24" s="46">
        <f>+SETAHUN!J24</f>
        <v>3991100</v>
      </c>
      <c r="T24" s="46">
        <f>+SETAHUN!L24</f>
        <v>200000</v>
      </c>
      <c r="U24" s="46">
        <v>0</v>
      </c>
      <c r="V24" s="46">
        <f>+SETAHUN!G24+M24+N24</f>
        <v>47519789.159999996</v>
      </c>
      <c r="W24" s="46">
        <v>0</v>
      </c>
      <c r="X24" s="46">
        <f>+SETAHUN!W24+P24</f>
        <v>2277474.48</v>
      </c>
      <c r="Y24" s="46">
        <v>0</v>
      </c>
      <c r="Z24" s="46">
        <v>0</v>
      </c>
      <c r="AA24" s="46">
        <f t="shared" si="6"/>
        <v>4191100</v>
      </c>
      <c r="AB24" s="46">
        <f t="shared" si="7"/>
        <v>53988363.639999993</v>
      </c>
      <c r="AC24" s="46">
        <f t="shared" si="1"/>
        <v>2699418</v>
      </c>
      <c r="AD24" s="46">
        <f>('ASTEK 2% -DIISI SMPAI DESEMBER'!O142+'ASTEK 2% -DIISI SMPAI DESEMBER'!O23)</f>
        <v>1404648</v>
      </c>
      <c r="AE24" s="46">
        <f t="shared" si="8"/>
        <v>49884297.639999993</v>
      </c>
      <c r="AF24" s="88">
        <f t="shared" si="2"/>
        <v>54000000</v>
      </c>
      <c r="AG24" s="88">
        <f t="shared" si="9"/>
        <v>0</v>
      </c>
      <c r="AH24" s="439">
        <f t="shared" si="13"/>
        <v>0</v>
      </c>
      <c r="AI24" s="439">
        <f t="shared" si="14"/>
        <v>0</v>
      </c>
      <c r="AJ24" s="88">
        <f>+'PAJAK JAN-NOV'!R21</f>
        <v>124548</v>
      </c>
      <c r="AK24" s="410">
        <f t="shared" si="11"/>
        <v>0</v>
      </c>
      <c r="AL24" s="32" t="str">
        <f>+'PAJAK JAN-NOV'!B21</f>
        <v>ANI MARIA</v>
      </c>
      <c r="AM24" s="33">
        <f t="shared" si="12"/>
        <v>124548</v>
      </c>
      <c r="AN24" s="32"/>
      <c r="AO24" s="33"/>
      <c r="AP24" s="32"/>
      <c r="AQ24" s="32"/>
    </row>
    <row r="25" spans="2:43" s="201" customFormat="1" ht="15" customHeight="1">
      <c r="B25" s="196">
        <v>20</v>
      </c>
      <c r="C25" s="197" t="str">
        <f>+PERBULAN!B25</f>
        <v>YULIARDI</v>
      </c>
      <c r="D25" s="198" t="s">
        <v>302</v>
      </c>
      <c r="E25" s="413" t="s">
        <v>362</v>
      </c>
      <c r="F25" s="253" t="s">
        <v>303</v>
      </c>
      <c r="G25" s="433" t="s">
        <v>88</v>
      </c>
      <c r="H25" s="441" t="s">
        <v>39</v>
      </c>
      <c r="I25" s="436" t="s">
        <v>11</v>
      </c>
      <c r="J25" s="436" t="str">
        <f t="shared" si="4"/>
        <v>TER B</v>
      </c>
      <c r="K25" s="437">
        <v>1</v>
      </c>
      <c r="L25" s="438">
        <v>12</v>
      </c>
      <c r="M25" s="46">
        <v>3488940</v>
      </c>
      <c r="N25" s="46">
        <v>200350</v>
      </c>
      <c r="O25" s="46"/>
      <c r="P25" s="46">
        <v>190071.64</v>
      </c>
      <c r="Q25" s="46">
        <v>0</v>
      </c>
      <c r="R25" s="46">
        <f t="shared" si="5"/>
        <v>3879361.64</v>
      </c>
      <c r="S25" s="46">
        <f>+SETAHUN!J25</f>
        <v>4093600</v>
      </c>
      <c r="T25" s="46">
        <f>+SETAHUN!L25</f>
        <v>200000</v>
      </c>
      <c r="U25" s="46">
        <v>0</v>
      </c>
      <c r="V25" s="46">
        <f>+SETAHUN!G25+M25+N25</f>
        <v>44940829.159999996</v>
      </c>
      <c r="W25" s="46">
        <v>0</v>
      </c>
      <c r="X25" s="46">
        <f>+SETAHUN!W25+P25</f>
        <v>2278314.48</v>
      </c>
      <c r="Y25" s="46">
        <v>0</v>
      </c>
      <c r="Z25" s="46">
        <v>0</v>
      </c>
      <c r="AA25" s="46">
        <f t="shared" si="6"/>
        <v>4293600</v>
      </c>
      <c r="AB25" s="46">
        <f t="shared" si="7"/>
        <v>51512743.639999993</v>
      </c>
      <c r="AC25" s="46">
        <f t="shared" si="1"/>
        <v>2575637</v>
      </c>
      <c r="AD25" s="46">
        <f>('ASTEK 2% -DIISI SMPAI DESEMBER'!O143+'ASTEK 2% -DIISI SMPAI DESEMBER'!O24)</f>
        <v>1404648</v>
      </c>
      <c r="AE25" s="46">
        <f t="shared" si="8"/>
        <v>47532458.639999993</v>
      </c>
      <c r="AF25" s="88">
        <f t="shared" si="2"/>
        <v>67500000</v>
      </c>
      <c r="AG25" s="88">
        <f t="shared" si="9"/>
        <v>0</v>
      </c>
      <c r="AH25" s="439">
        <f t="shared" si="13"/>
        <v>0</v>
      </c>
      <c r="AI25" s="439">
        <f t="shared" si="14"/>
        <v>0</v>
      </c>
      <c r="AJ25" s="88">
        <f>+'PAJAK JAN-NOV'!R22</f>
        <v>82421</v>
      </c>
      <c r="AK25" s="410">
        <f t="shared" si="11"/>
        <v>0</v>
      </c>
      <c r="AL25" s="32" t="str">
        <f>+'PAJAK JAN-NOV'!B22</f>
        <v>YULIARDI</v>
      </c>
      <c r="AM25" s="33">
        <f t="shared" si="12"/>
        <v>82421</v>
      </c>
      <c r="AN25" s="32"/>
      <c r="AO25" s="33"/>
      <c r="AP25" s="32"/>
      <c r="AQ25" s="32"/>
    </row>
    <row r="26" spans="2:43" s="201" customFormat="1" ht="15" customHeight="1">
      <c r="B26" s="196">
        <v>21</v>
      </c>
      <c r="C26" s="197" t="str">
        <f>+PERBULAN!B26</f>
        <v>YADI</v>
      </c>
      <c r="D26" s="198" t="s">
        <v>305</v>
      </c>
      <c r="E26" s="413" t="s">
        <v>73</v>
      </c>
      <c r="F26" s="253" t="s">
        <v>306</v>
      </c>
      <c r="G26" s="433" t="s">
        <v>88</v>
      </c>
      <c r="H26" s="441" t="s">
        <v>39</v>
      </c>
      <c r="I26" s="436" t="s">
        <v>11</v>
      </c>
      <c r="J26" s="436" t="str">
        <f t="shared" si="4"/>
        <v>TER B</v>
      </c>
      <c r="K26" s="437">
        <v>1</v>
      </c>
      <c r="L26" s="438">
        <v>12</v>
      </c>
      <c r="M26" s="46">
        <v>3618160</v>
      </c>
      <c r="N26" s="46">
        <v>182400</v>
      </c>
      <c r="O26" s="46"/>
      <c r="P26" s="46">
        <v>188934.24</v>
      </c>
      <c r="Q26" s="46">
        <v>0</v>
      </c>
      <c r="R26" s="46">
        <f t="shared" si="5"/>
        <v>3989494.24</v>
      </c>
      <c r="S26" s="46">
        <f>+SETAHUN!J26</f>
        <v>4067100</v>
      </c>
      <c r="T26" s="46">
        <f>+SETAHUN!L26</f>
        <v>200000</v>
      </c>
      <c r="U26" s="46">
        <v>0</v>
      </c>
      <c r="V26" s="46">
        <f>+SETAHUN!G26+M26+N26</f>
        <v>47013195.159999989</v>
      </c>
      <c r="W26" s="46">
        <v>0</v>
      </c>
      <c r="X26" s="46">
        <f>+SETAHUN!W26+P26</f>
        <v>2265250.08</v>
      </c>
      <c r="Y26" s="46">
        <v>0</v>
      </c>
      <c r="Z26" s="46">
        <v>0</v>
      </c>
      <c r="AA26" s="46">
        <f t="shared" si="6"/>
        <v>4267100</v>
      </c>
      <c r="AB26" s="46">
        <f t="shared" si="7"/>
        <v>53545545.239999987</v>
      </c>
      <c r="AC26" s="46">
        <f t="shared" si="1"/>
        <v>2677277</v>
      </c>
      <c r="AD26" s="46">
        <f>('ASTEK 2% -DIISI SMPAI DESEMBER'!O144+'ASTEK 2% -DIISI SMPAI DESEMBER'!O25)</f>
        <v>1400418</v>
      </c>
      <c r="AE26" s="46">
        <f t="shared" si="8"/>
        <v>49467850.239999987</v>
      </c>
      <c r="AF26" s="88">
        <f t="shared" si="2"/>
        <v>67500000</v>
      </c>
      <c r="AG26" s="88">
        <f t="shared" si="9"/>
        <v>0</v>
      </c>
      <c r="AH26" s="439">
        <f t="shared" si="13"/>
        <v>0</v>
      </c>
      <c r="AI26" s="439">
        <f t="shared" si="14"/>
        <v>0</v>
      </c>
      <c r="AJ26" s="88">
        <f>+'PAJAK JAN-NOV'!R23</f>
        <v>83228</v>
      </c>
      <c r="AK26" s="410">
        <f t="shared" si="11"/>
        <v>0</v>
      </c>
      <c r="AL26" s="32" t="str">
        <f>+'PAJAK JAN-NOV'!B23</f>
        <v>YADI</v>
      </c>
      <c r="AM26" s="33">
        <f t="shared" si="12"/>
        <v>83228</v>
      </c>
      <c r="AN26" s="32"/>
      <c r="AO26" s="33"/>
      <c r="AP26" s="32"/>
      <c r="AQ26" s="32"/>
    </row>
    <row r="27" spans="2:43" s="201" customFormat="1" ht="15" customHeight="1">
      <c r="B27" s="196">
        <v>22</v>
      </c>
      <c r="C27" s="197" t="str">
        <f>+PERBULAN!B27</f>
        <v>YEKILIA</v>
      </c>
      <c r="D27" s="198" t="s">
        <v>308</v>
      </c>
      <c r="E27" s="440" t="s">
        <v>363</v>
      </c>
      <c r="F27" s="253" t="s">
        <v>309</v>
      </c>
      <c r="G27" s="433" t="s">
        <v>88</v>
      </c>
      <c r="H27" s="441" t="s">
        <v>38</v>
      </c>
      <c r="I27" s="436" t="s">
        <v>7</v>
      </c>
      <c r="J27" s="436" t="str">
        <f t="shared" si="4"/>
        <v>TER A</v>
      </c>
      <c r="K27" s="437">
        <v>1</v>
      </c>
      <c r="L27" s="438">
        <v>12</v>
      </c>
      <c r="M27" s="46">
        <v>4005820</v>
      </c>
      <c r="N27" s="46">
        <v>90750</v>
      </c>
      <c r="O27" s="46"/>
      <c r="P27" s="46">
        <v>188643.84</v>
      </c>
      <c r="Q27" s="46">
        <v>0</v>
      </c>
      <c r="R27" s="46">
        <f t="shared" si="5"/>
        <v>4285213.84</v>
      </c>
      <c r="S27" s="46">
        <f>+SETAHUN!J27</f>
        <v>3962100</v>
      </c>
      <c r="T27" s="46">
        <f>+SETAHUN!L27</f>
        <v>200000</v>
      </c>
      <c r="U27" s="46">
        <v>0</v>
      </c>
      <c r="V27" s="46">
        <f>+SETAHUN!G27+M27+N27</f>
        <v>47957608.159999996</v>
      </c>
      <c r="W27" s="46">
        <v>0</v>
      </c>
      <c r="X27" s="46">
        <f>+SETAHUN!W27+P27</f>
        <v>2261947.6799999997</v>
      </c>
      <c r="Y27" s="46">
        <v>0</v>
      </c>
      <c r="Z27" s="46">
        <v>0</v>
      </c>
      <c r="AA27" s="46">
        <f t="shared" si="6"/>
        <v>4162100</v>
      </c>
      <c r="AB27" s="46">
        <f t="shared" si="7"/>
        <v>54381655.839999996</v>
      </c>
      <c r="AC27" s="46">
        <f t="shared" si="1"/>
        <v>2719083</v>
      </c>
      <c r="AD27" s="46">
        <f>('ASTEK 2% -DIISI SMPAI DESEMBER'!O145+'ASTEK 2% -DIISI SMPAI DESEMBER'!O26)</f>
        <v>1399338</v>
      </c>
      <c r="AE27" s="46">
        <f t="shared" si="8"/>
        <v>50263234.839999996</v>
      </c>
      <c r="AF27" s="88">
        <f t="shared" si="2"/>
        <v>54000000</v>
      </c>
      <c r="AG27" s="88">
        <f t="shared" si="9"/>
        <v>0</v>
      </c>
      <c r="AH27" s="439">
        <f>IF(AG27&gt;5000000000,AG27*35%-306000000,IF(AG27&gt;500000000,AG27*30%-56000000,IF(AG27&gt;250000000,AG27*25%-31000000,IF(AG27&gt;60000000,AG27*15%-6000000,AG27*5%))))</f>
        <v>0</v>
      </c>
      <c r="AI27" s="439">
        <f t="shared" si="14"/>
        <v>0</v>
      </c>
      <c r="AJ27" s="88">
        <f>+'PAJAK JAN-NOV'!R24</f>
        <v>123660</v>
      </c>
      <c r="AK27" s="410">
        <f t="shared" si="11"/>
        <v>0</v>
      </c>
      <c r="AL27" s="32" t="str">
        <f>+'PAJAK JAN-NOV'!B24</f>
        <v>YEKILIA</v>
      </c>
      <c r="AM27" s="33">
        <f t="shared" si="12"/>
        <v>123660</v>
      </c>
      <c r="AN27" s="32"/>
      <c r="AO27" s="33"/>
      <c r="AP27" s="32"/>
      <c r="AQ27" s="32"/>
    </row>
    <row r="28" spans="2:43" s="201" customFormat="1" ht="15" customHeight="1">
      <c r="B28" s="196">
        <v>23</v>
      </c>
      <c r="C28" s="197" t="str">
        <f>+PERBULAN!B28</f>
        <v>LESMANA GIRI</v>
      </c>
      <c r="D28" s="532" t="s">
        <v>730</v>
      </c>
      <c r="E28" s="440" t="s">
        <v>73</v>
      </c>
      <c r="F28" s="253" t="s">
        <v>399</v>
      </c>
      <c r="G28" s="433" t="s">
        <v>88</v>
      </c>
      <c r="H28" s="441" t="s">
        <v>39</v>
      </c>
      <c r="I28" s="436" t="s">
        <v>7</v>
      </c>
      <c r="J28" s="436" t="str">
        <f t="shared" si="4"/>
        <v>TER A</v>
      </c>
      <c r="K28" s="437">
        <v>1</v>
      </c>
      <c r="L28" s="438">
        <v>12</v>
      </c>
      <c r="M28" s="46">
        <v>3876600</v>
      </c>
      <c r="N28" s="46">
        <v>116000</v>
      </c>
      <c r="O28" s="46"/>
      <c r="P28" s="46">
        <v>187869.44</v>
      </c>
      <c r="Q28" s="46">
        <v>0</v>
      </c>
      <c r="R28" s="46">
        <f t="shared" si="5"/>
        <v>4180469.44</v>
      </c>
      <c r="S28" s="46">
        <f>+SETAHUN!J28</f>
        <v>3946600</v>
      </c>
      <c r="T28" s="46">
        <f>+SETAHUN!L28</f>
        <v>200000</v>
      </c>
      <c r="U28" s="46">
        <v>0</v>
      </c>
      <c r="V28" s="46">
        <f>+SETAHUN!G28+M28+N28</f>
        <v>44001444.159999996</v>
      </c>
      <c r="W28" s="46">
        <v>0</v>
      </c>
      <c r="X28" s="46">
        <f>+SETAHUN!W28+P28</f>
        <v>2253460.2799999998</v>
      </c>
      <c r="Y28" s="46">
        <v>0</v>
      </c>
      <c r="Z28" s="46">
        <v>0</v>
      </c>
      <c r="AA28" s="46">
        <f t="shared" si="6"/>
        <v>4146600</v>
      </c>
      <c r="AB28" s="46">
        <f t="shared" si="7"/>
        <v>50401504.439999998</v>
      </c>
      <c r="AC28" s="46">
        <f>ROUND(IF((AB28)*5%&gt;6000000,6000000,(AB28)*5%),0)</f>
        <v>2520075</v>
      </c>
      <c r="AD28" s="46">
        <f>('ASTEK 2% -DIISI SMPAI DESEMBER'!O146+'ASTEK 2% -DIISI SMPAI DESEMBER'!O27)</f>
        <v>1396383</v>
      </c>
      <c r="AE28" s="46">
        <f t="shared" si="8"/>
        <v>46485046.439999998</v>
      </c>
      <c r="AF28" s="88">
        <f t="shared" si="2"/>
        <v>54000000</v>
      </c>
      <c r="AG28" s="88">
        <f t="shared" si="9"/>
        <v>0</v>
      </c>
      <c r="AH28" s="439">
        <f t="shared" si="13"/>
        <v>0</v>
      </c>
      <c r="AI28" s="439">
        <f t="shared" si="14"/>
        <v>0</v>
      </c>
      <c r="AJ28" s="88">
        <f>+'PAJAK JAN-NOV'!R25</f>
        <v>117270</v>
      </c>
      <c r="AK28" s="410">
        <f t="shared" si="11"/>
        <v>0</v>
      </c>
      <c r="AL28" s="32" t="str">
        <f>+'PAJAK JAN-NOV'!B25</f>
        <v>LESMANA GIRI</v>
      </c>
      <c r="AM28" s="33">
        <f t="shared" si="12"/>
        <v>117270</v>
      </c>
      <c r="AN28" s="32"/>
      <c r="AO28" s="33"/>
      <c r="AP28" s="32"/>
      <c r="AQ28" s="32"/>
    </row>
    <row r="29" spans="2:43" s="201" customFormat="1" ht="15" customHeight="1">
      <c r="B29" s="196">
        <v>24</v>
      </c>
      <c r="C29" s="197" t="str">
        <f>+PERBULAN!B29</f>
        <v>RAFIKA UDIN</v>
      </c>
      <c r="D29" s="445" t="s">
        <v>401</v>
      </c>
      <c r="E29" s="446" t="s">
        <v>402</v>
      </c>
      <c r="F29" s="447" t="s">
        <v>403</v>
      </c>
      <c r="G29" s="433" t="s">
        <v>88</v>
      </c>
      <c r="H29" s="448" t="s">
        <v>39</v>
      </c>
      <c r="I29" s="399" t="s">
        <v>17</v>
      </c>
      <c r="J29" s="436" t="str">
        <f t="shared" si="4"/>
        <v>TER A</v>
      </c>
      <c r="K29" s="437">
        <v>1</v>
      </c>
      <c r="L29" s="438">
        <v>12</v>
      </c>
      <c r="M29" s="46">
        <v>3618160</v>
      </c>
      <c r="N29" s="178">
        <v>130600</v>
      </c>
      <c r="O29" s="178"/>
      <c r="P29" s="178">
        <v>188934.24</v>
      </c>
      <c r="Q29" s="46">
        <v>0</v>
      </c>
      <c r="R29" s="46">
        <f t="shared" ref="R29:R30" si="15">SUM(M29:Q29)</f>
        <v>3937694.24</v>
      </c>
      <c r="S29" s="46">
        <f>+SETAHUN!J29</f>
        <v>4011600</v>
      </c>
      <c r="T29" s="46">
        <f>+SETAHUN!L29</f>
        <v>200000</v>
      </c>
      <c r="U29" s="46">
        <v>0</v>
      </c>
      <c r="V29" s="46">
        <f>+SETAHUN!G29+M29+N29</f>
        <v>45482446.159999989</v>
      </c>
      <c r="W29" s="46">
        <v>0</v>
      </c>
      <c r="X29" s="46">
        <f>+SETAHUN!W29+P29</f>
        <v>2265370.08</v>
      </c>
      <c r="Y29" s="46">
        <v>0</v>
      </c>
      <c r="Z29" s="46">
        <v>0</v>
      </c>
      <c r="AA29" s="46">
        <f t="shared" si="6"/>
        <v>4211600</v>
      </c>
      <c r="AB29" s="46">
        <f t="shared" si="7"/>
        <v>51959416.239999987</v>
      </c>
      <c r="AC29" s="46">
        <f t="shared" si="1"/>
        <v>2597971</v>
      </c>
      <c r="AD29" s="46">
        <f>('ASTEK 2% -DIISI SMPAI DESEMBER'!O147+'ASTEK 2% -DIISI SMPAI DESEMBER'!O28)</f>
        <v>1400418</v>
      </c>
      <c r="AE29" s="46">
        <f t="shared" ref="AE29:AE30" si="16">AB29-AC29-AD29</f>
        <v>47961027.239999987</v>
      </c>
      <c r="AF29" s="88">
        <f t="shared" si="2"/>
        <v>58500000</v>
      </c>
      <c r="AG29" s="88">
        <f t="shared" si="9"/>
        <v>0</v>
      </c>
      <c r="AH29" s="439">
        <f t="shared" ref="AH29:AH30" si="17">IF(AG29&gt;5000000000,AG29*35%-306000000,IF(AG29&gt;500000000,AG29*30%-56000000,IF(AG29&gt;250000000,AG29*25%-31000000,IF(AG29&gt;60000000,AG29*15%-6000000,AG29*5%))))</f>
        <v>0</v>
      </c>
      <c r="AI29" s="439">
        <f t="shared" ref="AI29:AI30" si="18">ROUND(IF(E29=0,AH29*120%,AH29),0)</f>
        <v>0</v>
      </c>
      <c r="AJ29" s="88">
        <f>+'PAJAK JAN-NOV'!R26</f>
        <v>121183</v>
      </c>
      <c r="AK29" s="410">
        <f t="shared" si="11"/>
        <v>0</v>
      </c>
      <c r="AL29" s="32" t="str">
        <f>+'PAJAK JAN-NOV'!B26</f>
        <v>RAFIKA UDIN</v>
      </c>
      <c r="AM29" s="33">
        <f t="shared" si="12"/>
        <v>121183</v>
      </c>
      <c r="AN29" s="32"/>
      <c r="AO29" s="33"/>
      <c r="AP29" s="32"/>
      <c r="AQ29" s="32"/>
    </row>
    <row r="30" spans="2:43" s="201" customFormat="1" ht="15" customHeight="1">
      <c r="B30" s="196">
        <v>25</v>
      </c>
      <c r="C30" s="197" t="str">
        <f>+PERBULAN!B30</f>
        <v>MARDIANSYAH</v>
      </c>
      <c r="D30" s="445" t="s">
        <v>409</v>
      </c>
      <c r="E30" s="449" t="s">
        <v>410</v>
      </c>
      <c r="F30" s="450" t="s">
        <v>411</v>
      </c>
      <c r="G30" s="451" t="s">
        <v>88</v>
      </c>
      <c r="H30" s="452" t="s">
        <v>39</v>
      </c>
      <c r="I30" s="453" t="s">
        <v>11</v>
      </c>
      <c r="J30" s="436" t="str">
        <f t="shared" si="4"/>
        <v>TER B</v>
      </c>
      <c r="K30" s="437">
        <v>1</v>
      </c>
      <c r="L30" s="438">
        <v>12</v>
      </c>
      <c r="M30" s="46">
        <v>3359720</v>
      </c>
      <c r="N30" s="178">
        <v>184300</v>
      </c>
      <c r="O30" s="178"/>
      <c r="P30" s="178">
        <v>189563.44</v>
      </c>
      <c r="Q30" s="46">
        <v>0</v>
      </c>
      <c r="R30" s="46">
        <f t="shared" si="15"/>
        <v>3733583.44</v>
      </c>
      <c r="S30" s="46">
        <f>+SETAHUN!J30</f>
        <v>4079600</v>
      </c>
      <c r="T30" s="46">
        <f>+SETAHUN!L30</f>
        <v>200000</v>
      </c>
      <c r="U30" s="46">
        <v>0</v>
      </c>
      <c r="V30" s="46">
        <f>+SETAHUN!G30+M30+N30</f>
        <v>45453826.760000005</v>
      </c>
      <c r="W30" s="46">
        <v>0</v>
      </c>
      <c r="X30" s="46">
        <f>+SETAHUN!W30+P30</f>
        <v>2271227.6800000002</v>
      </c>
      <c r="Y30" s="46">
        <v>0</v>
      </c>
      <c r="Z30" s="46">
        <v>0</v>
      </c>
      <c r="AA30" s="46">
        <f t="shared" si="6"/>
        <v>4279600</v>
      </c>
      <c r="AB30" s="46">
        <f t="shared" si="7"/>
        <v>52004654.440000005</v>
      </c>
      <c r="AC30" s="46">
        <f t="shared" si="1"/>
        <v>2600233</v>
      </c>
      <c r="AD30" s="46">
        <f>('ASTEK 2% -DIISI SMPAI DESEMBER'!O148+'ASTEK 2% -DIISI SMPAI DESEMBER'!O29)</f>
        <v>1402338</v>
      </c>
      <c r="AE30" s="46">
        <f t="shared" si="16"/>
        <v>48002083.440000005</v>
      </c>
      <c r="AF30" s="88">
        <f t="shared" si="2"/>
        <v>67500000</v>
      </c>
      <c r="AG30" s="88">
        <f t="shared" si="9"/>
        <v>0</v>
      </c>
      <c r="AH30" s="439">
        <f t="shared" si="17"/>
        <v>0</v>
      </c>
      <c r="AI30" s="439">
        <f t="shared" si="18"/>
        <v>0</v>
      </c>
      <c r="AJ30" s="88">
        <f>+'PAJAK JAN-NOV'!R27</f>
        <v>80787</v>
      </c>
      <c r="AK30" s="410">
        <f t="shared" si="11"/>
        <v>0</v>
      </c>
      <c r="AL30" s="32" t="str">
        <f>+'PAJAK JAN-NOV'!B27</f>
        <v>MARDIANSYAH</v>
      </c>
      <c r="AM30" s="33">
        <f t="shared" si="12"/>
        <v>80787</v>
      </c>
      <c r="AN30" s="32"/>
      <c r="AO30" s="33"/>
      <c r="AP30" s="32"/>
      <c r="AQ30" s="32"/>
    </row>
    <row r="31" spans="2:43" s="201" customFormat="1" ht="15" customHeight="1">
      <c r="B31" s="196">
        <v>26</v>
      </c>
      <c r="C31" s="534" t="str">
        <f>+PERBULAN!B31</f>
        <v>SUTRISNO</v>
      </c>
      <c r="D31" s="533" t="s">
        <v>731</v>
      </c>
      <c r="E31" s="43" t="s">
        <v>414</v>
      </c>
      <c r="F31" s="454" t="s">
        <v>415</v>
      </c>
      <c r="G31" s="455" t="s">
        <v>88</v>
      </c>
      <c r="H31" s="441" t="s">
        <v>39</v>
      </c>
      <c r="I31" s="436" t="s">
        <v>11</v>
      </c>
      <c r="J31" s="456" t="str">
        <f t="shared" si="4"/>
        <v>TER B</v>
      </c>
      <c r="K31" s="437">
        <v>1</v>
      </c>
      <c r="L31" s="438">
        <v>12</v>
      </c>
      <c r="M31" s="46">
        <v>3747380</v>
      </c>
      <c r="N31" s="48">
        <v>211450</v>
      </c>
      <c r="O31" s="48"/>
      <c r="P31" s="48">
        <v>190071.64</v>
      </c>
      <c r="Q31" s="46">
        <v>0</v>
      </c>
      <c r="R31" s="46">
        <f t="shared" si="5"/>
        <v>4148901.64</v>
      </c>
      <c r="S31" s="46">
        <f>+SETAHUN!J31</f>
        <v>4093600</v>
      </c>
      <c r="T31" s="46">
        <f>+SETAHUN!L31</f>
        <v>200000</v>
      </c>
      <c r="U31" s="46">
        <v>0</v>
      </c>
      <c r="V31" s="46">
        <f>+SETAHUN!G31+M31+N31</f>
        <v>47065646.75999999</v>
      </c>
      <c r="W31" s="46">
        <v>0</v>
      </c>
      <c r="X31" s="46">
        <f>+SETAHUN!W31+P31</f>
        <v>2276936.88</v>
      </c>
      <c r="Y31" s="46">
        <v>0</v>
      </c>
      <c r="Z31" s="46">
        <v>0</v>
      </c>
      <c r="AA31" s="46">
        <f t="shared" si="6"/>
        <v>4293600</v>
      </c>
      <c r="AB31" s="46">
        <f t="shared" si="7"/>
        <v>53636183.639999993</v>
      </c>
      <c r="AC31" s="46">
        <f t="shared" si="1"/>
        <v>2681809</v>
      </c>
      <c r="AD31" s="46">
        <f>('ASTEK 2% -DIISI SMPAI DESEMBER'!O149+'ASTEK 2% -DIISI SMPAI DESEMBER'!O30)</f>
        <v>1404228</v>
      </c>
      <c r="AE31" s="46">
        <f t="shared" si="8"/>
        <v>49550146.639999993</v>
      </c>
      <c r="AF31" s="88">
        <f t="shared" si="2"/>
        <v>67500000</v>
      </c>
      <c r="AG31" s="88">
        <f t="shared" si="9"/>
        <v>0</v>
      </c>
      <c r="AH31" s="457">
        <f t="shared" si="10"/>
        <v>0</v>
      </c>
      <c r="AI31" s="439">
        <f>ROUND(IF(E31=0,AH31*120%,AH31),0)</f>
        <v>0</v>
      </c>
      <c r="AJ31" s="88">
        <f>+'PAJAK JAN-NOV'!R28</f>
        <v>85116</v>
      </c>
      <c r="AK31" s="410">
        <f t="shared" si="11"/>
        <v>0</v>
      </c>
      <c r="AL31" s="32" t="str">
        <f>+'PAJAK JAN-NOV'!B28</f>
        <v>SUTRISNO</v>
      </c>
      <c r="AM31" s="33">
        <f t="shared" si="12"/>
        <v>85116</v>
      </c>
      <c r="AN31" s="32"/>
      <c r="AO31" s="33"/>
      <c r="AP31" s="32"/>
      <c r="AQ31" s="32"/>
    </row>
    <row r="32" spans="2:43" s="201" customFormat="1" ht="15" customHeight="1">
      <c r="B32" s="196">
        <v>27</v>
      </c>
      <c r="C32" s="197" t="str">
        <f>+PERBULAN!B32</f>
        <v>SLAMET UNTUNG</v>
      </c>
      <c r="D32" s="67" t="s">
        <v>520</v>
      </c>
      <c r="E32" s="68" t="s">
        <v>73</v>
      </c>
      <c r="F32" s="454" t="s">
        <v>521</v>
      </c>
      <c r="G32" s="458" t="s">
        <v>88</v>
      </c>
      <c r="H32" s="459" t="s">
        <v>39</v>
      </c>
      <c r="I32" s="456" t="s">
        <v>9</v>
      </c>
      <c r="J32" s="456" t="str">
        <f t="shared" ref="J32:J94" si="19">IF(ISBLANK(I32),"",IF(OR(I32="TK/0",I32="TK/1",I32="K/0"),"TER A",IF(I32="K/3","TER C","TER B")))</f>
        <v>TER B</v>
      </c>
      <c r="K32" s="437">
        <v>1</v>
      </c>
      <c r="L32" s="438">
        <v>12</v>
      </c>
      <c r="M32" s="46">
        <v>3618160</v>
      </c>
      <c r="N32" s="48">
        <v>151200</v>
      </c>
      <c r="O32" s="48"/>
      <c r="P32" s="48">
        <v>188643.84</v>
      </c>
      <c r="Q32" s="46">
        <v>0</v>
      </c>
      <c r="R32" s="46">
        <f t="shared" si="5"/>
        <v>3958003.84</v>
      </c>
      <c r="S32" s="46">
        <f>+SETAHUN!J32</f>
        <v>4034100</v>
      </c>
      <c r="T32" s="46">
        <f>+SETAHUN!L32</f>
        <v>600000</v>
      </c>
      <c r="U32" s="46">
        <v>0</v>
      </c>
      <c r="V32" s="46">
        <f>+SETAHUN!G32+M32+N32</f>
        <v>43873968.159999996</v>
      </c>
      <c r="W32" s="46">
        <v>0</v>
      </c>
      <c r="X32" s="46">
        <f>+SETAHUN!W32+P32</f>
        <v>2262067.6799999997</v>
      </c>
      <c r="Y32" s="46">
        <v>0</v>
      </c>
      <c r="Z32" s="46">
        <v>0</v>
      </c>
      <c r="AA32" s="46">
        <f t="shared" ref="AA32:AA94" si="20">SUM(S32:U32)</f>
        <v>4634100</v>
      </c>
      <c r="AB32" s="46">
        <f t="shared" ref="AB32:AB94" si="21">SUM(V32:AA32)</f>
        <v>50770135.839999996</v>
      </c>
      <c r="AC32" s="46">
        <f t="shared" ref="AC32:AC94" si="22">ROUND(IF((AB32)*5%&gt;6000000,6000000,(AB32)*5%),0)</f>
        <v>2538507</v>
      </c>
      <c r="AD32" s="46">
        <f>('ASTEK 2% -DIISI SMPAI DESEMBER'!O150+'ASTEK 2% -DIISI SMPAI DESEMBER'!O31)</f>
        <v>1399338</v>
      </c>
      <c r="AE32" s="46">
        <f t="shared" ref="AE32:AE94" si="23">AB32-AC32-AD32</f>
        <v>46832290.839999996</v>
      </c>
      <c r="AF32" s="88">
        <f t="shared" ref="AF32:AF40" si="24">IFERROR(VLOOKUP(I32,TARIF,3,FALSE),0)</f>
        <v>63000000</v>
      </c>
      <c r="AG32" s="88">
        <f t="shared" si="9"/>
        <v>0</v>
      </c>
      <c r="AH32" s="457">
        <f t="shared" ref="AH32:AH40" si="25">IF(AG32&gt;5000000000,AG32*35%-306000000,IF(AG32&gt;500000000,AG32*30%-56000000,IF(AG32&gt;250000000,AG32*25%-31000000,IF(AG32&gt;60000000,AG32*15%-6000000,AG32*5%))))</f>
        <v>0</v>
      </c>
      <c r="AI32" s="439">
        <f t="shared" ref="AI32:AI40" si="26">ROUND(IF(E32=0,AH32*120%,AH32),0)</f>
        <v>0</v>
      </c>
      <c r="AJ32" s="88">
        <f>+'PAJAK JAN-NOV'!R29</f>
        <v>82565</v>
      </c>
      <c r="AK32" s="410">
        <f t="shared" si="11"/>
        <v>0</v>
      </c>
      <c r="AL32" s="32" t="str">
        <f>+'PAJAK JAN-NOV'!B29</f>
        <v>SLAMET UNTUNG</v>
      </c>
      <c r="AM32" s="33">
        <f t="shared" si="12"/>
        <v>82565</v>
      </c>
      <c r="AN32" s="32"/>
      <c r="AO32" s="33"/>
      <c r="AP32" s="32"/>
      <c r="AQ32" s="32"/>
    </row>
    <row r="33" spans="2:43" s="201" customFormat="1" ht="15" customHeight="1">
      <c r="B33" s="196">
        <v>28</v>
      </c>
      <c r="C33" s="197" t="str">
        <f>+PERBULAN!B33</f>
        <v>WAFIQ AMANDA</v>
      </c>
      <c r="D33" s="67" t="s">
        <v>441</v>
      </c>
      <c r="E33" s="68" t="s">
        <v>73</v>
      </c>
      <c r="F33" s="454" t="s">
        <v>442</v>
      </c>
      <c r="G33" s="433" t="s">
        <v>88</v>
      </c>
      <c r="H33" s="459" t="s">
        <v>39</v>
      </c>
      <c r="I33" s="456" t="s">
        <v>7</v>
      </c>
      <c r="J33" s="456" t="str">
        <f t="shared" si="19"/>
        <v>TER A</v>
      </c>
      <c r="K33" s="437">
        <v>1</v>
      </c>
      <c r="L33" s="438">
        <v>12</v>
      </c>
      <c r="M33" s="46">
        <v>3876600</v>
      </c>
      <c r="N33" s="48">
        <v>70000</v>
      </c>
      <c r="O33" s="48"/>
      <c r="P33" s="48">
        <v>187748.44</v>
      </c>
      <c r="Q33" s="46">
        <v>0</v>
      </c>
      <c r="R33" s="46">
        <f t="shared" si="5"/>
        <v>4134348.44</v>
      </c>
      <c r="S33" s="46">
        <f>+SETAHUN!J33</f>
        <v>2300725</v>
      </c>
      <c r="T33" s="46">
        <f>+SETAHUN!L33</f>
        <v>66667</v>
      </c>
      <c r="U33" s="46">
        <v>0</v>
      </c>
      <c r="V33" s="46">
        <f>+SETAHUN!G33+M33+N33</f>
        <v>45895525.160000004</v>
      </c>
      <c r="W33" s="46">
        <v>0</v>
      </c>
      <c r="X33" s="46">
        <f>+SETAHUN!W33+P33</f>
        <v>2252134.2799999998</v>
      </c>
      <c r="Y33" s="46">
        <v>0</v>
      </c>
      <c r="Z33" s="46">
        <v>0</v>
      </c>
      <c r="AA33" s="46">
        <f t="shared" si="20"/>
        <v>2367392</v>
      </c>
      <c r="AB33" s="46">
        <f t="shared" si="21"/>
        <v>50515051.440000005</v>
      </c>
      <c r="AC33" s="46">
        <f t="shared" si="22"/>
        <v>2525753</v>
      </c>
      <c r="AD33" s="46">
        <f>('ASTEK 2% -DIISI SMPAI DESEMBER'!O151+'ASTEK 2% -DIISI SMPAI DESEMBER'!O32)</f>
        <v>1395933</v>
      </c>
      <c r="AE33" s="46">
        <f t="shared" si="23"/>
        <v>46593365.440000005</v>
      </c>
      <c r="AF33" s="88">
        <f t="shared" si="24"/>
        <v>54000000</v>
      </c>
      <c r="AG33" s="88">
        <f t="shared" si="9"/>
        <v>0</v>
      </c>
      <c r="AH33" s="457">
        <f t="shared" si="25"/>
        <v>0</v>
      </c>
      <c r="AI33" s="439">
        <f t="shared" si="26"/>
        <v>0</v>
      </c>
      <c r="AJ33" s="88">
        <f>+'PAJAK JAN-NOV'!R30</f>
        <v>64325</v>
      </c>
      <c r="AK33" s="410">
        <f t="shared" si="11"/>
        <v>0</v>
      </c>
      <c r="AL33" s="32" t="str">
        <f>+'PAJAK JAN-NOV'!B30</f>
        <v>WAFIQ AMANDA</v>
      </c>
      <c r="AM33" s="33">
        <f t="shared" si="12"/>
        <v>64325</v>
      </c>
      <c r="AN33" s="32"/>
      <c r="AO33" s="33"/>
      <c r="AP33" s="32"/>
      <c r="AQ33" s="32"/>
    </row>
    <row r="34" spans="2:43" s="201" customFormat="1" ht="15" customHeight="1">
      <c r="B34" s="196">
        <v>29</v>
      </c>
      <c r="C34" s="197" t="str">
        <f>+PERBULAN!B34</f>
        <v>HERI GUNAWAN</v>
      </c>
      <c r="D34" s="67" t="s">
        <v>527</v>
      </c>
      <c r="E34" s="68" t="s">
        <v>525</v>
      </c>
      <c r="F34" s="454" t="s">
        <v>294</v>
      </c>
      <c r="G34" s="433" t="s">
        <v>88</v>
      </c>
      <c r="H34" s="459" t="s">
        <v>39</v>
      </c>
      <c r="I34" s="456" t="s">
        <v>11</v>
      </c>
      <c r="J34" s="456" t="str">
        <f t="shared" si="19"/>
        <v>TER B</v>
      </c>
      <c r="K34" s="437">
        <v>1</v>
      </c>
      <c r="L34" s="438">
        <v>12</v>
      </c>
      <c r="M34" s="46">
        <v>3876600</v>
      </c>
      <c r="N34" s="48">
        <v>220500</v>
      </c>
      <c r="O34" s="48"/>
      <c r="P34" s="48">
        <v>190241.04</v>
      </c>
      <c r="Q34" s="46">
        <v>0</v>
      </c>
      <c r="R34" s="46">
        <f t="shared" si="5"/>
        <v>4287341.04</v>
      </c>
      <c r="S34" s="46">
        <f>+SETAHUN!J34</f>
        <v>4093600</v>
      </c>
      <c r="T34" s="46">
        <f>+SETAHUN!L34</f>
        <v>200000</v>
      </c>
      <c r="U34" s="46">
        <v>0</v>
      </c>
      <c r="V34" s="46">
        <f>+SETAHUN!G34+M34+N34</f>
        <v>47508458.759999998</v>
      </c>
      <c r="W34" s="46">
        <v>0</v>
      </c>
      <c r="X34" s="46">
        <f>+SETAHUN!W34+P34</f>
        <v>2278653.2799999998</v>
      </c>
      <c r="Y34" s="46">
        <v>0</v>
      </c>
      <c r="Z34" s="46">
        <v>0</v>
      </c>
      <c r="AA34" s="46">
        <f t="shared" si="20"/>
        <v>4293600</v>
      </c>
      <c r="AB34" s="46">
        <f t="shared" si="21"/>
        <v>54080712.039999999</v>
      </c>
      <c r="AC34" s="46">
        <f t="shared" si="22"/>
        <v>2704036</v>
      </c>
      <c r="AD34" s="46">
        <f>('ASTEK 2% -DIISI SMPAI DESEMBER'!O152+'ASTEK 2% -DIISI SMPAI DESEMBER'!O33)</f>
        <v>1404858</v>
      </c>
      <c r="AE34" s="46">
        <f t="shared" si="23"/>
        <v>49971818.039999999</v>
      </c>
      <c r="AF34" s="88">
        <f t="shared" si="24"/>
        <v>67500000</v>
      </c>
      <c r="AG34" s="88">
        <f t="shared" si="9"/>
        <v>0</v>
      </c>
      <c r="AH34" s="457">
        <f t="shared" si="25"/>
        <v>0</v>
      </c>
      <c r="AI34" s="439">
        <f t="shared" si="26"/>
        <v>0</v>
      </c>
      <c r="AJ34" s="88">
        <f>+'PAJAK JAN-NOV'!R31</f>
        <v>83768</v>
      </c>
      <c r="AK34" s="410">
        <f t="shared" si="11"/>
        <v>0</v>
      </c>
      <c r="AL34" s="32" t="str">
        <f>+'PAJAK JAN-NOV'!B31</f>
        <v>HERI GUNAWAN</v>
      </c>
      <c r="AM34" s="33">
        <f t="shared" si="12"/>
        <v>83768</v>
      </c>
      <c r="AN34" s="32"/>
      <c r="AO34" s="33"/>
      <c r="AP34" s="32"/>
      <c r="AQ34" s="32"/>
    </row>
    <row r="35" spans="2:43" s="201" customFormat="1" ht="15" customHeight="1">
      <c r="B35" s="196">
        <v>30</v>
      </c>
      <c r="C35" s="197" t="str">
        <f>+PERBULAN!B35</f>
        <v>BOBI SAPUTRA</v>
      </c>
      <c r="D35" s="67" t="s">
        <v>231</v>
      </c>
      <c r="E35" s="68" t="s">
        <v>73</v>
      </c>
      <c r="F35" s="454" t="s">
        <v>232</v>
      </c>
      <c r="G35" s="433" t="s">
        <v>88</v>
      </c>
      <c r="H35" s="459" t="s">
        <v>39</v>
      </c>
      <c r="I35" s="456" t="s">
        <v>9</v>
      </c>
      <c r="J35" s="456" t="str">
        <f t="shared" si="19"/>
        <v>TER B</v>
      </c>
      <c r="K35" s="437">
        <v>1</v>
      </c>
      <c r="L35" s="438">
        <v>12</v>
      </c>
      <c r="M35" s="46">
        <v>4005820</v>
      </c>
      <c r="N35" s="48">
        <v>177150</v>
      </c>
      <c r="O35" s="48"/>
      <c r="P35" s="48">
        <v>189224.64</v>
      </c>
      <c r="Q35" s="46">
        <v>0</v>
      </c>
      <c r="R35" s="46">
        <f t="shared" si="5"/>
        <v>4372194.6399999997</v>
      </c>
      <c r="S35" s="46">
        <f>+SETAHUN!J35</f>
        <v>4046100</v>
      </c>
      <c r="T35" s="46">
        <f>+SETAHUN!L35</f>
        <v>200000</v>
      </c>
      <c r="U35" s="46">
        <v>0</v>
      </c>
      <c r="V35" s="46">
        <f>+SETAHUN!G35+M35+N35</f>
        <v>49034584.959999993</v>
      </c>
      <c r="W35" s="46">
        <v>0</v>
      </c>
      <c r="X35" s="46">
        <f>+SETAHUN!W35+P35</f>
        <v>2267731.6800000002</v>
      </c>
      <c r="Y35" s="46">
        <v>0</v>
      </c>
      <c r="Z35" s="46">
        <v>0</v>
      </c>
      <c r="AA35" s="46">
        <f t="shared" si="20"/>
        <v>4246100</v>
      </c>
      <c r="AB35" s="46">
        <f t="shared" si="21"/>
        <v>55548416.639999993</v>
      </c>
      <c r="AC35" s="46">
        <f t="shared" si="22"/>
        <v>2777421</v>
      </c>
      <c r="AD35" s="46">
        <f>('ASTEK 2% -DIISI SMPAI DESEMBER'!O153+'ASTEK 2% -DIISI SMPAI DESEMBER'!O34)</f>
        <v>1401138</v>
      </c>
      <c r="AE35" s="46">
        <f t="shared" si="23"/>
        <v>51369857.639999993</v>
      </c>
      <c r="AF35" s="88">
        <f t="shared" si="24"/>
        <v>63000000</v>
      </c>
      <c r="AG35" s="88">
        <f t="shared" si="9"/>
        <v>0</v>
      </c>
      <c r="AH35" s="457">
        <f t="shared" si="25"/>
        <v>0</v>
      </c>
      <c r="AI35" s="439">
        <f t="shared" si="26"/>
        <v>0</v>
      </c>
      <c r="AJ35" s="88">
        <f>+'PAJAK JAN-NOV'!R32</f>
        <v>84149</v>
      </c>
      <c r="AK35" s="410">
        <f t="shared" si="11"/>
        <v>0</v>
      </c>
      <c r="AL35" s="32" t="str">
        <f>+'PAJAK JAN-NOV'!B32</f>
        <v>BOBI SAPUTRA</v>
      </c>
      <c r="AM35" s="33">
        <f t="shared" si="12"/>
        <v>84149</v>
      </c>
      <c r="AN35" s="32"/>
      <c r="AO35" s="33"/>
      <c r="AP35" s="32"/>
      <c r="AQ35" s="32"/>
    </row>
    <row r="36" spans="2:43" s="201" customFormat="1" ht="15" customHeight="1">
      <c r="B36" s="196">
        <v>31</v>
      </c>
      <c r="C36" s="197" t="str">
        <f>+PERBULAN!B36</f>
        <v>JULIANSYAH</v>
      </c>
      <c r="D36" s="67" t="s">
        <v>528</v>
      </c>
      <c r="E36" s="68" t="s">
        <v>526</v>
      </c>
      <c r="F36" s="454" t="s">
        <v>241</v>
      </c>
      <c r="G36" s="433" t="s">
        <v>88</v>
      </c>
      <c r="H36" s="459" t="s">
        <v>39</v>
      </c>
      <c r="I36" s="456" t="s">
        <v>17</v>
      </c>
      <c r="J36" s="456" t="str">
        <f t="shared" si="19"/>
        <v>TER A</v>
      </c>
      <c r="K36" s="437">
        <v>1</v>
      </c>
      <c r="L36" s="438">
        <v>12</v>
      </c>
      <c r="M36" s="46">
        <v>4005820</v>
      </c>
      <c r="N36" s="48">
        <v>158250</v>
      </c>
      <c r="O36" s="48"/>
      <c r="P36" s="48">
        <v>190410.44</v>
      </c>
      <c r="Q36" s="46">
        <v>0</v>
      </c>
      <c r="R36" s="46">
        <f t="shared" si="5"/>
        <v>4354480.4400000004</v>
      </c>
      <c r="S36" s="46">
        <f>+SETAHUN!J36</f>
        <v>4028100</v>
      </c>
      <c r="T36" s="46">
        <f>+SETAHUN!L36</f>
        <v>200000</v>
      </c>
      <c r="U36" s="46">
        <v>0</v>
      </c>
      <c r="V36" s="46">
        <f>+SETAHUN!G36+M36+N36</f>
        <v>48477166.360000007</v>
      </c>
      <c r="W36" s="46">
        <v>0</v>
      </c>
      <c r="X36" s="46">
        <f>+SETAHUN!W36+P36</f>
        <v>2280679.08</v>
      </c>
      <c r="Y36" s="46">
        <v>0</v>
      </c>
      <c r="Z36" s="46">
        <v>0</v>
      </c>
      <c r="AA36" s="46">
        <f t="shared" si="20"/>
        <v>4228100</v>
      </c>
      <c r="AB36" s="46">
        <f t="shared" si="21"/>
        <v>54985945.440000005</v>
      </c>
      <c r="AC36" s="46">
        <f t="shared" si="22"/>
        <v>2749297</v>
      </c>
      <c r="AD36" s="46">
        <f>('ASTEK 2% -DIISI SMPAI DESEMBER'!O154+'ASTEK 2% -DIISI SMPAI DESEMBER'!O35)</f>
        <v>1405593</v>
      </c>
      <c r="AE36" s="46">
        <f t="shared" si="23"/>
        <v>50831055.440000005</v>
      </c>
      <c r="AF36" s="88">
        <f t="shared" si="24"/>
        <v>58500000</v>
      </c>
      <c r="AG36" s="88">
        <f t="shared" si="9"/>
        <v>0</v>
      </c>
      <c r="AH36" s="457">
        <f t="shared" si="25"/>
        <v>0</v>
      </c>
      <c r="AI36" s="439">
        <f t="shared" si="26"/>
        <v>0</v>
      </c>
      <c r="AJ36" s="88">
        <f>+'PAJAK JAN-NOV'!R33</f>
        <v>123690</v>
      </c>
      <c r="AK36" s="410">
        <f t="shared" si="11"/>
        <v>0</v>
      </c>
      <c r="AL36" s="32" t="str">
        <f>+'PAJAK JAN-NOV'!B33</f>
        <v>JULIANSYAH</v>
      </c>
      <c r="AM36" s="33">
        <f t="shared" si="12"/>
        <v>123690</v>
      </c>
      <c r="AN36" s="32"/>
      <c r="AO36" s="33"/>
      <c r="AP36" s="32"/>
      <c r="AQ36" s="32"/>
    </row>
    <row r="37" spans="2:43" s="201" customFormat="1" ht="15" customHeight="1">
      <c r="B37" s="196">
        <v>32</v>
      </c>
      <c r="C37" s="197" t="str">
        <f>+PERBULAN!B37</f>
        <v>ARDIANTO</v>
      </c>
      <c r="D37" s="67" t="s">
        <v>323</v>
      </c>
      <c r="E37" s="68" t="s">
        <v>373</v>
      </c>
      <c r="F37" s="454" t="s">
        <v>223</v>
      </c>
      <c r="G37" s="433" t="s">
        <v>87</v>
      </c>
      <c r="H37" s="459" t="s">
        <v>39</v>
      </c>
      <c r="I37" s="456" t="s">
        <v>11</v>
      </c>
      <c r="J37" s="456" t="str">
        <f t="shared" si="19"/>
        <v>TER B</v>
      </c>
      <c r="K37" s="437">
        <v>1</v>
      </c>
      <c r="L37" s="438">
        <v>12</v>
      </c>
      <c r="M37" s="46">
        <v>4005820</v>
      </c>
      <c r="N37" s="48">
        <v>2298263.6</v>
      </c>
      <c r="O37" s="48"/>
      <c r="P37" s="48">
        <v>192104.44</v>
      </c>
      <c r="Q37" s="46">
        <v>0</v>
      </c>
      <c r="R37" s="46">
        <f t="shared" si="5"/>
        <v>6496188.04</v>
      </c>
      <c r="S37" s="46">
        <f>+SETAHUN!J37</f>
        <v>4132100</v>
      </c>
      <c r="T37" s="46">
        <f>+SETAHUN!L37</f>
        <v>900000</v>
      </c>
      <c r="U37" s="46">
        <v>0</v>
      </c>
      <c r="V37" s="46">
        <f>+SETAHUN!G37+M37+N37</f>
        <v>77916214.760000005</v>
      </c>
      <c r="W37" s="46">
        <v>0</v>
      </c>
      <c r="X37" s="46">
        <f>+SETAHUN!W37+P37</f>
        <v>2299051.2799999998</v>
      </c>
      <c r="Y37" s="46">
        <v>0</v>
      </c>
      <c r="Z37" s="46">
        <v>0</v>
      </c>
      <c r="AA37" s="46">
        <f t="shared" si="20"/>
        <v>5032100</v>
      </c>
      <c r="AB37" s="46">
        <f t="shared" si="21"/>
        <v>85247366.040000007</v>
      </c>
      <c r="AC37" s="46">
        <f t="shared" si="22"/>
        <v>4262368</v>
      </c>
      <c r="AD37" s="46">
        <f>('ASTEK 2% -DIISI SMPAI DESEMBER'!O155+'ASTEK 2% -DIISI SMPAI DESEMBER'!O36)</f>
        <v>1412208</v>
      </c>
      <c r="AE37" s="46">
        <f t="shared" si="23"/>
        <v>79572790.040000007</v>
      </c>
      <c r="AF37" s="88">
        <f t="shared" si="24"/>
        <v>67500000</v>
      </c>
      <c r="AG37" s="88">
        <f t="shared" si="9"/>
        <v>12072000</v>
      </c>
      <c r="AH37" s="457">
        <f t="shared" si="25"/>
        <v>603600</v>
      </c>
      <c r="AI37" s="439">
        <f t="shared" si="26"/>
        <v>603600</v>
      </c>
      <c r="AJ37" s="88">
        <f>+'PAJAK JAN-NOV'!R34</f>
        <v>525705</v>
      </c>
      <c r="AK37" s="410">
        <f>IF(AH37&lt;=AJ37,0,IF(AH37&gt;AJ37,AH37-AJ37))</f>
        <v>77895</v>
      </c>
      <c r="AL37" s="32" t="str">
        <f>+'PAJAK JAN-NOV'!B34</f>
        <v>ARDIANTO</v>
      </c>
      <c r="AM37" s="33">
        <f t="shared" si="12"/>
        <v>-77895</v>
      </c>
      <c r="AN37" s="32"/>
      <c r="AO37" s="33"/>
      <c r="AP37" s="32"/>
      <c r="AQ37" s="32"/>
    </row>
    <row r="38" spans="2:43" s="201" customFormat="1" ht="15" customHeight="1">
      <c r="B38" s="196">
        <v>33</v>
      </c>
      <c r="C38" s="197" t="str">
        <f>+PERBULAN!B38</f>
        <v xml:space="preserve">JUNI </v>
      </c>
      <c r="D38" s="203" t="s">
        <v>325</v>
      </c>
      <c r="E38" s="43" t="s">
        <v>374</v>
      </c>
      <c r="F38" s="454" t="s">
        <v>223</v>
      </c>
      <c r="G38" s="455" t="s">
        <v>372</v>
      </c>
      <c r="H38" s="441" t="s">
        <v>39</v>
      </c>
      <c r="I38" s="436" t="s">
        <v>11</v>
      </c>
      <c r="J38" s="436" t="str">
        <f t="shared" si="19"/>
        <v>TER B</v>
      </c>
      <c r="K38" s="437">
        <v>1</v>
      </c>
      <c r="L38" s="438">
        <v>12</v>
      </c>
      <c r="M38" s="46">
        <v>4005820</v>
      </c>
      <c r="N38" s="88">
        <v>2154226.46</v>
      </c>
      <c r="O38" s="88"/>
      <c r="P38" s="88">
        <v>191935.04</v>
      </c>
      <c r="Q38" s="46">
        <v>0</v>
      </c>
      <c r="R38" s="46">
        <f t="shared" si="5"/>
        <v>6351981.5</v>
      </c>
      <c r="S38" s="46">
        <f>+SETAHUN!J38</f>
        <v>4128600</v>
      </c>
      <c r="T38" s="46">
        <f>+SETAHUN!L38</f>
        <v>600000</v>
      </c>
      <c r="U38" s="46">
        <v>0</v>
      </c>
      <c r="V38" s="46">
        <f>+SETAHUN!G38+M38+N38</f>
        <v>77146672.61999999</v>
      </c>
      <c r="W38" s="46">
        <v>0</v>
      </c>
      <c r="X38" s="46">
        <f>+SETAHUN!W38+P38</f>
        <v>2297334.88</v>
      </c>
      <c r="Y38" s="46">
        <v>0</v>
      </c>
      <c r="Z38" s="46">
        <v>0</v>
      </c>
      <c r="AA38" s="46">
        <f t="shared" si="20"/>
        <v>4728600</v>
      </c>
      <c r="AB38" s="46">
        <f t="shared" si="21"/>
        <v>84172607.499999985</v>
      </c>
      <c r="AC38" s="46">
        <f t="shared" si="22"/>
        <v>4208630</v>
      </c>
      <c r="AD38" s="46">
        <f>('ASTEK 2% -DIISI SMPAI DESEMBER'!O156+'ASTEK 2% -DIISI SMPAI DESEMBER'!O37)</f>
        <v>1411578</v>
      </c>
      <c r="AE38" s="46">
        <f t="shared" si="23"/>
        <v>78552399.499999985</v>
      </c>
      <c r="AF38" s="88">
        <f t="shared" si="24"/>
        <v>67500000</v>
      </c>
      <c r="AG38" s="88">
        <f t="shared" si="9"/>
        <v>11052000</v>
      </c>
      <c r="AH38" s="439">
        <f t="shared" si="25"/>
        <v>552600</v>
      </c>
      <c r="AI38" s="439">
        <f t="shared" si="26"/>
        <v>552600</v>
      </c>
      <c r="AJ38" s="88">
        <f>+'PAJAK JAN-NOV'!R35</f>
        <v>518656</v>
      </c>
      <c r="AK38" s="410">
        <f t="shared" si="11"/>
        <v>33944</v>
      </c>
      <c r="AL38" s="32" t="str">
        <f>+'PAJAK JAN-NOV'!B35</f>
        <v xml:space="preserve">JUNI </v>
      </c>
      <c r="AM38" s="33">
        <f t="shared" si="12"/>
        <v>-33944</v>
      </c>
      <c r="AN38" s="32"/>
      <c r="AO38" s="33"/>
      <c r="AP38" s="32"/>
      <c r="AQ38" s="32"/>
    </row>
    <row r="39" spans="2:43" s="201" customFormat="1" ht="15" customHeight="1">
      <c r="B39" s="196">
        <v>34</v>
      </c>
      <c r="C39" s="197" t="str">
        <f>+PERBULAN!B39</f>
        <v>DARMAWAN</v>
      </c>
      <c r="D39" s="203" t="s">
        <v>510</v>
      </c>
      <c r="E39" s="43" t="s">
        <v>512</v>
      </c>
      <c r="F39" s="454" t="s">
        <v>513</v>
      </c>
      <c r="G39" s="455" t="s">
        <v>87</v>
      </c>
      <c r="H39" s="441" t="s">
        <v>39</v>
      </c>
      <c r="I39" s="436" t="s">
        <v>17</v>
      </c>
      <c r="J39" s="436" t="str">
        <f t="shared" si="19"/>
        <v>TER A</v>
      </c>
      <c r="K39" s="437">
        <v>1</v>
      </c>
      <c r="L39" s="438">
        <v>12</v>
      </c>
      <c r="M39" s="46">
        <v>3747380</v>
      </c>
      <c r="N39" s="88">
        <v>1919535.3399999999</v>
      </c>
      <c r="O39" s="88"/>
      <c r="P39" s="88">
        <v>192104.44</v>
      </c>
      <c r="Q39" s="46">
        <v>0</v>
      </c>
      <c r="R39" s="46">
        <f t="shared" si="5"/>
        <v>5859019.7800000003</v>
      </c>
      <c r="S39" s="46">
        <f>+SETAHUN!J39</f>
        <v>4076600</v>
      </c>
      <c r="T39" s="46">
        <f>+SETAHUN!L39</f>
        <v>900000</v>
      </c>
      <c r="U39" s="46">
        <v>0</v>
      </c>
      <c r="V39" s="46">
        <f>+SETAHUN!G39+M39+N39</f>
        <v>75223108.700000003</v>
      </c>
      <c r="W39" s="46">
        <v>0</v>
      </c>
      <c r="X39" s="46">
        <f>+SETAHUN!W39+P39</f>
        <v>2298123.08</v>
      </c>
      <c r="Y39" s="46">
        <v>0</v>
      </c>
      <c r="Z39" s="46">
        <v>0</v>
      </c>
      <c r="AA39" s="46">
        <f t="shared" si="20"/>
        <v>4976600</v>
      </c>
      <c r="AB39" s="46">
        <f t="shared" si="21"/>
        <v>82497831.780000001</v>
      </c>
      <c r="AC39" s="46">
        <f t="shared" si="22"/>
        <v>4124892</v>
      </c>
      <c r="AD39" s="46">
        <f>('ASTEK 2% -DIISI SMPAI DESEMBER'!O157+'ASTEK 2% -DIISI SMPAI DESEMBER'!O38)</f>
        <v>1411893</v>
      </c>
      <c r="AE39" s="46">
        <f t="shared" si="23"/>
        <v>76961046.780000001</v>
      </c>
      <c r="AF39" s="88">
        <f t="shared" si="24"/>
        <v>58500000</v>
      </c>
      <c r="AG39" s="88">
        <f t="shared" si="9"/>
        <v>18461000</v>
      </c>
      <c r="AH39" s="439">
        <f t="shared" si="25"/>
        <v>923050</v>
      </c>
      <c r="AI39" s="439">
        <f t="shared" si="26"/>
        <v>923050</v>
      </c>
      <c r="AJ39" s="88">
        <f>+'PAJAK JAN-NOV'!R36</f>
        <v>899860</v>
      </c>
      <c r="AK39" s="410">
        <f t="shared" si="11"/>
        <v>23190</v>
      </c>
      <c r="AL39" s="32" t="str">
        <f>+'PAJAK JAN-NOV'!B36</f>
        <v>DARMAWAN</v>
      </c>
      <c r="AM39" s="33">
        <f t="shared" si="12"/>
        <v>-23190</v>
      </c>
      <c r="AN39" s="32"/>
      <c r="AO39" s="33"/>
      <c r="AP39" s="32"/>
      <c r="AQ39" s="32"/>
    </row>
    <row r="40" spans="2:43" s="201" customFormat="1" ht="15" customHeight="1">
      <c r="B40" s="196">
        <v>35</v>
      </c>
      <c r="C40" s="197" t="str">
        <f>+PERBULAN!B40</f>
        <v>DEDI NOPRIADI</v>
      </c>
      <c r="D40" s="203" t="s">
        <v>511</v>
      </c>
      <c r="E40" s="43" t="s">
        <v>73</v>
      </c>
      <c r="F40" s="454" t="s">
        <v>514</v>
      </c>
      <c r="G40" s="455" t="s">
        <v>372</v>
      </c>
      <c r="H40" s="441" t="s">
        <v>39</v>
      </c>
      <c r="I40" s="436" t="s">
        <v>11</v>
      </c>
      <c r="J40" s="436" t="str">
        <f t="shared" si="19"/>
        <v>TER B</v>
      </c>
      <c r="K40" s="437">
        <v>1</v>
      </c>
      <c r="L40" s="438">
        <v>12</v>
      </c>
      <c r="M40" s="46">
        <v>4005820</v>
      </c>
      <c r="N40" s="88">
        <v>1927562.48</v>
      </c>
      <c r="O40" s="88"/>
      <c r="P40" s="88">
        <v>188643.84</v>
      </c>
      <c r="Q40" s="46">
        <v>0</v>
      </c>
      <c r="R40" s="46">
        <f t="shared" si="5"/>
        <v>6122026.3200000003</v>
      </c>
      <c r="S40" s="46">
        <f>+SETAHUN!J40</f>
        <v>4061100</v>
      </c>
      <c r="T40" s="46">
        <f>+SETAHUN!L40</f>
        <v>900000</v>
      </c>
      <c r="U40" s="46">
        <v>0</v>
      </c>
      <c r="V40" s="46">
        <f>+SETAHUN!G40+M40+N40</f>
        <v>74638182.039999992</v>
      </c>
      <c r="W40" s="46">
        <v>0</v>
      </c>
      <c r="X40" s="46">
        <f>+SETAHUN!W40+P40</f>
        <v>2261657.2799999998</v>
      </c>
      <c r="Y40" s="46">
        <v>0</v>
      </c>
      <c r="Z40" s="46">
        <v>0</v>
      </c>
      <c r="AA40" s="46">
        <f t="shared" si="20"/>
        <v>4961100</v>
      </c>
      <c r="AB40" s="46">
        <f t="shared" si="21"/>
        <v>81860939.319999993</v>
      </c>
      <c r="AC40" s="46">
        <f t="shared" si="22"/>
        <v>4093047</v>
      </c>
      <c r="AD40" s="46">
        <f>('ASTEK 2% -DIISI SMPAI DESEMBER'!O158+'ASTEK 2% -DIISI SMPAI DESEMBER'!O39)</f>
        <v>1399158</v>
      </c>
      <c r="AE40" s="46">
        <f t="shared" si="23"/>
        <v>76368734.319999993</v>
      </c>
      <c r="AF40" s="88">
        <f t="shared" si="24"/>
        <v>67500000</v>
      </c>
      <c r="AG40" s="88">
        <f t="shared" si="9"/>
        <v>8868000</v>
      </c>
      <c r="AH40" s="439">
        <f t="shared" si="25"/>
        <v>443400</v>
      </c>
      <c r="AI40" s="439">
        <f t="shared" si="26"/>
        <v>443400</v>
      </c>
      <c r="AJ40" s="88">
        <f>+'PAJAK JAN-NOV'!R37</f>
        <v>438737</v>
      </c>
      <c r="AK40" s="410">
        <f t="shared" si="11"/>
        <v>4663</v>
      </c>
      <c r="AL40" s="32" t="str">
        <f>+'PAJAK JAN-NOV'!B37</f>
        <v>DEDI NOPRIADI</v>
      </c>
      <c r="AM40" s="33">
        <f t="shared" si="12"/>
        <v>-4663</v>
      </c>
      <c r="AN40" s="32"/>
      <c r="AO40" s="33"/>
      <c r="AP40" s="32"/>
      <c r="AQ40" s="32"/>
    </row>
    <row r="41" spans="2:43" s="201" customFormat="1" ht="15" customHeight="1">
      <c r="B41" s="196">
        <v>36</v>
      </c>
      <c r="C41" s="197" t="str">
        <f>+PERBULAN!B41</f>
        <v>IRWANTO</v>
      </c>
      <c r="D41" s="203" t="s">
        <v>579</v>
      </c>
      <c r="E41" s="43" t="s">
        <v>580</v>
      </c>
      <c r="F41" s="454" t="s">
        <v>581</v>
      </c>
      <c r="G41" s="455" t="s">
        <v>391</v>
      </c>
      <c r="H41" s="441" t="s">
        <v>39</v>
      </c>
      <c r="I41" s="436" t="s">
        <v>9</v>
      </c>
      <c r="J41" s="436" t="str">
        <f t="shared" si="19"/>
        <v>TER B</v>
      </c>
      <c r="K41" s="437">
        <v>1</v>
      </c>
      <c r="L41" s="438">
        <v>12</v>
      </c>
      <c r="M41" s="46">
        <v>3876600</v>
      </c>
      <c r="N41" s="88">
        <v>297500</v>
      </c>
      <c r="O41" s="88"/>
      <c r="P41" s="88">
        <v>190071.64</v>
      </c>
      <c r="Q41" s="46"/>
      <c r="R41" s="46">
        <f t="shared" si="5"/>
        <v>4364171.6399999997</v>
      </c>
      <c r="S41" s="46">
        <f>+SETAHUN!J41</f>
        <v>4066600</v>
      </c>
      <c r="T41" s="46">
        <f>+SETAHUN!L41</f>
        <v>200000</v>
      </c>
      <c r="U41" s="46"/>
      <c r="V41" s="46">
        <f>+SETAHUN!G41+M41+N41</f>
        <v>53135593.159999996</v>
      </c>
      <c r="W41" s="46"/>
      <c r="X41" s="46">
        <f>+SETAHUN!W41+P41</f>
        <v>2278034.48</v>
      </c>
      <c r="Y41" s="46">
        <v>0</v>
      </c>
      <c r="Z41" s="46">
        <v>0</v>
      </c>
      <c r="AA41" s="46">
        <f t="shared" si="20"/>
        <v>4266600</v>
      </c>
      <c r="AB41" s="46">
        <f t="shared" si="21"/>
        <v>59680227.639999993</v>
      </c>
      <c r="AC41" s="46">
        <f t="shared" si="22"/>
        <v>2984011</v>
      </c>
      <c r="AD41" s="46">
        <f>('ASTEK 2% -DIISI SMPAI DESEMBER'!O159+'ASTEK 2% -DIISI SMPAI DESEMBER'!O40)</f>
        <v>1404648</v>
      </c>
      <c r="AE41" s="46">
        <f t="shared" si="23"/>
        <v>55291568.639999993</v>
      </c>
      <c r="AF41" s="88">
        <f t="shared" ref="AF41:AF103" si="27">IFERROR(VLOOKUP(I41,TARIF,3,FALSE),0)</f>
        <v>63000000</v>
      </c>
      <c r="AG41" s="88">
        <f t="shared" si="9"/>
        <v>0</v>
      </c>
      <c r="AH41" s="439">
        <f t="shared" ref="AH41:AH103" si="28">IF(AG41&gt;5000000000,AG41*35%-306000000,IF(AG41&gt;500000000,AG41*30%-56000000,IF(AG41&gt;250000000,AG41*25%-31000000,IF(AG41&gt;60000000,AG41*15%-6000000,AG41*5%))))</f>
        <v>0</v>
      </c>
      <c r="AI41" s="439">
        <f t="shared" ref="AI41:AI103" si="29">ROUND(IF(E41=0,AH41*120%,AH41),0)</f>
        <v>0</v>
      </c>
      <c r="AJ41" s="88">
        <f>+'PAJAK JAN-NOV'!R38</f>
        <v>85372</v>
      </c>
      <c r="AK41" s="410">
        <f t="shared" ref="AK41:AK103" si="30">IF(AH41&lt;=AJ41,0,IF(AH41&gt;AJ41,AH41-AJ41))</f>
        <v>0</v>
      </c>
      <c r="AL41" s="32" t="str">
        <f>+'PAJAK JAN-NOV'!B38</f>
        <v>IRWANTO</v>
      </c>
      <c r="AM41" s="33">
        <f t="shared" si="12"/>
        <v>85372</v>
      </c>
      <c r="AN41" s="32"/>
      <c r="AO41" s="33"/>
      <c r="AP41" s="32"/>
      <c r="AQ41" s="32"/>
    </row>
    <row r="42" spans="2:43" s="201" customFormat="1" ht="15" customHeight="1">
      <c r="B42" s="196">
        <v>37</v>
      </c>
      <c r="C42" s="197" t="str">
        <f>+PERBULAN!B42</f>
        <v>ISRIN YUNUPITA</v>
      </c>
      <c r="D42" s="203" t="s">
        <v>582</v>
      </c>
      <c r="E42" s="43" t="s">
        <v>583</v>
      </c>
      <c r="F42" s="454" t="s">
        <v>584</v>
      </c>
      <c r="G42" s="454" t="s">
        <v>88</v>
      </c>
      <c r="H42" s="441" t="s">
        <v>38</v>
      </c>
      <c r="I42" s="436" t="s">
        <v>7</v>
      </c>
      <c r="J42" s="436" t="str">
        <f t="shared" si="19"/>
        <v>TER A</v>
      </c>
      <c r="K42" s="437">
        <v>1</v>
      </c>
      <c r="L42" s="438">
        <v>12</v>
      </c>
      <c r="M42" s="46">
        <v>3876600</v>
      </c>
      <c r="N42" s="88">
        <v>104000</v>
      </c>
      <c r="O42" s="88"/>
      <c r="P42" s="88">
        <v>189394.04</v>
      </c>
      <c r="Q42" s="46"/>
      <c r="R42" s="46">
        <f t="shared" si="5"/>
        <v>4169994.04</v>
      </c>
      <c r="S42" s="46">
        <f>+SETAHUN!J42</f>
        <v>3977100</v>
      </c>
      <c r="T42" s="46">
        <f>+SETAHUN!L42</f>
        <v>200000</v>
      </c>
      <c r="U42" s="46"/>
      <c r="V42" s="46">
        <f>+SETAHUN!G42+M42+N42</f>
        <v>47479757.560000002</v>
      </c>
      <c r="W42" s="46"/>
      <c r="X42" s="46">
        <f>+SETAHUN!W42+P42</f>
        <v>2269879.48</v>
      </c>
      <c r="Y42" s="46">
        <v>0</v>
      </c>
      <c r="Z42" s="46">
        <v>0</v>
      </c>
      <c r="AA42" s="46">
        <f t="shared" si="20"/>
        <v>4177100</v>
      </c>
      <c r="AB42" s="46">
        <f t="shared" si="21"/>
        <v>53926737.039999999</v>
      </c>
      <c r="AC42" s="46">
        <f t="shared" si="22"/>
        <v>2696337</v>
      </c>
      <c r="AD42" s="46">
        <f>('ASTEK 2% -DIISI SMPAI DESEMBER'!O160+'ASTEK 2% -DIISI SMPAI DESEMBER'!O41)</f>
        <v>1402023</v>
      </c>
      <c r="AE42" s="46">
        <f t="shared" si="23"/>
        <v>49828377.039999999</v>
      </c>
      <c r="AF42" s="88">
        <f t="shared" si="27"/>
        <v>54000000</v>
      </c>
      <c r="AG42" s="88">
        <f t="shared" si="9"/>
        <v>0</v>
      </c>
      <c r="AH42" s="439">
        <f t="shared" si="28"/>
        <v>0</v>
      </c>
      <c r="AI42" s="439">
        <f t="shared" si="29"/>
        <v>0</v>
      </c>
      <c r="AJ42" s="88">
        <f>+'PAJAK JAN-NOV'!R39</f>
        <v>122147</v>
      </c>
      <c r="AK42" s="410">
        <f t="shared" si="30"/>
        <v>0</v>
      </c>
      <c r="AL42" s="32" t="str">
        <f>+'PAJAK JAN-NOV'!B39</f>
        <v>ISRIN YUNUPITA</v>
      </c>
      <c r="AM42" s="33">
        <f t="shared" si="12"/>
        <v>122147</v>
      </c>
      <c r="AN42" s="32"/>
      <c r="AO42" s="33"/>
      <c r="AP42" s="32"/>
      <c r="AQ42" s="32"/>
    </row>
    <row r="43" spans="2:43" s="201" customFormat="1" ht="15" customHeight="1">
      <c r="B43" s="196">
        <v>38</v>
      </c>
      <c r="C43" s="197" t="str">
        <f>+PERBULAN!B43</f>
        <v>ARYANI.K</v>
      </c>
      <c r="D43" s="203" t="s">
        <v>585</v>
      </c>
      <c r="E43" s="43" t="s">
        <v>586</v>
      </c>
      <c r="F43" s="454" t="s">
        <v>587</v>
      </c>
      <c r="G43" s="454" t="s">
        <v>88</v>
      </c>
      <c r="H43" s="441" t="s">
        <v>38</v>
      </c>
      <c r="I43" s="436" t="s">
        <v>7</v>
      </c>
      <c r="J43" s="436" t="str">
        <f t="shared" si="19"/>
        <v>TER A</v>
      </c>
      <c r="K43" s="437">
        <v>1</v>
      </c>
      <c r="L43" s="438">
        <v>12</v>
      </c>
      <c r="M43" s="46">
        <v>3876600</v>
      </c>
      <c r="N43" s="88">
        <v>97500</v>
      </c>
      <c r="O43" s="88"/>
      <c r="P43" s="88">
        <v>189079.44</v>
      </c>
      <c r="Q43" s="46"/>
      <c r="R43" s="46">
        <f t="shared" si="5"/>
        <v>4163179.44</v>
      </c>
      <c r="S43" s="46">
        <f>+SETAHUN!J43</f>
        <v>3971100</v>
      </c>
      <c r="T43" s="46">
        <f>+SETAHUN!L43</f>
        <v>200000</v>
      </c>
      <c r="U43" s="46"/>
      <c r="V43" s="46">
        <f>+SETAHUN!G43+M43+N43</f>
        <v>46879375.359999999</v>
      </c>
      <c r="W43" s="46"/>
      <c r="X43" s="46">
        <f>+SETAHUN!W43+P43</f>
        <v>2266576.08</v>
      </c>
      <c r="Y43" s="46">
        <v>0</v>
      </c>
      <c r="Z43" s="46">
        <v>0</v>
      </c>
      <c r="AA43" s="46">
        <f t="shared" si="20"/>
        <v>4171100</v>
      </c>
      <c r="AB43" s="46">
        <f t="shared" si="21"/>
        <v>53317051.439999998</v>
      </c>
      <c r="AC43" s="46">
        <f t="shared" si="22"/>
        <v>2665853</v>
      </c>
      <c r="AD43" s="46">
        <f>('ASTEK 2% -DIISI SMPAI DESEMBER'!O161+'ASTEK 2% -DIISI SMPAI DESEMBER'!O42)</f>
        <v>1400868</v>
      </c>
      <c r="AE43" s="46">
        <f t="shared" si="23"/>
        <v>49250330.439999998</v>
      </c>
      <c r="AF43" s="88">
        <f t="shared" si="27"/>
        <v>54000000</v>
      </c>
      <c r="AG43" s="88">
        <f t="shared" si="9"/>
        <v>0</v>
      </c>
      <c r="AH43" s="439">
        <f t="shared" si="28"/>
        <v>0</v>
      </c>
      <c r="AI43" s="439">
        <f t="shared" si="29"/>
        <v>0</v>
      </c>
      <c r="AJ43" s="88">
        <f>+'PAJAK JAN-NOV'!R40</f>
        <v>119992</v>
      </c>
      <c r="AK43" s="410">
        <f t="shared" si="30"/>
        <v>0</v>
      </c>
      <c r="AL43" s="32" t="str">
        <f>+'PAJAK JAN-NOV'!B40</f>
        <v>ARYANI.K</v>
      </c>
      <c r="AM43" s="33">
        <f t="shared" si="12"/>
        <v>119992</v>
      </c>
      <c r="AN43" s="32"/>
      <c r="AO43" s="33"/>
      <c r="AP43" s="32"/>
      <c r="AQ43" s="32"/>
    </row>
    <row r="44" spans="2:43" s="201" customFormat="1" ht="15" customHeight="1">
      <c r="B44" s="196">
        <v>39</v>
      </c>
      <c r="C44" s="197" t="str">
        <f>+PERBULAN!B44</f>
        <v>HARYANTI ( K )</v>
      </c>
      <c r="D44" s="203" t="s">
        <v>588</v>
      </c>
      <c r="E44" s="43" t="s">
        <v>589</v>
      </c>
      <c r="F44" s="454" t="s">
        <v>282</v>
      </c>
      <c r="G44" s="454" t="s">
        <v>88</v>
      </c>
      <c r="H44" s="441" t="s">
        <v>38</v>
      </c>
      <c r="I44" s="436" t="s">
        <v>7</v>
      </c>
      <c r="J44" s="436" t="str">
        <f t="shared" si="19"/>
        <v>TER A</v>
      </c>
      <c r="K44" s="437">
        <v>1</v>
      </c>
      <c r="L44" s="438">
        <v>12</v>
      </c>
      <c r="M44" s="46">
        <v>3876600</v>
      </c>
      <c r="N44" s="88">
        <v>104000</v>
      </c>
      <c r="O44" s="88"/>
      <c r="P44" s="88">
        <v>189394.04</v>
      </c>
      <c r="Q44" s="46"/>
      <c r="R44" s="46">
        <f t="shared" si="5"/>
        <v>4169994.04</v>
      </c>
      <c r="S44" s="46">
        <f>+SETAHUN!J44</f>
        <v>3977100</v>
      </c>
      <c r="T44" s="46">
        <f>+SETAHUN!L44</f>
        <v>200000</v>
      </c>
      <c r="U44" s="46"/>
      <c r="V44" s="46">
        <f>+SETAHUN!G44+M44+N44</f>
        <v>47348287.560000002</v>
      </c>
      <c r="W44" s="46"/>
      <c r="X44" s="46">
        <f>+SETAHUN!W44+P44</f>
        <v>2269879.48</v>
      </c>
      <c r="Y44" s="46">
        <v>0</v>
      </c>
      <c r="Z44" s="46">
        <v>0</v>
      </c>
      <c r="AA44" s="46">
        <f t="shared" si="20"/>
        <v>4177100</v>
      </c>
      <c r="AB44" s="46">
        <f t="shared" si="21"/>
        <v>53795267.039999999</v>
      </c>
      <c r="AC44" s="46">
        <f t="shared" si="22"/>
        <v>2689763</v>
      </c>
      <c r="AD44" s="46">
        <f>('ASTEK 2% -DIISI SMPAI DESEMBER'!O162+'ASTEK 2% -DIISI SMPAI DESEMBER'!O43)</f>
        <v>1402023</v>
      </c>
      <c r="AE44" s="46">
        <f t="shared" si="23"/>
        <v>49703481.039999999</v>
      </c>
      <c r="AF44" s="88">
        <f t="shared" si="27"/>
        <v>54000000</v>
      </c>
      <c r="AG44" s="88">
        <f t="shared" si="9"/>
        <v>0</v>
      </c>
      <c r="AH44" s="439">
        <f t="shared" si="28"/>
        <v>0</v>
      </c>
      <c r="AI44" s="439">
        <f t="shared" si="29"/>
        <v>0</v>
      </c>
      <c r="AJ44" s="88">
        <f>+'PAJAK JAN-NOV'!R41</f>
        <v>124119</v>
      </c>
      <c r="AK44" s="410">
        <f t="shared" si="30"/>
        <v>0</v>
      </c>
      <c r="AL44" s="32" t="str">
        <f>+'PAJAK JAN-NOV'!B41</f>
        <v>HARYANTI ( K )</v>
      </c>
      <c r="AM44" s="33">
        <f t="shared" si="12"/>
        <v>124119</v>
      </c>
      <c r="AN44" s="32"/>
      <c r="AO44" s="33"/>
      <c r="AP44" s="32"/>
      <c r="AQ44" s="32"/>
    </row>
    <row r="45" spans="2:43" s="201" customFormat="1" ht="15" customHeight="1">
      <c r="B45" s="196">
        <v>40</v>
      </c>
      <c r="C45" s="197" t="str">
        <f>+PERBULAN!B45</f>
        <v>YUNIAR</v>
      </c>
      <c r="D45" s="203" t="s">
        <v>590</v>
      </c>
      <c r="E45" s="43" t="s">
        <v>591</v>
      </c>
      <c r="F45" s="454" t="s">
        <v>592</v>
      </c>
      <c r="G45" s="454" t="s">
        <v>88</v>
      </c>
      <c r="H45" s="441" t="s">
        <v>38</v>
      </c>
      <c r="I45" s="436" t="s">
        <v>7</v>
      </c>
      <c r="J45" s="436" t="str">
        <f t="shared" si="19"/>
        <v>TER A</v>
      </c>
      <c r="K45" s="437">
        <v>1</v>
      </c>
      <c r="L45" s="438">
        <v>12</v>
      </c>
      <c r="M45" s="46">
        <v>3747380</v>
      </c>
      <c r="N45" s="88">
        <v>119250</v>
      </c>
      <c r="O45" s="88"/>
      <c r="P45" s="88">
        <v>190241.04</v>
      </c>
      <c r="Q45" s="46"/>
      <c r="R45" s="46">
        <f t="shared" si="5"/>
        <v>4056871.04</v>
      </c>
      <c r="S45" s="46">
        <f>+SETAHUN!J45</f>
        <v>3998100</v>
      </c>
      <c r="T45" s="46">
        <f>+SETAHUN!L45</f>
        <v>200000</v>
      </c>
      <c r="U45" s="46"/>
      <c r="V45" s="46">
        <f>+SETAHUN!G45+M45+N45</f>
        <v>47447817.160000004</v>
      </c>
      <c r="W45" s="46"/>
      <c r="X45" s="46">
        <f>+SETAHUN!W45+P45</f>
        <v>2280030.88</v>
      </c>
      <c r="Y45" s="46">
        <v>0</v>
      </c>
      <c r="Z45" s="46">
        <v>0</v>
      </c>
      <c r="AA45" s="46">
        <f t="shared" si="20"/>
        <v>4198100</v>
      </c>
      <c r="AB45" s="46">
        <f t="shared" si="21"/>
        <v>53925948.040000007</v>
      </c>
      <c r="AC45" s="46">
        <f t="shared" si="22"/>
        <v>2696297</v>
      </c>
      <c r="AD45" s="46">
        <f>('ASTEK 2% -DIISI SMPAI DESEMBER'!O163+'ASTEK 2% -DIISI SMPAI DESEMBER'!O44)</f>
        <v>1405278</v>
      </c>
      <c r="AE45" s="46">
        <f t="shared" si="23"/>
        <v>49824373.040000007</v>
      </c>
      <c r="AF45" s="88">
        <f t="shared" si="27"/>
        <v>54000000</v>
      </c>
      <c r="AG45" s="88">
        <f t="shared" si="9"/>
        <v>0</v>
      </c>
      <c r="AH45" s="439">
        <f t="shared" si="28"/>
        <v>0</v>
      </c>
      <c r="AI45" s="439">
        <f t="shared" si="29"/>
        <v>0</v>
      </c>
      <c r="AJ45" s="88">
        <f>+'PAJAK JAN-NOV'!R42</f>
        <v>124762</v>
      </c>
      <c r="AK45" s="410">
        <f t="shared" si="30"/>
        <v>0</v>
      </c>
      <c r="AL45" s="32" t="str">
        <f>+'PAJAK JAN-NOV'!B42</f>
        <v>YUNIAR</v>
      </c>
      <c r="AM45" s="33">
        <f t="shared" si="12"/>
        <v>124762</v>
      </c>
      <c r="AN45" s="32"/>
      <c r="AO45" s="33"/>
      <c r="AP45" s="32"/>
      <c r="AQ45" s="32"/>
    </row>
    <row r="46" spans="2:43" s="201" customFormat="1" ht="15" customHeight="1">
      <c r="B46" s="196">
        <v>41</v>
      </c>
      <c r="C46" s="197" t="str">
        <f>+PERBULAN!B46</f>
        <v>NOVELA SYAKUR</v>
      </c>
      <c r="D46" s="203" t="s">
        <v>593</v>
      </c>
      <c r="E46" s="43" t="s">
        <v>73</v>
      </c>
      <c r="F46" s="454" t="s">
        <v>594</v>
      </c>
      <c r="G46" s="454" t="s">
        <v>88</v>
      </c>
      <c r="H46" s="441" t="s">
        <v>39</v>
      </c>
      <c r="I46" s="436" t="s">
        <v>7</v>
      </c>
      <c r="J46" s="436" t="str">
        <f t="shared" si="19"/>
        <v>TER A</v>
      </c>
      <c r="K46" s="437">
        <v>1</v>
      </c>
      <c r="L46" s="438">
        <v>12</v>
      </c>
      <c r="M46" s="46">
        <v>4005820</v>
      </c>
      <c r="N46" s="88">
        <v>93750</v>
      </c>
      <c r="O46" s="88"/>
      <c r="P46" s="88">
        <v>188789.04</v>
      </c>
      <c r="Q46" s="46"/>
      <c r="R46" s="46">
        <f t="shared" si="5"/>
        <v>4288359.04</v>
      </c>
      <c r="S46" s="46">
        <f>+SETAHUN!J46</f>
        <v>3965100</v>
      </c>
      <c r="T46" s="46">
        <f>+SETAHUN!L46</f>
        <v>200000</v>
      </c>
      <c r="U46" s="46"/>
      <c r="V46" s="46">
        <f>+SETAHUN!G46+M46+N46</f>
        <v>53498549.160000004</v>
      </c>
      <c r="W46" s="46"/>
      <c r="X46" s="46">
        <f>+SETAHUN!W46+P46</f>
        <v>2263898.88</v>
      </c>
      <c r="Y46" s="46">
        <v>0</v>
      </c>
      <c r="Z46" s="46">
        <v>0</v>
      </c>
      <c r="AA46" s="46">
        <f t="shared" si="20"/>
        <v>4165100</v>
      </c>
      <c r="AB46" s="46">
        <f t="shared" si="21"/>
        <v>59927548.040000007</v>
      </c>
      <c r="AC46" s="46">
        <f t="shared" si="22"/>
        <v>2996377</v>
      </c>
      <c r="AD46" s="46">
        <f>('ASTEK 2% -DIISI SMPAI DESEMBER'!O164+'ASTEK 2% -DIISI SMPAI DESEMBER'!O45)</f>
        <v>1399878</v>
      </c>
      <c r="AE46" s="46">
        <f t="shared" si="23"/>
        <v>55531293.040000007</v>
      </c>
      <c r="AF46" s="88">
        <f t="shared" si="27"/>
        <v>54000000</v>
      </c>
      <c r="AG46" s="88">
        <f t="shared" si="9"/>
        <v>1531000</v>
      </c>
      <c r="AH46" s="439">
        <f t="shared" si="28"/>
        <v>76550</v>
      </c>
      <c r="AI46" s="439">
        <f t="shared" si="29"/>
        <v>76550</v>
      </c>
      <c r="AJ46" s="88">
        <f>+'PAJAK JAN-NOV'!R43</f>
        <v>183659</v>
      </c>
      <c r="AK46" s="410">
        <f t="shared" si="30"/>
        <v>0</v>
      </c>
      <c r="AL46" s="32" t="str">
        <f>+'PAJAK JAN-NOV'!B43</f>
        <v>NOVELA SYAKUR</v>
      </c>
      <c r="AM46" s="33">
        <f t="shared" si="12"/>
        <v>107109</v>
      </c>
      <c r="AN46" s="32"/>
      <c r="AO46" s="33"/>
      <c r="AP46" s="32"/>
      <c r="AQ46" s="32"/>
    </row>
    <row r="47" spans="2:43" s="201" customFormat="1" ht="15" customHeight="1">
      <c r="B47" s="196">
        <v>42</v>
      </c>
      <c r="C47" s="510" t="str">
        <f>+PERBULAN!B47</f>
        <v>KUDIN</v>
      </c>
      <c r="D47" s="511" t="s">
        <v>595</v>
      </c>
      <c r="E47" s="512" t="s">
        <v>73</v>
      </c>
      <c r="F47" s="513" t="s">
        <v>596</v>
      </c>
      <c r="G47" s="513" t="s">
        <v>88</v>
      </c>
      <c r="H47" s="514" t="s">
        <v>39</v>
      </c>
      <c r="I47" s="515" t="s">
        <v>17</v>
      </c>
      <c r="J47" s="515" t="str">
        <f t="shared" si="19"/>
        <v>TER A</v>
      </c>
      <c r="K47" s="516">
        <v>1</v>
      </c>
      <c r="L47" s="516">
        <v>7</v>
      </c>
      <c r="M47" s="517"/>
      <c r="N47" s="517"/>
      <c r="O47" s="517"/>
      <c r="P47" s="517"/>
      <c r="Q47" s="518"/>
      <c r="R47" s="518">
        <f t="shared" si="5"/>
        <v>0</v>
      </c>
      <c r="S47" s="518">
        <f>+SETAHUN!J47</f>
        <v>4005600</v>
      </c>
      <c r="T47" s="518">
        <f>+SETAHUN!L47</f>
        <v>600000</v>
      </c>
      <c r="U47" s="518"/>
      <c r="V47" s="518">
        <f>+SETAHUN!G47+M47+N47</f>
        <v>24046667.719999999</v>
      </c>
      <c r="W47" s="518"/>
      <c r="X47" s="518">
        <f>+SETAHUN!W47+P47</f>
        <v>1318583.28</v>
      </c>
      <c r="Y47" s="518">
        <v>0</v>
      </c>
      <c r="Z47" s="518">
        <v>0</v>
      </c>
      <c r="AA47" s="518">
        <f t="shared" si="20"/>
        <v>4605600</v>
      </c>
      <c r="AB47" s="518">
        <f t="shared" si="21"/>
        <v>29970851</v>
      </c>
      <c r="AC47" s="518">
        <f t="shared" si="22"/>
        <v>1498543</v>
      </c>
      <c r="AD47" s="518">
        <f>('ASTEK 2% -DIISI SMPAI DESEMBER'!O165+'ASTEK 2% -DIISI SMPAI DESEMBER'!O46)</f>
        <v>814608</v>
      </c>
      <c r="AE47" s="518">
        <f t="shared" si="23"/>
        <v>27657700</v>
      </c>
      <c r="AF47" s="517">
        <f t="shared" si="27"/>
        <v>58500000</v>
      </c>
      <c r="AG47" s="517">
        <f t="shared" si="9"/>
        <v>0</v>
      </c>
      <c r="AH47" s="519">
        <f t="shared" si="28"/>
        <v>0</v>
      </c>
      <c r="AI47" s="519">
        <f t="shared" si="29"/>
        <v>0</v>
      </c>
      <c r="AJ47" s="517">
        <f>+'PAJAK JAN-NOV'!R44</f>
        <v>122993</v>
      </c>
      <c r="AK47" s="520">
        <f t="shared" si="30"/>
        <v>0</v>
      </c>
      <c r="AL47" s="32" t="str">
        <f>+'PAJAK JAN-NOV'!B44</f>
        <v>KUDIN</v>
      </c>
      <c r="AM47" s="33">
        <f t="shared" si="12"/>
        <v>122993</v>
      </c>
      <c r="AN47" s="32"/>
      <c r="AO47" s="33"/>
      <c r="AP47" s="32"/>
      <c r="AQ47" s="32"/>
    </row>
    <row r="48" spans="2:43" s="201" customFormat="1" ht="15" customHeight="1">
      <c r="B48" s="196">
        <v>43</v>
      </c>
      <c r="C48" s="197" t="str">
        <f>+PERBULAN!B48</f>
        <v>YULIATI</v>
      </c>
      <c r="D48" s="203" t="s">
        <v>597</v>
      </c>
      <c r="E48" s="43" t="s">
        <v>73</v>
      </c>
      <c r="F48" s="454" t="s">
        <v>598</v>
      </c>
      <c r="G48" s="454" t="s">
        <v>88</v>
      </c>
      <c r="H48" s="441" t="s">
        <v>38</v>
      </c>
      <c r="I48" s="436" t="s">
        <v>7</v>
      </c>
      <c r="J48" s="436" t="str">
        <f t="shared" si="19"/>
        <v>TER A</v>
      </c>
      <c r="K48" s="437">
        <v>1</v>
      </c>
      <c r="L48" s="438">
        <v>12</v>
      </c>
      <c r="M48" s="46">
        <v>3876600</v>
      </c>
      <c r="N48" s="88">
        <v>100500</v>
      </c>
      <c r="O48" s="88"/>
      <c r="P48" s="88">
        <v>189224.64</v>
      </c>
      <c r="Q48" s="46"/>
      <c r="R48" s="46">
        <f t="shared" si="5"/>
        <v>4166324.64</v>
      </c>
      <c r="S48" s="46">
        <f>+SETAHUN!J48</f>
        <v>3974100</v>
      </c>
      <c r="T48" s="46">
        <f>+SETAHUN!L48</f>
        <v>200000</v>
      </c>
      <c r="U48" s="46"/>
      <c r="V48" s="46">
        <f>+SETAHUN!G48+M48+N48</f>
        <v>46780907.559999995</v>
      </c>
      <c r="W48" s="46"/>
      <c r="X48" s="46">
        <f>+SETAHUN!W48+P48</f>
        <v>2268022.08</v>
      </c>
      <c r="Y48" s="46">
        <v>0</v>
      </c>
      <c r="Z48" s="46">
        <v>0</v>
      </c>
      <c r="AA48" s="46">
        <f t="shared" si="20"/>
        <v>4174100</v>
      </c>
      <c r="AB48" s="46">
        <f t="shared" si="21"/>
        <v>53223029.639999993</v>
      </c>
      <c r="AC48" s="46">
        <f t="shared" si="22"/>
        <v>2661151</v>
      </c>
      <c r="AD48" s="46">
        <f>('ASTEK 2% -DIISI SMPAI DESEMBER'!O166+'ASTEK 2% -DIISI SMPAI DESEMBER'!O47)</f>
        <v>1401318</v>
      </c>
      <c r="AE48" s="46">
        <f t="shared" si="23"/>
        <v>49160560.639999993</v>
      </c>
      <c r="AF48" s="88">
        <f t="shared" si="27"/>
        <v>54000000</v>
      </c>
      <c r="AG48" s="88">
        <f t="shared" si="9"/>
        <v>0</v>
      </c>
      <c r="AH48" s="439">
        <f t="shared" si="28"/>
        <v>0</v>
      </c>
      <c r="AI48" s="439">
        <f t="shared" si="29"/>
        <v>0</v>
      </c>
      <c r="AJ48" s="88">
        <f>+'PAJAK JAN-NOV'!R45</f>
        <v>122055</v>
      </c>
      <c r="AK48" s="410">
        <f t="shared" si="30"/>
        <v>0</v>
      </c>
      <c r="AL48" s="32" t="str">
        <f>+'PAJAK JAN-NOV'!B45</f>
        <v>YULIATI</v>
      </c>
      <c r="AM48" s="33">
        <f t="shared" si="12"/>
        <v>122055</v>
      </c>
      <c r="AN48" s="32"/>
      <c r="AO48" s="33"/>
      <c r="AP48" s="32"/>
      <c r="AQ48" s="32"/>
    </row>
    <row r="49" spans="2:43" s="201" customFormat="1" ht="15" customHeight="1">
      <c r="B49" s="196">
        <v>44</v>
      </c>
      <c r="C49" s="197" t="str">
        <f>+PERBULAN!B49</f>
        <v>ROHAYA</v>
      </c>
      <c r="D49" s="203" t="s">
        <v>599</v>
      </c>
      <c r="E49" s="43" t="s">
        <v>73</v>
      </c>
      <c r="F49" s="454" t="s">
        <v>600</v>
      </c>
      <c r="G49" s="454" t="s">
        <v>88</v>
      </c>
      <c r="H49" s="441" t="s">
        <v>38</v>
      </c>
      <c r="I49" s="436" t="s">
        <v>7</v>
      </c>
      <c r="J49" s="436" t="str">
        <f t="shared" si="19"/>
        <v>TER A</v>
      </c>
      <c r="K49" s="437">
        <v>1</v>
      </c>
      <c r="L49" s="438">
        <v>12</v>
      </c>
      <c r="M49" s="46">
        <v>4005820</v>
      </c>
      <c r="N49" s="88">
        <v>127750</v>
      </c>
      <c r="O49" s="88"/>
      <c r="P49" s="88">
        <v>188934.24</v>
      </c>
      <c r="Q49" s="46"/>
      <c r="R49" s="46">
        <f t="shared" si="5"/>
        <v>4322504.24</v>
      </c>
      <c r="S49" s="46">
        <f>+SETAHUN!J49</f>
        <v>3968100</v>
      </c>
      <c r="T49" s="46">
        <f>+SETAHUN!L49</f>
        <v>200000</v>
      </c>
      <c r="U49" s="46"/>
      <c r="V49" s="46">
        <f>+SETAHUN!G49+M49+N49</f>
        <v>48564546.359999992</v>
      </c>
      <c r="W49" s="46"/>
      <c r="X49" s="46">
        <f>+SETAHUN!W49+P49</f>
        <v>2264984.88</v>
      </c>
      <c r="Y49" s="46">
        <v>0</v>
      </c>
      <c r="Z49" s="46">
        <v>0</v>
      </c>
      <c r="AA49" s="46">
        <f t="shared" si="20"/>
        <v>4168100</v>
      </c>
      <c r="AB49" s="46">
        <f t="shared" si="21"/>
        <v>54997631.239999995</v>
      </c>
      <c r="AC49" s="46">
        <f t="shared" si="22"/>
        <v>2749882</v>
      </c>
      <c r="AD49" s="46">
        <f>('ASTEK 2% -DIISI SMPAI DESEMBER'!O167+'ASTEK 2% -DIISI SMPAI DESEMBER'!O48)</f>
        <v>1400328</v>
      </c>
      <c r="AE49" s="46">
        <f t="shared" si="23"/>
        <v>50847421.239999995</v>
      </c>
      <c r="AF49" s="88">
        <f t="shared" si="27"/>
        <v>54000000</v>
      </c>
      <c r="AG49" s="88">
        <f t="shared" si="9"/>
        <v>0</v>
      </c>
      <c r="AH49" s="439">
        <f t="shared" si="28"/>
        <v>0</v>
      </c>
      <c r="AI49" s="439">
        <f t="shared" si="29"/>
        <v>0</v>
      </c>
      <c r="AJ49" s="88">
        <f>+'PAJAK JAN-NOV'!R46</f>
        <v>123844</v>
      </c>
      <c r="AK49" s="410">
        <f t="shared" si="30"/>
        <v>0</v>
      </c>
      <c r="AL49" s="32" t="str">
        <f>+'PAJAK JAN-NOV'!B46</f>
        <v>ROHAYA</v>
      </c>
      <c r="AM49" s="33">
        <f t="shared" si="12"/>
        <v>123844</v>
      </c>
      <c r="AN49" s="32"/>
      <c r="AO49" s="33"/>
      <c r="AP49" s="32"/>
      <c r="AQ49" s="32"/>
    </row>
    <row r="50" spans="2:43" s="201" customFormat="1" ht="15" customHeight="1">
      <c r="B50" s="196">
        <v>45</v>
      </c>
      <c r="C50" s="197" t="str">
        <f>+PERBULAN!B50</f>
        <v>ROSMIATI</v>
      </c>
      <c r="D50" s="203" t="s">
        <v>601</v>
      </c>
      <c r="E50" s="43" t="s">
        <v>602</v>
      </c>
      <c r="F50" s="454" t="s">
        <v>603</v>
      </c>
      <c r="G50" s="454" t="s">
        <v>88</v>
      </c>
      <c r="H50" s="441" t="s">
        <v>38</v>
      </c>
      <c r="I50" s="436" t="s">
        <v>7</v>
      </c>
      <c r="J50" s="436" t="str">
        <f t="shared" si="19"/>
        <v>TER A</v>
      </c>
      <c r="K50" s="437">
        <v>1</v>
      </c>
      <c r="L50" s="438">
        <v>12</v>
      </c>
      <c r="M50" s="46">
        <v>4005820</v>
      </c>
      <c r="N50" s="88">
        <v>102750</v>
      </c>
      <c r="O50" s="88"/>
      <c r="P50" s="88">
        <v>189224.64</v>
      </c>
      <c r="Q50" s="46"/>
      <c r="R50" s="46">
        <f t="shared" si="5"/>
        <v>4297794.6399999997</v>
      </c>
      <c r="S50" s="46">
        <f>+SETAHUN!J50</f>
        <v>3974100</v>
      </c>
      <c r="T50" s="46">
        <f>+SETAHUN!L50</f>
        <v>200000</v>
      </c>
      <c r="U50" s="46"/>
      <c r="V50" s="46">
        <f>+SETAHUN!G50+M50+N50</f>
        <v>48221075.960000001</v>
      </c>
      <c r="W50" s="46"/>
      <c r="X50" s="46">
        <f>+SETAHUN!W50+P50</f>
        <v>2267731.6800000002</v>
      </c>
      <c r="Y50" s="46">
        <v>0</v>
      </c>
      <c r="Z50" s="46">
        <v>0</v>
      </c>
      <c r="AA50" s="46">
        <f t="shared" si="20"/>
        <v>4174100</v>
      </c>
      <c r="AB50" s="46">
        <f t="shared" si="21"/>
        <v>54662907.640000001</v>
      </c>
      <c r="AC50" s="46">
        <f t="shared" si="22"/>
        <v>2733145</v>
      </c>
      <c r="AD50" s="46">
        <f>('ASTEK 2% -DIISI SMPAI DESEMBER'!O168+'ASTEK 2% -DIISI SMPAI DESEMBER'!O49)</f>
        <v>1401138</v>
      </c>
      <c r="AE50" s="46">
        <f t="shared" si="23"/>
        <v>50528624.640000001</v>
      </c>
      <c r="AF50" s="88">
        <f t="shared" si="27"/>
        <v>54000000</v>
      </c>
      <c r="AG50" s="88">
        <f t="shared" si="9"/>
        <v>0</v>
      </c>
      <c r="AH50" s="439">
        <f t="shared" si="28"/>
        <v>0</v>
      </c>
      <c r="AI50" s="439">
        <f t="shared" si="29"/>
        <v>0</v>
      </c>
      <c r="AJ50" s="88">
        <f>+'PAJAK JAN-NOV'!R47</f>
        <v>124027</v>
      </c>
      <c r="AK50" s="410">
        <f t="shared" si="30"/>
        <v>0</v>
      </c>
      <c r="AL50" s="32" t="str">
        <f>+'PAJAK JAN-NOV'!B47</f>
        <v>ROSMIATI</v>
      </c>
      <c r="AM50" s="33">
        <f t="shared" si="12"/>
        <v>124027</v>
      </c>
      <c r="AN50" s="32"/>
      <c r="AO50" s="33"/>
      <c r="AP50" s="32"/>
      <c r="AQ50" s="32"/>
    </row>
    <row r="51" spans="2:43" s="201" customFormat="1" ht="15" customHeight="1">
      <c r="B51" s="196">
        <v>46</v>
      </c>
      <c r="C51" s="197" t="str">
        <f>+PERBULAN!B51</f>
        <v>ROSMINI</v>
      </c>
      <c r="D51" s="203" t="s">
        <v>604</v>
      </c>
      <c r="E51" s="43" t="s">
        <v>605</v>
      </c>
      <c r="F51" s="454" t="s">
        <v>606</v>
      </c>
      <c r="G51" s="454" t="s">
        <v>88</v>
      </c>
      <c r="H51" s="441" t="s">
        <v>38</v>
      </c>
      <c r="I51" s="436" t="s">
        <v>7</v>
      </c>
      <c r="J51" s="436" t="str">
        <f t="shared" si="19"/>
        <v>TER A</v>
      </c>
      <c r="K51" s="437">
        <v>1</v>
      </c>
      <c r="L51" s="438">
        <v>12</v>
      </c>
      <c r="M51" s="46">
        <v>4005820</v>
      </c>
      <c r="N51" s="88">
        <v>96750</v>
      </c>
      <c r="O51" s="88"/>
      <c r="P51" s="88">
        <v>188934.24</v>
      </c>
      <c r="Q51" s="46"/>
      <c r="R51" s="46">
        <f t="shared" si="5"/>
        <v>4291504.24</v>
      </c>
      <c r="S51" s="46">
        <f>+SETAHUN!J51</f>
        <v>3968100</v>
      </c>
      <c r="T51" s="46">
        <f>+SETAHUN!L51</f>
        <v>200000</v>
      </c>
      <c r="U51" s="46"/>
      <c r="V51" s="46">
        <f>+SETAHUN!G51+M51+N51</f>
        <v>48280546.960000001</v>
      </c>
      <c r="W51" s="46"/>
      <c r="X51" s="46">
        <f>+SETAHUN!W51+P51</f>
        <v>2264549.2800000003</v>
      </c>
      <c r="Y51" s="46">
        <v>0</v>
      </c>
      <c r="Z51" s="46">
        <v>0</v>
      </c>
      <c r="AA51" s="46">
        <f t="shared" si="20"/>
        <v>4168100</v>
      </c>
      <c r="AB51" s="46">
        <f t="shared" si="21"/>
        <v>54713196.240000002</v>
      </c>
      <c r="AC51" s="46">
        <f t="shared" si="22"/>
        <v>2735660</v>
      </c>
      <c r="AD51" s="46">
        <f>('ASTEK 2% -DIISI SMPAI DESEMBER'!O169+'ASTEK 2% -DIISI SMPAI DESEMBER'!O50)</f>
        <v>1400058</v>
      </c>
      <c r="AE51" s="46">
        <f t="shared" si="23"/>
        <v>50577478.240000002</v>
      </c>
      <c r="AF51" s="88">
        <f t="shared" si="27"/>
        <v>54000000</v>
      </c>
      <c r="AG51" s="88">
        <f t="shared" si="9"/>
        <v>0</v>
      </c>
      <c r="AH51" s="439">
        <f t="shared" si="28"/>
        <v>0</v>
      </c>
      <c r="AI51" s="439">
        <f t="shared" si="29"/>
        <v>0</v>
      </c>
      <c r="AJ51" s="88">
        <f>+'PAJAK JAN-NOV'!R48</f>
        <v>123844</v>
      </c>
      <c r="AK51" s="410">
        <f t="shared" si="30"/>
        <v>0</v>
      </c>
      <c r="AL51" s="32" t="str">
        <f>+'PAJAK JAN-NOV'!B48</f>
        <v>ROSMINI</v>
      </c>
      <c r="AM51" s="33">
        <f t="shared" si="12"/>
        <v>123844</v>
      </c>
      <c r="AN51" s="32"/>
      <c r="AO51" s="33"/>
      <c r="AP51" s="32"/>
      <c r="AQ51" s="32"/>
    </row>
    <row r="52" spans="2:43" s="201" customFormat="1" ht="15" customHeight="1">
      <c r="B52" s="196">
        <v>47</v>
      </c>
      <c r="C52" s="197" t="str">
        <f>+PERBULAN!B52</f>
        <v>KURI</v>
      </c>
      <c r="D52" s="203" t="s">
        <v>607</v>
      </c>
      <c r="E52" s="43" t="s">
        <v>608</v>
      </c>
      <c r="F52" s="454" t="s">
        <v>609</v>
      </c>
      <c r="G52" s="454" t="s">
        <v>88</v>
      </c>
      <c r="H52" s="441" t="s">
        <v>39</v>
      </c>
      <c r="I52" s="436" t="s">
        <v>9</v>
      </c>
      <c r="J52" s="436" t="str">
        <f t="shared" si="19"/>
        <v>TER B</v>
      </c>
      <c r="K52" s="437">
        <v>1</v>
      </c>
      <c r="L52" s="438">
        <v>12</v>
      </c>
      <c r="M52" s="46">
        <v>3747380</v>
      </c>
      <c r="N52" s="88">
        <v>196300</v>
      </c>
      <c r="O52" s="88"/>
      <c r="P52" s="88">
        <v>191935.04</v>
      </c>
      <c r="Q52" s="46"/>
      <c r="R52" s="46">
        <f t="shared" si="5"/>
        <v>4135615.04</v>
      </c>
      <c r="S52" s="46">
        <f>+SETAHUN!J52</f>
        <v>4101600</v>
      </c>
      <c r="T52" s="46">
        <f>+SETAHUN!L52</f>
        <v>200000</v>
      </c>
      <c r="U52" s="46"/>
      <c r="V52" s="46">
        <f>+SETAHUN!G52+M52+N52</f>
        <v>47354907.160000004</v>
      </c>
      <c r="W52" s="46"/>
      <c r="X52" s="46">
        <f>+SETAHUN!W52+P52</f>
        <v>2296914.88</v>
      </c>
      <c r="Y52" s="46">
        <v>0</v>
      </c>
      <c r="Z52" s="46">
        <v>0</v>
      </c>
      <c r="AA52" s="46">
        <f t="shared" si="20"/>
        <v>4301600</v>
      </c>
      <c r="AB52" s="46">
        <f t="shared" si="21"/>
        <v>53953422.040000007</v>
      </c>
      <c r="AC52" s="46">
        <f t="shared" si="22"/>
        <v>2697671</v>
      </c>
      <c r="AD52" s="46">
        <f>('ASTEK 2% -DIISI SMPAI DESEMBER'!O170+'ASTEK 2% -DIISI SMPAI DESEMBER'!O51)</f>
        <v>1411578</v>
      </c>
      <c r="AE52" s="46">
        <f t="shared" si="23"/>
        <v>49844173.040000007</v>
      </c>
      <c r="AF52" s="88">
        <f t="shared" si="27"/>
        <v>63000000</v>
      </c>
      <c r="AG52" s="88">
        <f t="shared" si="9"/>
        <v>0</v>
      </c>
      <c r="AH52" s="439">
        <f t="shared" si="28"/>
        <v>0</v>
      </c>
      <c r="AI52" s="439">
        <f t="shared" si="29"/>
        <v>0</v>
      </c>
      <c r="AJ52" s="88">
        <f>+'PAJAK JAN-NOV'!R49</f>
        <v>82604</v>
      </c>
      <c r="AK52" s="410">
        <f t="shared" si="30"/>
        <v>0</v>
      </c>
      <c r="AL52" s="32" t="str">
        <f>+'PAJAK JAN-NOV'!B49</f>
        <v>KURI</v>
      </c>
      <c r="AM52" s="33">
        <f t="shared" si="12"/>
        <v>82604</v>
      </c>
      <c r="AN52" s="32"/>
      <c r="AO52" s="33"/>
      <c r="AP52" s="32"/>
      <c r="AQ52" s="32"/>
    </row>
    <row r="53" spans="2:43" s="201" customFormat="1" ht="15" customHeight="1">
      <c r="B53" s="196">
        <v>48</v>
      </c>
      <c r="C53" s="197" t="str">
        <f>+PERBULAN!B53</f>
        <v>BASTIAR</v>
      </c>
      <c r="D53" s="203" t="s">
        <v>610</v>
      </c>
      <c r="E53" s="43" t="s">
        <v>73</v>
      </c>
      <c r="F53" s="454" t="s">
        <v>611</v>
      </c>
      <c r="G53" s="454" t="s">
        <v>88</v>
      </c>
      <c r="H53" s="441" t="s">
        <v>39</v>
      </c>
      <c r="I53" s="436" t="s">
        <v>9</v>
      </c>
      <c r="J53" s="436" t="str">
        <f t="shared" si="19"/>
        <v>TER B</v>
      </c>
      <c r="K53" s="437">
        <v>1</v>
      </c>
      <c r="L53" s="438">
        <v>12</v>
      </c>
      <c r="M53" s="46">
        <v>3876600</v>
      </c>
      <c r="N53" s="88">
        <v>153000</v>
      </c>
      <c r="O53" s="88"/>
      <c r="P53" s="88">
        <v>188934.24</v>
      </c>
      <c r="Q53" s="46"/>
      <c r="R53" s="46">
        <f t="shared" si="5"/>
        <v>4218534.24</v>
      </c>
      <c r="S53" s="46">
        <f>+SETAHUN!J53</f>
        <v>4026600</v>
      </c>
      <c r="T53" s="46">
        <f>+SETAHUN!L53</f>
        <v>200000</v>
      </c>
      <c r="U53" s="46"/>
      <c r="V53" s="46">
        <f>+SETAHUN!G53+M53+N53</f>
        <v>45460886.160000004</v>
      </c>
      <c r="W53" s="46"/>
      <c r="X53" s="46">
        <f>+SETAHUN!W53+P53</f>
        <v>2264404.08</v>
      </c>
      <c r="Y53" s="46">
        <v>0</v>
      </c>
      <c r="Z53" s="46">
        <v>0</v>
      </c>
      <c r="AA53" s="46">
        <f t="shared" si="20"/>
        <v>4226600</v>
      </c>
      <c r="AB53" s="46">
        <f t="shared" si="21"/>
        <v>51951890.240000002</v>
      </c>
      <c r="AC53" s="46">
        <f t="shared" si="22"/>
        <v>2597595</v>
      </c>
      <c r="AD53" s="46">
        <f>('ASTEK 2% -DIISI SMPAI DESEMBER'!O171+'ASTEK 2% -DIISI SMPAI DESEMBER'!O52)</f>
        <v>1399968</v>
      </c>
      <c r="AE53" s="46">
        <f t="shared" si="23"/>
        <v>47954327.240000002</v>
      </c>
      <c r="AF53" s="88">
        <f t="shared" si="27"/>
        <v>63000000</v>
      </c>
      <c r="AG53" s="88">
        <f t="shared" si="9"/>
        <v>0</v>
      </c>
      <c r="AH53" s="439">
        <f t="shared" si="28"/>
        <v>0</v>
      </c>
      <c r="AI53" s="439">
        <f t="shared" si="29"/>
        <v>0</v>
      </c>
      <c r="AJ53" s="88">
        <f>+'PAJAK JAN-NOV'!R50</f>
        <v>81084</v>
      </c>
      <c r="AK53" s="410">
        <f t="shared" si="30"/>
        <v>0</v>
      </c>
      <c r="AL53" s="32" t="str">
        <f>+'PAJAK JAN-NOV'!B50</f>
        <v>BASTIAR</v>
      </c>
      <c r="AM53" s="33">
        <f t="shared" si="12"/>
        <v>81084</v>
      </c>
      <c r="AN53" s="32"/>
      <c r="AO53" s="33"/>
      <c r="AP53" s="32"/>
      <c r="AQ53" s="32"/>
    </row>
    <row r="54" spans="2:43" s="201" customFormat="1" ht="15" customHeight="1">
      <c r="B54" s="196">
        <v>49</v>
      </c>
      <c r="C54" s="197" t="str">
        <f>+PERBULAN!B54</f>
        <v>ADIYANSA</v>
      </c>
      <c r="D54" s="203" t="s">
        <v>612</v>
      </c>
      <c r="E54" s="43" t="s">
        <v>73</v>
      </c>
      <c r="F54" s="454" t="s">
        <v>613</v>
      </c>
      <c r="G54" s="454" t="s">
        <v>88</v>
      </c>
      <c r="H54" s="441" t="s">
        <v>39</v>
      </c>
      <c r="I54" s="436" t="s">
        <v>9</v>
      </c>
      <c r="J54" s="436" t="str">
        <f t="shared" si="19"/>
        <v>TER B</v>
      </c>
      <c r="K54" s="437">
        <v>1</v>
      </c>
      <c r="L54" s="438">
        <v>12</v>
      </c>
      <c r="M54" s="46">
        <v>3876600</v>
      </c>
      <c r="N54" s="88">
        <v>187500</v>
      </c>
      <c r="O54" s="88"/>
      <c r="P54" s="88">
        <v>188643.84</v>
      </c>
      <c r="Q54" s="46"/>
      <c r="R54" s="46">
        <f t="shared" si="5"/>
        <v>4252743.84</v>
      </c>
      <c r="S54" s="46">
        <f>+SETAHUN!J54</f>
        <v>4034100</v>
      </c>
      <c r="T54" s="46">
        <f>+SETAHUN!L54</f>
        <v>200000</v>
      </c>
      <c r="U54" s="46"/>
      <c r="V54" s="46">
        <f>+SETAHUN!G54+M54+N54</f>
        <v>48776318.159999996</v>
      </c>
      <c r="W54" s="46"/>
      <c r="X54" s="46">
        <f>+SETAHUN!W54+P54</f>
        <v>2262067.6799999997</v>
      </c>
      <c r="Y54" s="46">
        <v>0</v>
      </c>
      <c r="Z54" s="46">
        <v>0</v>
      </c>
      <c r="AA54" s="46">
        <f t="shared" si="20"/>
        <v>4234100</v>
      </c>
      <c r="AB54" s="46">
        <f t="shared" si="21"/>
        <v>55272485.839999996</v>
      </c>
      <c r="AC54" s="46">
        <f t="shared" si="22"/>
        <v>2763624</v>
      </c>
      <c r="AD54" s="46">
        <f>('ASTEK 2% -DIISI SMPAI DESEMBER'!O172+'ASTEK 2% -DIISI SMPAI DESEMBER'!O53)</f>
        <v>1399338</v>
      </c>
      <c r="AE54" s="46">
        <f t="shared" si="23"/>
        <v>51109523.839999996</v>
      </c>
      <c r="AF54" s="88">
        <f t="shared" si="27"/>
        <v>63000000</v>
      </c>
      <c r="AG54" s="88">
        <f t="shared" si="9"/>
        <v>0</v>
      </c>
      <c r="AH54" s="439">
        <f t="shared" si="28"/>
        <v>0</v>
      </c>
      <c r="AI54" s="439">
        <f t="shared" si="29"/>
        <v>0</v>
      </c>
      <c r="AJ54" s="88">
        <f>+'PAJAK JAN-NOV'!R51</f>
        <v>83904</v>
      </c>
      <c r="AK54" s="410">
        <f t="shared" si="30"/>
        <v>0</v>
      </c>
      <c r="AL54" s="32" t="str">
        <f>+'PAJAK JAN-NOV'!B51</f>
        <v>ADIYANSA</v>
      </c>
      <c r="AM54" s="33">
        <f t="shared" si="12"/>
        <v>83904</v>
      </c>
      <c r="AN54" s="32"/>
      <c r="AO54" s="33"/>
      <c r="AP54" s="32"/>
      <c r="AQ54" s="32"/>
    </row>
    <row r="55" spans="2:43" s="201" customFormat="1" ht="15" customHeight="1">
      <c r="B55" s="196">
        <v>50</v>
      </c>
      <c r="C55" s="197" t="str">
        <f>+PERBULAN!B55</f>
        <v>RUDI SETIAWAN</v>
      </c>
      <c r="D55" s="203" t="s">
        <v>614</v>
      </c>
      <c r="E55" s="43" t="s">
        <v>615</v>
      </c>
      <c r="F55" s="454" t="s">
        <v>616</v>
      </c>
      <c r="G55" s="454" t="s">
        <v>88</v>
      </c>
      <c r="H55" s="441" t="s">
        <v>39</v>
      </c>
      <c r="I55" s="436" t="s">
        <v>7</v>
      </c>
      <c r="J55" s="436" t="str">
        <f t="shared" si="19"/>
        <v>TER A</v>
      </c>
      <c r="K55" s="437">
        <v>1</v>
      </c>
      <c r="L55" s="438">
        <v>12</v>
      </c>
      <c r="M55" s="46">
        <v>3876600</v>
      </c>
      <c r="N55" s="88">
        <v>75000</v>
      </c>
      <c r="O55" s="88"/>
      <c r="P55" s="88">
        <v>187990.44</v>
      </c>
      <c r="Q55" s="46"/>
      <c r="R55" s="46">
        <f t="shared" si="5"/>
        <v>4139590.44</v>
      </c>
      <c r="S55" s="46">
        <f>+SETAHUN!J55</f>
        <v>3949100</v>
      </c>
      <c r="T55" s="46">
        <f>+SETAHUN!L55</f>
        <v>200000</v>
      </c>
      <c r="U55" s="46"/>
      <c r="V55" s="46">
        <f>+SETAHUN!G55+M55+N55</f>
        <v>46983815.160000004</v>
      </c>
      <c r="W55" s="46"/>
      <c r="X55" s="46">
        <f>+SETAHUN!W55+P55</f>
        <v>2254302.2799999998</v>
      </c>
      <c r="Y55" s="46">
        <v>0</v>
      </c>
      <c r="Z55" s="46">
        <v>0</v>
      </c>
      <c r="AA55" s="46">
        <f t="shared" si="20"/>
        <v>4149100</v>
      </c>
      <c r="AB55" s="46">
        <f t="shared" si="21"/>
        <v>53387217.440000005</v>
      </c>
      <c r="AC55" s="46">
        <f t="shared" si="22"/>
        <v>2669361</v>
      </c>
      <c r="AD55" s="46">
        <f>('ASTEK 2% -DIISI SMPAI DESEMBER'!O173+'ASTEK 2% -DIISI SMPAI DESEMBER'!O54)</f>
        <v>1396533</v>
      </c>
      <c r="AE55" s="46">
        <f t="shared" si="23"/>
        <v>49321323.440000005</v>
      </c>
      <c r="AF55" s="88">
        <f t="shared" si="27"/>
        <v>54000000</v>
      </c>
      <c r="AG55" s="88">
        <f t="shared" si="9"/>
        <v>0</v>
      </c>
      <c r="AH55" s="439">
        <f t="shared" si="28"/>
        <v>0</v>
      </c>
      <c r="AI55" s="439">
        <f t="shared" si="29"/>
        <v>0</v>
      </c>
      <c r="AJ55" s="88">
        <f>+'PAJAK JAN-NOV'!R52</f>
        <v>121290</v>
      </c>
      <c r="AK55" s="410">
        <f t="shared" si="30"/>
        <v>0</v>
      </c>
      <c r="AL55" s="32" t="str">
        <f>+'PAJAK JAN-NOV'!B52</f>
        <v>RUDI SETIAWAN</v>
      </c>
      <c r="AM55" s="33">
        <f t="shared" si="12"/>
        <v>121290</v>
      </c>
      <c r="AN55" s="32"/>
      <c r="AO55" s="33"/>
      <c r="AP55" s="32"/>
      <c r="AQ55" s="32"/>
    </row>
    <row r="56" spans="2:43" s="201" customFormat="1" ht="15" customHeight="1">
      <c r="B56" s="196">
        <v>51</v>
      </c>
      <c r="C56" s="197" t="str">
        <f>+PERBULAN!B56</f>
        <v>MARYANTO</v>
      </c>
      <c r="D56" s="203" t="s">
        <v>617</v>
      </c>
      <c r="E56" s="43" t="s">
        <v>618</v>
      </c>
      <c r="F56" s="454" t="s">
        <v>619</v>
      </c>
      <c r="G56" s="454" t="s">
        <v>88</v>
      </c>
      <c r="H56" s="441" t="s">
        <v>39</v>
      </c>
      <c r="I56" s="436" t="s">
        <v>17</v>
      </c>
      <c r="J56" s="436" t="str">
        <f t="shared" si="19"/>
        <v>TER A</v>
      </c>
      <c r="K56" s="437">
        <v>1</v>
      </c>
      <c r="L56" s="438">
        <v>12</v>
      </c>
      <c r="M56" s="46">
        <v>3876600</v>
      </c>
      <c r="N56" s="88">
        <v>161500</v>
      </c>
      <c r="O56" s="88"/>
      <c r="P56" s="88">
        <v>190071.64</v>
      </c>
      <c r="Q56" s="46"/>
      <c r="R56" s="46">
        <f t="shared" si="5"/>
        <v>4228171.6399999997</v>
      </c>
      <c r="S56" s="46">
        <f>+SETAHUN!J56</f>
        <v>4034600</v>
      </c>
      <c r="T56" s="46">
        <f>+SETAHUN!L56</f>
        <v>200000</v>
      </c>
      <c r="U56" s="46"/>
      <c r="V56" s="46">
        <f>+SETAHUN!G56+M56+N56</f>
        <v>48766966.359999992</v>
      </c>
      <c r="W56" s="46"/>
      <c r="X56" s="46">
        <f>+SETAHUN!W56+P56</f>
        <v>2276966.2800000003</v>
      </c>
      <c r="Y56" s="46">
        <v>0</v>
      </c>
      <c r="Z56" s="46">
        <v>0</v>
      </c>
      <c r="AA56" s="46">
        <f t="shared" si="20"/>
        <v>4234600</v>
      </c>
      <c r="AB56" s="46">
        <f t="shared" si="21"/>
        <v>55278532.639999993</v>
      </c>
      <c r="AC56" s="46">
        <f t="shared" si="22"/>
        <v>2763927</v>
      </c>
      <c r="AD56" s="46">
        <f>('ASTEK 2% -DIISI SMPAI DESEMBER'!O174+'ASTEK 2% -DIISI SMPAI DESEMBER'!O55)</f>
        <v>1404333</v>
      </c>
      <c r="AE56" s="46">
        <f t="shared" si="23"/>
        <v>51110272.639999993</v>
      </c>
      <c r="AF56" s="88">
        <f t="shared" si="27"/>
        <v>58500000</v>
      </c>
      <c r="AG56" s="88">
        <f t="shared" si="9"/>
        <v>0</v>
      </c>
      <c r="AH56" s="439">
        <f t="shared" si="28"/>
        <v>0</v>
      </c>
      <c r="AI56" s="439">
        <f t="shared" si="29"/>
        <v>0</v>
      </c>
      <c r="AJ56" s="88">
        <f>+'PAJAK JAN-NOV'!R53</f>
        <v>125874</v>
      </c>
      <c r="AK56" s="410">
        <f t="shared" si="30"/>
        <v>0</v>
      </c>
      <c r="AL56" s="32" t="str">
        <f>+'PAJAK JAN-NOV'!B53</f>
        <v>MARYANTO</v>
      </c>
      <c r="AM56" s="33">
        <f t="shared" si="12"/>
        <v>125874</v>
      </c>
      <c r="AN56" s="32"/>
      <c r="AO56" s="33"/>
      <c r="AP56" s="32"/>
      <c r="AQ56" s="32"/>
    </row>
    <row r="57" spans="2:43" s="201" customFormat="1" ht="15" customHeight="1">
      <c r="B57" s="196">
        <v>52</v>
      </c>
      <c r="C57" s="197" t="str">
        <f>+PERBULAN!B57</f>
        <v>SRI REJEKI</v>
      </c>
      <c r="D57" s="203" t="s">
        <v>620</v>
      </c>
      <c r="E57" s="43" t="s">
        <v>621</v>
      </c>
      <c r="F57" s="454" t="s">
        <v>235</v>
      </c>
      <c r="G57" s="454" t="s">
        <v>88</v>
      </c>
      <c r="H57" s="441" t="s">
        <v>38</v>
      </c>
      <c r="I57" s="436" t="s">
        <v>7</v>
      </c>
      <c r="J57" s="436" t="str">
        <f t="shared" si="19"/>
        <v>TER A</v>
      </c>
      <c r="K57" s="437">
        <v>1</v>
      </c>
      <c r="L57" s="438">
        <v>12</v>
      </c>
      <c r="M57" s="46">
        <v>4005820</v>
      </c>
      <c r="N57" s="88">
        <v>127250</v>
      </c>
      <c r="O57" s="88"/>
      <c r="P57" s="88">
        <v>190410.44</v>
      </c>
      <c r="Q57" s="46"/>
      <c r="R57" s="46">
        <f t="shared" si="5"/>
        <v>4323480.4400000004</v>
      </c>
      <c r="S57" s="46">
        <f>+SETAHUN!J57</f>
        <v>3998100</v>
      </c>
      <c r="T57" s="46">
        <f>+SETAHUN!L57</f>
        <v>200000</v>
      </c>
      <c r="U57" s="46"/>
      <c r="V57" s="46">
        <f>+SETAHUN!G57+M57+N57</f>
        <v>48382106.360000007</v>
      </c>
      <c r="W57" s="46"/>
      <c r="X57" s="46">
        <f>+SETAHUN!W57+P57</f>
        <v>2280679.08</v>
      </c>
      <c r="Y57" s="46">
        <v>0</v>
      </c>
      <c r="Z57" s="46">
        <v>0</v>
      </c>
      <c r="AA57" s="46">
        <f t="shared" si="20"/>
        <v>4198100</v>
      </c>
      <c r="AB57" s="46">
        <f t="shared" si="21"/>
        <v>54860885.440000005</v>
      </c>
      <c r="AC57" s="46">
        <f t="shared" si="22"/>
        <v>2743044</v>
      </c>
      <c r="AD57" s="46">
        <f>('ASTEK 2% -DIISI SMPAI DESEMBER'!O175+'ASTEK 2% -DIISI SMPAI DESEMBER'!O56)</f>
        <v>1405593</v>
      </c>
      <c r="AE57" s="46">
        <f t="shared" si="23"/>
        <v>50712248.440000005</v>
      </c>
      <c r="AF57" s="88">
        <f t="shared" si="27"/>
        <v>54000000</v>
      </c>
      <c r="AG57" s="88">
        <f t="shared" si="9"/>
        <v>0</v>
      </c>
      <c r="AH57" s="439">
        <f t="shared" si="28"/>
        <v>0</v>
      </c>
      <c r="AI57" s="439">
        <f t="shared" si="29"/>
        <v>0</v>
      </c>
      <c r="AJ57" s="88">
        <f>+'PAJAK JAN-NOV'!R54</f>
        <v>124762</v>
      </c>
      <c r="AK57" s="410">
        <f t="shared" si="30"/>
        <v>0</v>
      </c>
      <c r="AL57" s="32" t="str">
        <f>+'PAJAK JAN-NOV'!B54</f>
        <v>SRI REJEKI</v>
      </c>
      <c r="AM57" s="33">
        <f t="shared" si="12"/>
        <v>124762</v>
      </c>
      <c r="AN57" s="32"/>
      <c r="AO57" s="33"/>
      <c r="AP57" s="32"/>
      <c r="AQ57" s="32"/>
    </row>
    <row r="58" spans="2:43" s="201" customFormat="1" ht="15" customHeight="1">
      <c r="B58" s="196">
        <v>53</v>
      </c>
      <c r="C58" s="197" t="str">
        <f>+PERBULAN!B58</f>
        <v>SARTIKA</v>
      </c>
      <c r="D58" s="203" t="s">
        <v>622</v>
      </c>
      <c r="E58" s="43" t="s">
        <v>623</v>
      </c>
      <c r="F58" s="454" t="s">
        <v>247</v>
      </c>
      <c r="G58" s="454" t="s">
        <v>88</v>
      </c>
      <c r="H58" s="441" t="s">
        <v>38</v>
      </c>
      <c r="I58" s="436" t="s">
        <v>7</v>
      </c>
      <c r="J58" s="436" t="str">
        <f t="shared" si="19"/>
        <v>TER A</v>
      </c>
      <c r="K58" s="437">
        <v>1</v>
      </c>
      <c r="L58" s="438">
        <v>12</v>
      </c>
      <c r="M58" s="46">
        <v>4005820</v>
      </c>
      <c r="N58" s="88">
        <v>120250</v>
      </c>
      <c r="O58" s="88"/>
      <c r="P58" s="88">
        <v>190071.64</v>
      </c>
      <c r="Q58" s="46"/>
      <c r="R58" s="46">
        <f t="shared" si="5"/>
        <v>4316141.6399999997</v>
      </c>
      <c r="S58" s="46">
        <f>+SETAHUN!J58</f>
        <v>3991100</v>
      </c>
      <c r="T58" s="46">
        <f>+SETAHUN!L58</f>
        <v>200000</v>
      </c>
      <c r="U58" s="46"/>
      <c r="V58" s="46">
        <f>+SETAHUN!G58+M58+N58</f>
        <v>48561047.359999992</v>
      </c>
      <c r="W58" s="46"/>
      <c r="X58" s="46">
        <f>+SETAHUN!W58+P58</f>
        <v>2276966.2800000003</v>
      </c>
      <c r="Y58" s="46">
        <v>0</v>
      </c>
      <c r="Z58" s="46">
        <v>0</v>
      </c>
      <c r="AA58" s="46">
        <f t="shared" si="20"/>
        <v>4191100</v>
      </c>
      <c r="AB58" s="46">
        <f t="shared" si="21"/>
        <v>55029113.639999993</v>
      </c>
      <c r="AC58" s="46">
        <f t="shared" si="22"/>
        <v>2751456</v>
      </c>
      <c r="AD58" s="46">
        <f>('ASTEK 2% -DIISI SMPAI DESEMBER'!O176+'ASTEK 2% -DIISI SMPAI DESEMBER'!O57)</f>
        <v>1404333</v>
      </c>
      <c r="AE58" s="46">
        <f t="shared" si="23"/>
        <v>50873324.639999993</v>
      </c>
      <c r="AF58" s="88">
        <f t="shared" si="27"/>
        <v>54000000</v>
      </c>
      <c r="AG58" s="88">
        <f t="shared" si="9"/>
        <v>0</v>
      </c>
      <c r="AH58" s="439">
        <f t="shared" si="28"/>
        <v>0</v>
      </c>
      <c r="AI58" s="439">
        <f t="shared" si="29"/>
        <v>0</v>
      </c>
      <c r="AJ58" s="88">
        <f>+'PAJAK JAN-NOV'!R55</f>
        <v>124548</v>
      </c>
      <c r="AK58" s="410">
        <f t="shared" si="30"/>
        <v>0</v>
      </c>
      <c r="AL58" s="32" t="str">
        <f>+'PAJAK JAN-NOV'!B55</f>
        <v>SARTIKA</v>
      </c>
      <c r="AM58" s="33">
        <f t="shared" si="12"/>
        <v>124548</v>
      </c>
      <c r="AN58" s="32"/>
      <c r="AO58" s="33"/>
      <c r="AP58" s="32"/>
      <c r="AQ58" s="32"/>
    </row>
    <row r="59" spans="2:43" s="201" customFormat="1" ht="15" customHeight="1">
      <c r="B59" s="196">
        <v>54</v>
      </c>
      <c r="C59" s="197" t="str">
        <f>+PERBULAN!B59</f>
        <v>MIRNA</v>
      </c>
      <c r="D59" s="203" t="s">
        <v>624</v>
      </c>
      <c r="E59" s="43" t="s">
        <v>625</v>
      </c>
      <c r="F59" s="454" t="s">
        <v>282</v>
      </c>
      <c r="G59" s="454" t="s">
        <v>88</v>
      </c>
      <c r="H59" s="441" t="s">
        <v>38</v>
      </c>
      <c r="I59" s="436" t="s">
        <v>7</v>
      </c>
      <c r="J59" s="436" t="str">
        <f t="shared" si="19"/>
        <v>TER A</v>
      </c>
      <c r="K59" s="437">
        <v>1</v>
      </c>
      <c r="L59" s="438">
        <v>12</v>
      </c>
      <c r="M59" s="46">
        <v>3876600</v>
      </c>
      <c r="N59" s="88">
        <v>104000</v>
      </c>
      <c r="O59" s="88"/>
      <c r="P59" s="88">
        <v>189394.04</v>
      </c>
      <c r="Q59" s="46"/>
      <c r="R59" s="46">
        <f t="shared" si="5"/>
        <v>4169994.04</v>
      </c>
      <c r="S59" s="46">
        <f>+SETAHUN!J59</f>
        <v>3977100</v>
      </c>
      <c r="T59" s="46">
        <f>+SETAHUN!L59</f>
        <v>200000</v>
      </c>
      <c r="U59" s="46"/>
      <c r="V59" s="46">
        <f>+SETAHUN!G59+M59+N59</f>
        <v>46296527.560000002</v>
      </c>
      <c r="W59" s="46"/>
      <c r="X59" s="46">
        <f>+SETAHUN!W59+P59</f>
        <v>2269879.48</v>
      </c>
      <c r="Y59" s="46">
        <v>0</v>
      </c>
      <c r="Z59" s="46">
        <v>0</v>
      </c>
      <c r="AA59" s="46">
        <f t="shared" si="20"/>
        <v>4177100</v>
      </c>
      <c r="AB59" s="46">
        <f t="shared" si="21"/>
        <v>52743507.039999999</v>
      </c>
      <c r="AC59" s="46">
        <f t="shared" si="22"/>
        <v>2637175</v>
      </c>
      <c r="AD59" s="46">
        <f>('ASTEK 2% -DIISI SMPAI DESEMBER'!O177+'ASTEK 2% -DIISI SMPAI DESEMBER'!O58)</f>
        <v>1402023</v>
      </c>
      <c r="AE59" s="46">
        <f t="shared" si="23"/>
        <v>48704309.039999999</v>
      </c>
      <c r="AF59" s="88">
        <f t="shared" si="27"/>
        <v>54000000</v>
      </c>
      <c r="AG59" s="88">
        <f t="shared" si="9"/>
        <v>0</v>
      </c>
      <c r="AH59" s="439">
        <f t="shared" si="28"/>
        <v>0</v>
      </c>
      <c r="AI59" s="439">
        <f t="shared" si="29"/>
        <v>0</v>
      </c>
      <c r="AJ59" s="88">
        <f>+'PAJAK JAN-NOV'!R56</f>
        <v>124119</v>
      </c>
      <c r="AK59" s="410">
        <f t="shared" si="30"/>
        <v>0</v>
      </c>
      <c r="AL59" s="32" t="str">
        <f>+'PAJAK JAN-NOV'!B56</f>
        <v>MIRNA</v>
      </c>
      <c r="AM59" s="33">
        <f t="shared" si="12"/>
        <v>124119</v>
      </c>
      <c r="AN59" s="32"/>
      <c r="AO59" s="33"/>
      <c r="AP59" s="32"/>
      <c r="AQ59" s="32"/>
    </row>
    <row r="60" spans="2:43" s="201" customFormat="1" ht="15" customHeight="1">
      <c r="B60" s="196">
        <v>55</v>
      </c>
      <c r="C60" s="197" t="str">
        <f>+PERBULAN!B60</f>
        <v>ROZATI</v>
      </c>
      <c r="D60" s="203" t="s">
        <v>626</v>
      </c>
      <c r="E60" s="43" t="s">
        <v>73</v>
      </c>
      <c r="F60" s="454" t="s">
        <v>282</v>
      </c>
      <c r="G60" s="454" t="s">
        <v>88</v>
      </c>
      <c r="H60" s="441" t="s">
        <v>38</v>
      </c>
      <c r="I60" s="436" t="s">
        <v>7</v>
      </c>
      <c r="J60" s="436" t="str">
        <f t="shared" si="19"/>
        <v>TER A</v>
      </c>
      <c r="K60" s="437">
        <v>1</v>
      </c>
      <c r="L60" s="438">
        <v>12</v>
      </c>
      <c r="M60" s="46">
        <v>3876600</v>
      </c>
      <c r="N60" s="88">
        <v>88500</v>
      </c>
      <c r="O60" s="88"/>
      <c r="P60" s="88">
        <v>188643.84</v>
      </c>
      <c r="Q60" s="46"/>
      <c r="R60" s="46">
        <f t="shared" si="5"/>
        <v>4153743.84</v>
      </c>
      <c r="S60" s="46">
        <f>+SETAHUN!J60</f>
        <v>3962100</v>
      </c>
      <c r="T60" s="46">
        <f>+SETAHUN!L60</f>
        <v>200000</v>
      </c>
      <c r="U60" s="46"/>
      <c r="V60" s="46">
        <f>+SETAHUN!G60+M60+N60</f>
        <v>46642908.159999996</v>
      </c>
      <c r="W60" s="46"/>
      <c r="X60" s="46">
        <f>+SETAHUN!W60+P60</f>
        <v>2261947.6799999997</v>
      </c>
      <c r="Y60" s="46">
        <v>0</v>
      </c>
      <c r="Z60" s="46">
        <v>0</v>
      </c>
      <c r="AA60" s="46">
        <f t="shared" si="20"/>
        <v>4162100</v>
      </c>
      <c r="AB60" s="46">
        <f t="shared" si="21"/>
        <v>53066955.839999996</v>
      </c>
      <c r="AC60" s="46">
        <f t="shared" si="22"/>
        <v>2653348</v>
      </c>
      <c r="AD60" s="46">
        <f>('ASTEK 2% -DIISI SMPAI DESEMBER'!O178+'ASTEK 2% -DIISI SMPAI DESEMBER'!O59)</f>
        <v>1399338</v>
      </c>
      <c r="AE60" s="46">
        <f t="shared" si="23"/>
        <v>49014269.839999996</v>
      </c>
      <c r="AF60" s="88">
        <f t="shared" si="27"/>
        <v>54000000</v>
      </c>
      <c r="AG60" s="88">
        <f t="shared" si="9"/>
        <v>0</v>
      </c>
      <c r="AH60" s="439">
        <f t="shared" si="28"/>
        <v>0</v>
      </c>
      <c r="AI60" s="439">
        <f t="shared" si="29"/>
        <v>0</v>
      </c>
      <c r="AJ60" s="88">
        <f>+'PAJAK JAN-NOV'!R57</f>
        <v>121688</v>
      </c>
      <c r="AK60" s="410">
        <f t="shared" si="30"/>
        <v>0</v>
      </c>
      <c r="AL60" s="32" t="str">
        <f>+'PAJAK JAN-NOV'!B57</f>
        <v>ROZATI</v>
      </c>
      <c r="AM60" s="33">
        <f t="shared" si="12"/>
        <v>121688</v>
      </c>
      <c r="AN60" s="32"/>
      <c r="AO60" s="33"/>
      <c r="AP60" s="32"/>
      <c r="AQ60" s="32"/>
    </row>
    <row r="61" spans="2:43" s="201" customFormat="1" ht="15" customHeight="1">
      <c r="B61" s="196">
        <v>56</v>
      </c>
      <c r="C61" s="197" t="str">
        <f>+PERBULAN!B61</f>
        <v>SAHWEDI</v>
      </c>
      <c r="D61" s="203" t="s">
        <v>627</v>
      </c>
      <c r="E61" s="43" t="s">
        <v>73</v>
      </c>
      <c r="F61" s="454" t="s">
        <v>628</v>
      </c>
      <c r="G61" s="454" t="s">
        <v>88</v>
      </c>
      <c r="H61" s="441" t="s">
        <v>39</v>
      </c>
      <c r="I61" s="436" t="s">
        <v>7</v>
      </c>
      <c r="J61" s="436" t="str">
        <f t="shared" si="19"/>
        <v>TER A</v>
      </c>
      <c r="K61" s="437">
        <v>1</v>
      </c>
      <c r="L61" s="438">
        <v>12</v>
      </c>
      <c r="M61" s="46">
        <v>4005820</v>
      </c>
      <c r="N61" s="88">
        <v>122200</v>
      </c>
      <c r="O61" s="88"/>
      <c r="P61" s="88">
        <v>187990.44</v>
      </c>
      <c r="Q61" s="46"/>
      <c r="R61" s="46">
        <f t="shared" si="5"/>
        <v>4316010.4400000004</v>
      </c>
      <c r="S61" s="46">
        <f>+SETAHUN!J61</f>
        <v>3951600</v>
      </c>
      <c r="T61" s="46">
        <f>+SETAHUN!L61</f>
        <v>200000</v>
      </c>
      <c r="U61" s="46"/>
      <c r="V61" s="46">
        <f>+SETAHUN!G61+M61+N61</f>
        <v>47489714.160000004</v>
      </c>
      <c r="W61" s="46"/>
      <c r="X61" s="46">
        <f>+SETAHUN!W61+P61</f>
        <v>2255307.2799999998</v>
      </c>
      <c r="Y61" s="46">
        <v>0</v>
      </c>
      <c r="Z61" s="46">
        <v>0</v>
      </c>
      <c r="AA61" s="46">
        <f t="shared" si="20"/>
        <v>4151600</v>
      </c>
      <c r="AB61" s="46">
        <f t="shared" si="21"/>
        <v>53896621.440000005</v>
      </c>
      <c r="AC61" s="46">
        <f t="shared" si="22"/>
        <v>2694831</v>
      </c>
      <c r="AD61" s="46">
        <f>('ASTEK 2% -DIISI SMPAI DESEMBER'!O179+'ASTEK 2% -DIISI SMPAI DESEMBER'!O60)</f>
        <v>1396908</v>
      </c>
      <c r="AE61" s="46">
        <f t="shared" si="23"/>
        <v>49804882.440000005</v>
      </c>
      <c r="AF61" s="88">
        <f t="shared" si="27"/>
        <v>54000000</v>
      </c>
      <c r="AG61" s="88">
        <f t="shared" si="9"/>
        <v>0</v>
      </c>
      <c r="AH61" s="439">
        <f t="shared" si="28"/>
        <v>0</v>
      </c>
      <c r="AI61" s="439">
        <f t="shared" si="29"/>
        <v>0</v>
      </c>
      <c r="AJ61" s="88">
        <f>+'PAJAK JAN-NOV'!R58</f>
        <v>121367</v>
      </c>
      <c r="AK61" s="410">
        <f t="shared" si="30"/>
        <v>0</v>
      </c>
      <c r="AL61" s="32" t="str">
        <f>+'PAJAK JAN-NOV'!B58</f>
        <v>SAHWEDI</v>
      </c>
      <c r="AM61" s="33">
        <f t="shared" si="12"/>
        <v>121367</v>
      </c>
      <c r="AN61" s="32"/>
      <c r="AO61" s="33"/>
      <c r="AP61" s="32"/>
      <c r="AQ61" s="32"/>
    </row>
    <row r="62" spans="2:43" s="201" customFormat="1" ht="15" customHeight="1">
      <c r="B62" s="196">
        <v>57</v>
      </c>
      <c r="C62" s="197" t="str">
        <f>+PERBULAN!B62</f>
        <v>RUKMAN</v>
      </c>
      <c r="D62" s="203" t="s">
        <v>629</v>
      </c>
      <c r="E62" s="43" t="s">
        <v>630</v>
      </c>
      <c r="F62" s="454" t="s">
        <v>611</v>
      </c>
      <c r="G62" s="454" t="s">
        <v>88</v>
      </c>
      <c r="H62" s="441" t="s">
        <v>39</v>
      </c>
      <c r="I62" s="436" t="s">
        <v>11</v>
      </c>
      <c r="J62" s="436" t="str">
        <f t="shared" si="19"/>
        <v>TER B</v>
      </c>
      <c r="K62" s="437">
        <v>1</v>
      </c>
      <c r="L62" s="438">
        <v>12</v>
      </c>
      <c r="M62" s="46">
        <v>3876600</v>
      </c>
      <c r="N62" s="88">
        <v>213500</v>
      </c>
      <c r="O62" s="88"/>
      <c r="P62" s="88">
        <v>189902.24</v>
      </c>
      <c r="Q62" s="46"/>
      <c r="R62" s="46">
        <f t="shared" si="5"/>
        <v>4280002.24</v>
      </c>
      <c r="S62" s="46">
        <f>+SETAHUN!J62</f>
        <v>4090100</v>
      </c>
      <c r="T62" s="46">
        <f>+SETAHUN!L62</f>
        <v>200000</v>
      </c>
      <c r="U62" s="46"/>
      <c r="V62" s="46">
        <f>+SETAHUN!G62+M62+N62</f>
        <v>48941926.159999989</v>
      </c>
      <c r="W62" s="46"/>
      <c r="X62" s="46">
        <f>+SETAHUN!W62+P62</f>
        <v>2276458.08</v>
      </c>
      <c r="Y62" s="46">
        <v>0</v>
      </c>
      <c r="Z62" s="46">
        <v>0</v>
      </c>
      <c r="AA62" s="46">
        <f t="shared" si="20"/>
        <v>4290100</v>
      </c>
      <c r="AB62" s="46">
        <f t="shared" si="21"/>
        <v>55508484.239999987</v>
      </c>
      <c r="AC62" s="46">
        <f t="shared" si="22"/>
        <v>2775424</v>
      </c>
      <c r="AD62" s="46">
        <f>('ASTEK 2% -DIISI SMPAI DESEMBER'!O180+'ASTEK 2% -DIISI SMPAI DESEMBER'!O61)</f>
        <v>1404018</v>
      </c>
      <c r="AE62" s="46">
        <f t="shared" si="23"/>
        <v>51329042.239999987</v>
      </c>
      <c r="AF62" s="88">
        <f t="shared" si="27"/>
        <v>67500000</v>
      </c>
      <c r="AG62" s="88">
        <f t="shared" si="9"/>
        <v>0</v>
      </c>
      <c r="AH62" s="439">
        <f t="shared" si="28"/>
        <v>0</v>
      </c>
      <c r="AI62" s="439">
        <f t="shared" si="29"/>
        <v>0</v>
      </c>
      <c r="AJ62" s="88">
        <f>+'PAJAK JAN-NOV'!R59</f>
        <v>85045</v>
      </c>
      <c r="AK62" s="410">
        <f t="shared" si="30"/>
        <v>0</v>
      </c>
      <c r="AL62" s="32" t="str">
        <f>+'PAJAK JAN-NOV'!B59</f>
        <v>RUKMAN</v>
      </c>
      <c r="AM62" s="33">
        <f t="shared" si="12"/>
        <v>85045</v>
      </c>
      <c r="AN62" s="32"/>
      <c r="AO62" s="33"/>
      <c r="AP62" s="32"/>
      <c r="AQ62" s="32"/>
    </row>
    <row r="63" spans="2:43" s="201" customFormat="1" ht="15" customHeight="1">
      <c r="B63" s="196">
        <v>58</v>
      </c>
      <c r="C63" s="197" t="str">
        <f>+PERBULAN!B63</f>
        <v>AGUSTIONO</v>
      </c>
      <c r="D63" s="203" t="s">
        <v>631</v>
      </c>
      <c r="E63" s="43" t="s">
        <v>632</v>
      </c>
      <c r="F63" s="454" t="s">
        <v>633</v>
      </c>
      <c r="G63" s="454" t="s">
        <v>88</v>
      </c>
      <c r="H63" s="441" t="s">
        <v>39</v>
      </c>
      <c r="I63" s="436" t="s">
        <v>11</v>
      </c>
      <c r="J63" s="436" t="str">
        <f t="shared" si="19"/>
        <v>TER B</v>
      </c>
      <c r="K63" s="437">
        <v>1</v>
      </c>
      <c r="L63" s="438">
        <v>12</v>
      </c>
      <c r="M63" s="46">
        <v>4005820</v>
      </c>
      <c r="N63" s="88">
        <v>222550</v>
      </c>
      <c r="O63" s="88"/>
      <c r="P63" s="88">
        <v>190071.64</v>
      </c>
      <c r="Q63" s="46"/>
      <c r="R63" s="46">
        <f t="shared" si="5"/>
        <v>4418441.6399999997</v>
      </c>
      <c r="S63" s="46">
        <f>+SETAHUN!J63</f>
        <v>4093600</v>
      </c>
      <c r="T63" s="46">
        <f>+SETAHUN!L63</f>
        <v>200000</v>
      </c>
      <c r="U63" s="46"/>
      <c r="V63" s="46">
        <f>+SETAHUN!G63+M63+N63</f>
        <v>49522859.159999996</v>
      </c>
      <c r="W63" s="46"/>
      <c r="X63" s="46">
        <f>+SETAHUN!W63+P63</f>
        <v>2278314.48</v>
      </c>
      <c r="Y63" s="46">
        <v>0</v>
      </c>
      <c r="Z63" s="46">
        <v>0</v>
      </c>
      <c r="AA63" s="46">
        <f t="shared" si="20"/>
        <v>4293600</v>
      </c>
      <c r="AB63" s="46">
        <f t="shared" si="21"/>
        <v>56094773.639999993</v>
      </c>
      <c r="AC63" s="46">
        <f t="shared" si="22"/>
        <v>2804739</v>
      </c>
      <c r="AD63" s="46">
        <f>('ASTEK 2% -DIISI SMPAI DESEMBER'!O181+'ASTEK 2% -DIISI SMPAI DESEMBER'!O62)</f>
        <v>1404648</v>
      </c>
      <c r="AE63" s="46">
        <f t="shared" si="23"/>
        <v>51885386.639999993</v>
      </c>
      <c r="AF63" s="88">
        <f t="shared" si="27"/>
        <v>67500000</v>
      </c>
      <c r="AG63" s="88">
        <f t="shared" si="9"/>
        <v>0</v>
      </c>
      <c r="AH63" s="439">
        <f t="shared" si="28"/>
        <v>0</v>
      </c>
      <c r="AI63" s="439">
        <f t="shared" si="29"/>
        <v>0</v>
      </c>
      <c r="AJ63" s="88">
        <f>+'PAJAK JAN-NOV'!R60</f>
        <v>85116</v>
      </c>
      <c r="AK63" s="410">
        <f t="shared" si="30"/>
        <v>0</v>
      </c>
      <c r="AL63" s="32" t="str">
        <f>+'PAJAK JAN-NOV'!B60</f>
        <v>AGUSTIONO</v>
      </c>
      <c r="AM63" s="33">
        <f t="shared" si="12"/>
        <v>85116</v>
      </c>
      <c r="AN63" s="32"/>
      <c r="AO63" s="33"/>
      <c r="AP63" s="32"/>
      <c r="AQ63" s="32"/>
    </row>
    <row r="64" spans="2:43" s="201" customFormat="1" ht="15" customHeight="1">
      <c r="B64" s="196">
        <v>59</v>
      </c>
      <c r="C64" s="197" t="str">
        <f>+PERBULAN!B64</f>
        <v>TONGAM PARNINGTON SAMOSIR</v>
      </c>
      <c r="D64" s="203" t="s">
        <v>634</v>
      </c>
      <c r="E64" s="43" t="s">
        <v>635</v>
      </c>
      <c r="F64" s="454" t="s">
        <v>636</v>
      </c>
      <c r="G64" s="454" t="s">
        <v>88</v>
      </c>
      <c r="H64" s="441" t="s">
        <v>39</v>
      </c>
      <c r="I64" s="436" t="s">
        <v>12</v>
      </c>
      <c r="J64" s="436" t="str">
        <f t="shared" si="19"/>
        <v>TER C</v>
      </c>
      <c r="K64" s="437">
        <v>1</v>
      </c>
      <c r="L64" s="438">
        <v>12</v>
      </c>
      <c r="M64" s="46">
        <v>3747380</v>
      </c>
      <c r="N64" s="88">
        <v>204450</v>
      </c>
      <c r="O64" s="88">
        <v>4086600</v>
      </c>
      <c r="P64" s="88">
        <v>189732.84</v>
      </c>
      <c r="Q64" s="46"/>
      <c r="R64" s="46">
        <f t="shared" si="5"/>
        <v>8228162.8399999999</v>
      </c>
      <c r="S64" s="46">
        <f>+O64</f>
        <v>4086600</v>
      </c>
      <c r="T64" s="46">
        <f>+SETAHUN!L64</f>
        <v>200000</v>
      </c>
      <c r="U64" s="46"/>
      <c r="V64" s="46">
        <f>+SETAHUN!G64+M64+N64</f>
        <v>46373314.760000005</v>
      </c>
      <c r="W64" s="46"/>
      <c r="X64" s="46">
        <f>+SETAHUN!W64+P64</f>
        <v>2273084.08</v>
      </c>
      <c r="Y64" s="46">
        <v>0</v>
      </c>
      <c r="Z64" s="46">
        <v>0</v>
      </c>
      <c r="AA64" s="46">
        <f t="shared" si="20"/>
        <v>4286600</v>
      </c>
      <c r="AB64" s="46">
        <f t="shared" si="21"/>
        <v>52932998.840000004</v>
      </c>
      <c r="AC64" s="46">
        <f t="shared" si="22"/>
        <v>2646650</v>
      </c>
      <c r="AD64" s="46">
        <f>('ASTEK 2% -DIISI SMPAI DESEMBER'!O182+'ASTEK 2% -DIISI SMPAI DESEMBER'!O63)</f>
        <v>1402968</v>
      </c>
      <c r="AE64" s="46">
        <f t="shared" si="23"/>
        <v>48883380.840000004</v>
      </c>
      <c r="AF64" s="88">
        <f t="shared" si="27"/>
        <v>72000000</v>
      </c>
      <c r="AG64" s="88">
        <f t="shared" si="9"/>
        <v>0</v>
      </c>
      <c r="AH64" s="439">
        <f t="shared" si="28"/>
        <v>0</v>
      </c>
      <c r="AI64" s="439">
        <f t="shared" si="29"/>
        <v>0</v>
      </c>
      <c r="AJ64" s="88">
        <f>+'PAJAK JAN-NOV'!R61</f>
        <v>0</v>
      </c>
      <c r="AK64" s="410">
        <f t="shared" si="30"/>
        <v>0</v>
      </c>
      <c r="AL64" s="32" t="str">
        <f>+'PAJAK JAN-NOV'!B61</f>
        <v>TONGAM PARNINGTON SAMOSIR</v>
      </c>
      <c r="AM64" s="33">
        <f t="shared" si="12"/>
        <v>0</v>
      </c>
      <c r="AN64" s="32"/>
      <c r="AO64" s="33"/>
      <c r="AP64" s="32"/>
      <c r="AQ64" s="32"/>
    </row>
    <row r="65" spans="1:43" s="201" customFormat="1" ht="15" customHeight="1">
      <c r="B65" s="196">
        <v>60</v>
      </c>
      <c r="C65" s="197" t="str">
        <f>+PERBULAN!B65</f>
        <v>ANUAR</v>
      </c>
      <c r="D65" s="203" t="s">
        <v>637</v>
      </c>
      <c r="E65" s="43" t="s">
        <v>638</v>
      </c>
      <c r="F65" s="454" t="s">
        <v>288</v>
      </c>
      <c r="G65" s="454" t="s">
        <v>88</v>
      </c>
      <c r="H65" s="441" t="s">
        <v>39</v>
      </c>
      <c r="I65" s="436" t="s">
        <v>7</v>
      </c>
      <c r="J65" s="436" t="str">
        <f t="shared" si="19"/>
        <v>TER A</v>
      </c>
      <c r="K65" s="437">
        <v>1</v>
      </c>
      <c r="L65" s="438">
        <v>12</v>
      </c>
      <c r="M65" s="46">
        <v>3747380</v>
      </c>
      <c r="N65" s="88">
        <v>115750</v>
      </c>
      <c r="O65" s="88"/>
      <c r="P65" s="88">
        <v>190071.64</v>
      </c>
      <c r="Q65" s="46"/>
      <c r="R65" s="46">
        <f t="shared" si="5"/>
        <v>4053201.64</v>
      </c>
      <c r="S65" s="46">
        <f>+SETAHUN!J65</f>
        <v>3994600</v>
      </c>
      <c r="T65" s="46">
        <f>+SETAHUN!L65</f>
        <v>200000</v>
      </c>
      <c r="U65" s="46"/>
      <c r="V65" s="46">
        <f>+SETAHUN!G65+M65+N65</f>
        <v>47409319.159999996</v>
      </c>
      <c r="W65" s="46"/>
      <c r="X65" s="46">
        <f>+SETAHUN!W65+P65</f>
        <v>2278314.48</v>
      </c>
      <c r="Y65" s="46">
        <v>0</v>
      </c>
      <c r="Z65" s="46">
        <v>0</v>
      </c>
      <c r="AA65" s="46">
        <f t="shared" si="20"/>
        <v>4194600</v>
      </c>
      <c r="AB65" s="46">
        <f t="shared" si="21"/>
        <v>53882233.639999993</v>
      </c>
      <c r="AC65" s="46">
        <f t="shared" si="22"/>
        <v>2694112</v>
      </c>
      <c r="AD65" s="46">
        <f>('ASTEK 2% -DIISI SMPAI DESEMBER'!O183+'ASTEK 2% -DIISI SMPAI DESEMBER'!O64)</f>
        <v>1404648</v>
      </c>
      <c r="AE65" s="46">
        <f t="shared" si="23"/>
        <v>49783473.639999993</v>
      </c>
      <c r="AF65" s="88">
        <f t="shared" si="27"/>
        <v>54000000</v>
      </c>
      <c r="AG65" s="88">
        <f t="shared" si="9"/>
        <v>0</v>
      </c>
      <c r="AH65" s="439">
        <f t="shared" si="28"/>
        <v>0</v>
      </c>
      <c r="AI65" s="439">
        <f t="shared" si="29"/>
        <v>0</v>
      </c>
      <c r="AJ65" s="88">
        <f>+'PAJAK JAN-NOV'!R62</f>
        <v>122683</v>
      </c>
      <c r="AK65" s="410">
        <f t="shared" si="30"/>
        <v>0</v>
      </c>
      <c r="AL65" s="32" t="str">
        <f>+'PAJAK JAN-NOV'!B62</f>
        <v>ANUAR</v>
      </c>
      <c r="AM65" s="33">
        <f t="shared" si="12"/>
        <v>122683</v>
      </c>
      <c r="AN65" s="32"/>
      <c r="AO65" s="33"/>
      <c r="AP65" s="32"/>
      <c r="AQ65" s="32"/>
    </row>
    <row r="66" spans="1:43" s="201" customFormat="1" ht="15" customHeight="1">
      <c r="B66" s="196">
        <v>61</v>
      </c>
      <c r="C66" s="197" t="str">
        <f>+PERBULAN!B66</f>
        <v>YUNIAR ANDRIANTI</v>
      </c>
      <c r="D66" s="203" t="s">
        <v>639</v>
      </c>
      <c r="E66" s="43" t="s">
        <v>640</v>
      </c>
      <c r="F66" s="454" t="s">
        <v>641</v>
      </c>
      <c r="G66" s="454" t="s">
        <v>88</v>
      </c>
      <c r="H66" s="441" t="s">
        <v>38</v>
      </c>
      <c r="I66" s="436" t="s">
        <v>7</v>
      </c>
      <c r="J66" s="436" t="str">
        <f t="shared" si="19"/>
        <v>TER A</v>
      </c>
      <c r="K66" s="437">
        <v>1</v>
      </c>
      <c r="L66" s="438">
        <v>12</v>
      </c>
      <c r="M66" s="46">
        <v>3747380</v>
      </c>
      <c r="N66" s="88">
        <v>115750</v>
      </c>
      <c r="O66" s="88"/>
      <c r="P66" s="88">
        <v>190071.64</v>
      </c>
      <c r="Q66" s="46"/>
      <c r="R66" s="46">
        <f t="shared" si="5"/>
        <v>4053201.64</v>
      </c>
      <c r="S66" s="46">
        <f>+SETAHUN!J66</f>
        <v>3991100</v>
      </c>
      <c r="T66" s="46">
        <f>+SETAHUN!L66</f>
        <v>200000</v>
      </c>
      <c r="U66" s="46"/>
      <c r="V66" s="46">
        <f>+SETAHUN!G66+M66+N66</f>
        <v>44616947.359999992</v>
      </c>
      <c r="W66" s="46"/>
      <c r="X66" s="46">
        <f>+SETAHUN!W66+P66</f>
        <v>2276966.2800000003</v>
      </c>
      <c r="Y66" s="46">
        <v>0</v>
      </c>
      <c r="Z66" s="46">
        <v>0</v>
      </c>
      <c r="AA66" s="46">
        <f t="shared" si="20"/>
        <v>4191100</v>
      </c>
      <c r="AB66" s="46">
        <f t="shared" si="21"/>
        <v>51085013.639999993</v>
      </c>
      <c r="AC66" s="46">
        <f t="shared" si="22"/>
        <v>2554251</v>
      </c>
      <c r="AD66" s="46">
        <f>('ASTEK 2% -DIISI SMPAI DESEMBER'!O184+'ASTEK 2% -DIISI SMPAI DESEMBER'!O65)</f>
        <v>1404333</v>
      </c>
      <c r="AE66" s="46">
        <f t="shared" si="23"/>
        <v>47126429.639999993</v>
      </c>
      <c r="AF66" s="88">
        <f t="shared" si="27"/>
        <v>54000000</v>
      </c>
      <c r="AG66" s="88">
        <f t="shared" si="9"/>
        <v>0</v>
      </c>
      <c r="AH66" s="439">
        <f t="shared" si="28"/>
        <v>0</v>
      </c>
      <c r="AI66" s="439">
        <f t="shared" si="29"/>
        <v>0</v>
      </c>
      <c r="AJ66" s="88">
        <f>+'PAJAK JAN-NOV'!R63</f>
        <v>116659</v>
      </c>
      <c r="AK66" s="410">
        <f t="shared" si="30"/>
        <v>0</v>
      </c>
      <c r="AL66" s="32" t="str">
        <f>+'PAJAK JAN-NOV'!B63</f>
        <v>YUNIAR ANDRIANTI</v>
      </c>
      <c r="AM66" s="33">
        <f t="shared" si="12"/>
        <v>116659</v>
      </c>
      <c r="AN66" s="32"/>
      <c r="AO66" s="33"/>
      <c r="AP66" s="32"/>
      <c r="AQ66" s="32"/>
    </row>
    <row r="67" spans="1:43" s="201" customFormat="1" ht="15" customHeight="1">
      <c r="B67" s="196">
        <v>62</v>
      </c>
      <c r="C67" s="197" t="str">
        <f>+PERBULAN!B67</f>
        <v>LISA JAYANTI</v>
      </c>
      <c r="D67" s="203" t="s">
        <v>642</v>
      </c>
      <c r="E67" s="43" t="s">
        <v>643</v>
      </c>
      <c r="F67" s="454" t="s">
        <v>644</v>
      </c>
      <c r="G67" s="454" t="s">
        <v>88</v>
      </c>
      <c r="H67" s="441" t="s">
        <v>38</v>
      </c>
      <c r="I67" s="436" t="s">
        <v>7</v>
      </c>
      <c r="J67" s="436" t="str">
        <f t="shared" si="19"/>
        <v>TER A</v>
      </c>
      <c r="K67" s="437">
        <v>1</v>
      </c>
      <c r="L67" s="438">
        <v>12</v>
      </c>
      <c r="M67" s="46">
        <v>3747380</v>
      </c>
      <c r="N67" s="88">
        <v>105250</v>
      </c>
      <c r="O67" s="88"/>
      <c r="P67" s="88">
        <v>189563.44</v>
      </c>
      <c r="Q67" s="46"/>
      <c r="R67" s="46">
        <f t="shared" si="5"/>
        <v>4042193.44</v>
      </c>
      <c r="S67" s="46">
        <f>+SETAHUN!J67</f>
        <v>3980600</v>
      </c>
      <c r="T67" s="46">
        <f>+SETAHUN!L67</f>
        <v>200000</v>
      </c>
      <c r="U67" s="46"/>
      <c r="V67" s="46">
        <f>+SETAHUN!G67+M67+N67</f>
        <v>45276266.760000005</v>
      </c>
      <c r="W67" s="46"/>
      <c r="X67" s="46">
        <f>+SETAHUN!W67+P67</f>
        <v>2271227.6800000002</v>
      </c>
      <c r="Y67" s="46">
        <v>0</v>
      </c>
      <c r="Z67" s="46">
        <v>0</v>
      </c>
      <c r="AA67" s="46">
        <f t="shared" si="20"/>
        <v>4180600</v>
      </c>
      <c r="AB67" s="46">
        <f t="shared" si="21"/>
        <v>51728094.440000005</v>
      </c>
      <c r="AC67" s="46">
        <f t="shared" si="22"/>
        <v>2586405</v>
      </c>
      <c r="AD67" s="46">
        <f>('ASTEK 2% -DIISI SMPAI DESEMBER'!O185+'ASTEK 2% -DIISI SMPAI DESEMBER'!O66)</f>
        <v>1402338</v>
      </c>
      <c r="AE67" s="46">
        <f t="shared" si="23"/>
        <v>47739351.440000005</v>
      </c>
      <c r="AF67" s="88">
        <f t="shared" si="27"/>
        <v>54000000</v>
      </c>
      <c r="AG67" s="88">
        <f t="shared" si="9"/>
        <v>0</v>
      </c>
      <c r="AH67" s="439">
        <f t="shared" si="28"/>
        <v>0</v>
      </c>
      <c r="AI67" s="439">
        <f t="shared" si="29"/>
        <v>0</v>
      </c>
      <c r="AJ67" s="88">
        <f>+'PAJAK JAN-NOV'!R64</f>
        <v>120282</v>
      </c>
      <c r="AK67" s="410">
        <f t="shared" si="30"/>
        <v>0</v>
      </c>
      <c r="AL67" s="32" t="str">
        <f>+'PAJAK JAN-NOV'!B64</f>
        <v>LISA JAYANTI</v>
      </c>
      <c r="AM67" s="33">
        <f t="shared" si="12"/>
        <v>120282</v>
      </c>
      <c r="AN67" s="32"/>
      <c r="AO67" s="33"/>
      <c r="AP67" s="32"/>
      <c r="AQ67" s="32"/>
    </row>
    <row r="68" spans="1:43" s="201" customFormat="1" ht="15" customHeight="1">
      <c r="B68" s="196">
        <v>63</v>
      </c>
      <c r="C68" s="197" t="str">
        <f>+PERBULAN!B68</f>
        <v>RUSDIN</v>
      </c>
      <c r="D68" s="203" t="s">
        <v>645</v>
      </c>
      <c r="E68" s="43" t="s">
        <v>646</v>
      </c>
      <c r="F68" s="454" t="s">
        <v>647</v>
      </c>
      <c r="G68" s="454" t="s">
        <v>88</v>
      </c>
      <c r="H68" s="441" t="s">
        <v>39</v>
      </c>
      <c r="I68" s="436" t="s">
        <v>11</v>
      </c>
      <c r="J68" s="436" t="str">
        <f t="shared" si="19"/>
        <v>TER B</v>
      </c>
      <c r="K68" s="437">
        <v>1</v>
      </c>
      <c r="L68" s="438">
        <v>12</v>
      </c>
      <c r="M68" s="46">
        <v>3876600</v>
      </c>
      <c r="N68" s="88">
        <v>220500</v>
      </c>
      <c r="O68" s="88"/>
      <c r="P68" s="88">
        <v>190241.04</v>
      </c>
      <c r="Q68" s="46"/>
      <c r="R68" s="46">
        <f t="shared" si="5"/>
        <v>4287341.04</v>
      </c>
      <c r="S68" s="46">
        <f>+SETAHUN!J68</f>
        <v>4093600</v>
      </c>
      <c r="T68" s="46">
        <f>+SETAHUN!L68</f>
        <v>600000</v>
      </c>
      <c r="U68" s="46"/>
      <c r="V68" s="46">
        <f>+SETAHUN!G68+M68+N68</f>
        <v>48987279.159999996</v>
      </c>
      <c r="W68" s="46"/>
      <c r="X68" s="46">
        <f>+SETAHUN!W68+P68</f>
        <v>2278483.88</v>
      </c>
      <c r="Y68" s="46">
        <v>0</v>
      </c>
      <c r="Z68" s="46">
        <v>0</v>
      </c>
      <c r="AA68" s="46">
        <f t="shared" si="20"/>
        <v>4693600</v>
      </c>
      <c r="AB68" s="46">
        <f t="shared" si="21"/>
        <v>55959363.039999999</v>
      </c>
      <c r="AC68" s="46">
        <f t="shared" si="22"/>
        <v>2797968</v>
      </c>
      <c r="AD68" s="46">
        <f>('ASTEK 2% -DIISI SMPAI DESEMBER'!O186+'ASTEK 2% -DIISI SMPAI DESEMBER'!O67)</f>
        <v>1404753</v>
      </c>
      <c r="AE68" s="46">
        <f t="shared" si="23"/>
        <v>51756642.039999999</v>
      </c>
      <c r="AF68" s="88">
        <f t="shared" si="27"/>
        <v>67500000</v>
      </c>
      <c r="AG68" s="88">
        <f t="shared" si="9"/>
        <v>0</v>
      </c>
      <c r="AH68" s="439">
        <f t="shared" si="28"/>
        <v>0</v>
      </c>
      <c r="AI68" s="439">
        <f t="shared" si="29"/>
        <v>0</v>
      </c>
      <c r="AJ68" s="88">
        <f>+'PAJAK JAN-NOV'!R65</f>
        <v>83768</v>
      </c>
      <c r="AK68" s="410">
        <f t="shared" si="30"/>
        <v>0</v>
      </c>
      <c r="AL68" s="32" t="str">
        <f>+'PAJAK JAN-NOV'!B65</f>
        <v>RUSDIN</v>
      </c>
      <c r="AM68" s="33">
        <f t="shared" si="12"/>
        <v>83768</v>
      </c>
      <c r="AN68" s="32"/>
      <c r="AO68" s="33"/>
      <c r="AP68" s="32"/>
      <c r="AQ68" s="32"/>
    </row>
    <row r="69" spans="1:43" s="201" customFormat="1" ht="15" customHeight="1">
      <c r="A69" s="529"/>
      <c r="B69" s="196">
        <v>64</v>
      </c>
      <c r="C69" s="510" t="str">
        <f>+PERBULAN!B69</f>
        <v>FREDI S</v>
      </c>
      <c r="D69" s="511" t="s">
        <v>648</v>
      </c>
      <c r="E69" s="512" t="s">
        <v>73</v>
      </c>
      <c r="F69" s="513" t="s">
        <v>649</v>
      </c>
      <c r="G69" s="513" t="s">
        <v>88</v>
      </c>
      <c r="H69" s="514" t="s">
        <v>39</v>
      </c>
      <c r="I69" s="515" t="s">
        <v>7</v>
      </c>
      <c r="J69" s="515" t="str">
        <f t="shared" si="19"/>
        <v>TER A</v>
      </c>
      <c r="K69" s="516">
        <v>1</v>
      </c>
      <c r="L69" s="516">
        <v>8</v>
      </c>
      <c r="M69" s="517"/>
      <c r="N69" s="517"/>
      <c r="O69" s="517"/>
      <c r="P69" s="517"/>
      <c r="Q69" s="518"/>
      <c r="R69" s="518">
        <f t="shared" si="5"/>
        <v>0</v>
      </c>
      <c r="S69" s="518">
        <f>+SETAHUN!J69</f>
        <v>3946600</v>
      </c>
      <c r="T69" s="518">
        <f>+SETAHUN!L69</f>
        <v>200000</v>
      </c>
      <c r="U69" s="518"/>
      <c r="V69" s="518">
        <f>+SETAHUN!G69+M69+N69</f>
        <v>30698619.479999997</v>
      </c>
      <c r="W69" s="518"/>
      <c r="X69" s="518">
        <f>+SETAHUN!W69+P69</f>
        <v>1502403.52</v>
      </c>
      <c r="Y69" s="518">
        <v>0</v>
      </c>
      <c r="Z69" s="518">
        <v>0</v>
      </c>
      <c r="AA69" s="518">
        <f t="shared" si="20"/>
        <v>4146600</v>
      </c>
      <c r="AB69" s="518">
        <f t="shared" si="21"/>
        <v>36347623</v>
      </c>
      <c r="AC69" s="518">
        <f t="shared" si="22"/>
        <v>1817381</v>
      </c>
      <c r="AD69" s="518">
        <f>('ASTEK 2% -DIISI SMPAI DESEMBER'!O187+'ASTEK 2% -DIISI SMPAI DESEMBER'!O68)</f>
        <v>930666</v>
      </c>
      <c r="AE69" s="518">
        <f t="shared" si="23"/>
        <v>33599576</v>
      </c>
      <c r="AF69" s="517">
        <f t="shared" si="27"/>
        <v>54000000</v>
      </c>
      <c r="AG69" s="517">
        <f t="shared" si="9"/>
        <v>0</v>
      </c>
      <c r="AH69" s="519">
        <f t="shared" si="28"/>
        <v>0</v>
      </c>
      <c r="AI69" s="519">
        <f t="shared" si="29"/>
        <v>0</v>
      </c>
      <c r="AJ69" s="517">
        <f>+'PAJAK JAN-NOV'!R66</f>
        <v>123186</v>
      </c>
      <c r="AK69" s="520">
        <f t="shared" si="30"/>
        <v>0</v>
      </c>
      <c r="AL69" s="32" t="str">
        <f>+'PAJAK JAN-NOV'!B66</f>
        <v>FREDI S</v>
      </c>
      <c r="AM69" s="33">
        <f t="shared" si="12"/>
        <v>123186</v>
      </c>
      <c r="AN69" s="32"/>
      <c r="AO69" s="33"/>
      <c r="AP69" s="32"/>
      <c r="AQ69" s="32"/>
    </row>
    <row r="70" spans="1:43" s="201" customFormat="1" ht="15" customHeight="1">
      <c r="B70" s="196">
        <v>65</v>
      </c>
      <c r="C70" s="197" t="str">
        <f>+PERBULAN!B70</f>
        <v>ARIPDAN</v>
      </c>
      <c r="D70" s="203" t="s">
        <v>650</v>
      </c>
      <c r="E70" s="43" t="s">
        <v>651</v>
      </c>
      <c r="F70" s="454" t="s">
        <v>652</v>
      </c>
      <c r="G70" s="454" t="s">
        <v>87</v>
      </c>
      <c r="H70" s="441" t="s">
        <v>39</v>
      </c>
      <c r="I70" s="436" t="s">
        <v>11</v>
      </c>
      <c r="J70" s="436" t="str">
        <f t="shared" si="19"/>
        <v>TER B</v>
      </c>
      <c r="K70" s="437">
        <v>1</v>
      </c>
      <c r="L70" s="438">
        <v>12</v>
      </c>
      <c r="M70" s="46">
        <v>3488940</v>
      </c>
      <c r="N70" s="88">
        <v>277350</v>
      </c>
      <c r="O70" s="88"/>
      <c r="P70" s="88">
        <v>190071.64</v>
      </c>
      <c r="Q70" s="46"/>
      <c r="R70" s="46">
        <f t="shared" si="5"/>
        <v>3956361.64</v>
      </c>
      <c r="S70" s="46">
        <f>+SETAHUN!J70</f>
        <v>4090100</v>
      </c>
      <c r="T70" s="46">
        <f>+SETAHUN!L70</f>
        <v>200000</v>
      </c>
      <c r="U70" s="46"/>
      <c r="V70" s="46">
        <f>+SETAHUN!G70+M70+N70</f>
        <v>61102173.159999996</v>
      </c>
      <c r="W70" s="46"/>
      <c r="X70" s="46">
        <f>+SETAHUN!W70+P70</f>
        <v>2277614.48</v>
      </c>
      <c r="Y70" s="46">
        <v>0</v>
      </c>
      <c r="Z70" s="46">
        <v>0</v>
      </c>
      <c r="AA70" s="46">
        <f t="shared" si="20"/>
        <v>4290100</v>
      </c>
      <c r="AB70" s="46">
        <f t="shared" si="21"/>
        <v>67669887.639999986</v>
      </c>
      <c r="AC70" s="46">
        <f t="shared" si="22"/>
        <v>3383494</v>
      </c>
      <c r="AD70" s="46">
        <f>('ASTEK 2% -DIISI SMPAI DESEMBER'!O188+'ASTEK 2% -DIISI SMPAI DESEMBER'!O69)</f>
        <v>1404648</v>
      </c>
      <c r="AE70" s="46">
        <f t="shared" si="23"/>
        <v>62881745.639999986</v>
      </c>
      <c r="AF70" s="88">
        <f t="shared" si="27"/>
        <v>67500000</v>
      </c>
      <c r="AG70" s="88">
        <f t="shared" si="9"/>
        <v>0</v>
      </c>
      <c r="AH70" s="439">
        <f t="shared" si="28"/>
        <v>0</v>
      </c>
      <c r="AI70" s="439">
        <f t="shared" si="29"/>
        <v>0</v>
      </c>
      <c r="AJ70" s="88">
        <f>+'PAJAK JAN-NOV'!R67</f>
        <v>186188</v>
      </c>
      <c r="AK70" s="410">
        <f t="shared" si="30"/>
        <v>0</v>
      </c>
      <c r="AL70" s="32" t="str">
        <f>+'PAJAK JAN-NOV'!B67</f>
        <v>ARIPDAN</v>
      </c>
      <c r="AM70" s="33">
        <f t="shared" ref="AM70:AM117" si="31">AJ70-AI70</f>
        <v>186188</v>
      </c>
      <c r="AN70" s="32"/>
      <c r="AO70" s="33"/>
      <c r="AP70" s="32"/>
      <c r="AQ70" s="32"/>
    </row>
    <row r="71" spans="1:43" s="201" customFormat="1" ht="15" customHeight="1">
      <c r="B71" s="196">
        <v>66</v>
      </c>
      <c r="C71" s="197" t="str">
        <f>+PERBULAN!B71</f>
        <v>DEDI PURWANTO</v>
      </c>
      <c r="D71" s="203" t="s">
        <v>653</v>
      </c>
      <c r="E71" s="43" t="s">
        <v>654</v>
      </c>
      <c r="F71" s="454" t="s">
        <v>268</v>
      </c>
      <c r="G71" s="454" t="s">
        <v>372</v>
      </c>
      <c r="H71" s="441" t="s">
        <v>39</v>
      </c>
      <c r="I71" s="436" t="s">
        <v>9</v>
      </c>
      <c r="J71" s="436" t="str">
        <f t="shared" si="19"/>
        <v>TER B</v>
      </c>
      <c r="K71" s="437">
        <v>1</v>
      </c>
      <c r="L71" s="438">
        <v>12</v>
      </c>
      <c r="M71" s="46">
        <v>4005820</v>
      </c>
      <c r="N71" s="88">
        <v>397556.64</v>
      </c>
      <c r="O71" s="88"/>
      <c r="P71" s="88">
        <v>190071.64</v>
      </c>
      <c r="Q71" s="46"/>
      <c r="R71" s="46">
        <f t="shared" ref="R71:R117" si="32">SUM(M71:Q71)</f>
        <v>4593448.2799999993</v>
      </c>
      <c r="S71" s="46">
        <f>+SETAHUN!J71</f>
        <v>4053100</v>
      </c>
      <c r="T71" s="46">
        <f>+SETAHUN!L71</f>
        <v>600000</v>
      </c>
      <c r="U71" s="46"/>
      <c r="V71" s="46">
        <f>+SETAHUN!G71+M71+N71</f>
        <v>62040934.799999997</v>
      </c>
      <c r="W71" s="46"/>
      <c r="X71" s="46">
        <f>+SETAHUN!W71+P71</f>
        <v>2278314.48</v>
      </c>
      <c r="Y71" s="46">
        <v>0</v>
      </c>
      <c r="Z71" s="46">
        <v>0</v>
      </c>
      <c r="AA71" s="46">
        <f t="shared" si="20"/>
        <v>4653100</v>
      </c>
      <c r="AB71" s="46">
        <f t="shared" si="21"/>
        <v>68972349.280000001</v>
      </c>
      <c r="AC71" s="46">
        <f t="shared" si="22"/>
        <v>3448617</v>
      </c>
      <c r="AD71" s="46">
        <f>('ASTEK 2% -DIISI SMPAI DESEMBER'!O189+'ASTEK 2% -DIISI SMPAI DESEMBER'!O70)</f>
        <v>1404648</v>
      </c>
      <c r="AE71" s="46">
        <f t="shared" si="23"/>
        <v>64119084.280000001</v>
      </c>
      <c r="AF71" s="88">
        <f t="shared" si="27"/>
        <v>63000000</v>
      </c>
      <c r="AG71" s="88">
        <f t="shared" ref="AG71:AG116" si="33">ROUNDDOWN(IF(AE71&lt;=AF71,0,IF(AE71&gt;AF71,AE71-AF71)),-3)</f>
        <v>1119000</v>
      </c>
      <c r="AH71" s="439">
        <f t="shared" si="28"/>
        <v>55950</v>
      </c>
      <c r="AI71" s="439">
        <f t="shared" si="29"/>
        <v>55950</v>
      </c>
      <c r="AJ71" s="88">
        <f>+'PAJAK JAN-NOV'!R68</f>
        <v>235341</v>
      </c>
      <c r="AK71" s="410">
        <f t="shared" si="30"/>
        <v>0</v>
      </c>
      <c r="AL71" s="32" t="str">
        <f>+'PAJAK JAN-NOV'!B68</f>
        <v>DEDI PURWANTO</v>
      </c>
      <c r="AM71" s="33">
        <f t="shared" si="31"/>
        <v>179391</v>
      </c>
      <c r="AN71" s="32"/>
      <c r="AO71" s="33"/>
      <c r="AP71" s="32"/>
      <c r="AQ71" s="32"/>
    </row>
    <row r="72" spans="1:43" s="201" customFormat="1" ht="15" customHeight="1">
      <c r="B72" s="196">
        <v>67</v>
      </c>
      <c r="C72" s="197" t="str">
        <f>+PERBULAN!B72</f>
        <v>HARSONO</v>
      </c>
      <c r="D72" s="203" t="s">
        <v>417</v>
      </c>
      <c r="E72" s="43" t="s">
        <v>418</v>
      </c>
      <c r="F72" s="454" t="s">
        <v>419</v>
      </c>
      <c r="G72" s="454" t="s">
        <v>391</v>
      </c>
      <c r="H72" s="441" t="s">
        <v>39</v>
      </c>
      <c r="I72" s="436" t="s">
        <v>11</v>
      </c>
      <c r="J72" s="436" t="str">
        <f t="shared" si="19"/>
        <v>TER B</v>
      </c>
      <c r="K72" s="437">
        <v>1</v>
      </c>
      <c r="L72" s="438">
        <v>12</v>
      </c>
      <c r="M72" s="46">
        <v>3876600</v>
      </c>
      <c r="N72" s="88">
        <v>1349038.4615384615</v>
      </c>
      <c r="O72" s="88"/>
      <c r="P72" s="88">
        <v>190071.64</v>
      </c>
      <c r="Q72" s="46"/>
      <c r="R72" s="46">
        <f t="shared" si="32"/>
        <v>5415710.1015384616</v>
      </c>
      <c r="S72" s="46">
        <f>+SETAHUN!J72</f>
        <v>4093600</v>
      </c>
      <c r="T72" s="46">
        <f>+SETAHUN!L72</f>
        <v>200000</v>
      </c>
      <c r="U72" s="46"/>
      <c r="V72" s="46">
        <f>+SETAHUN!G72+M72+N72</f>
        <v>58932866.62153846</v>
      </c>
      <c r="W72" s="46"/>
      <c r="X72" s="46">
        <f>+SETAHUN!W72+P72</f>
        <v>2278314.48</v>
      </c>
      <c r="Y72" s="46">
        <v>0</v>
      </c>
      <c r="Z72" s="46">
        <v>0</v>
      </c>
      <c r="AA72" s="46">
        <f t="shared" si="20"/>
        <v>4293600</v>
      </c>
      <c r="AB72" s="46">
        <f t="shared" si="21"/>
        <v>65504781.101538457</v>
      </c>
      <c r="AC72" s="46">
        <f t="shared" si="22"/>
        <v>3275239</v>
      </c>
      <c r="AD72" s="46">
        <f>('ASTEK 2% -DIISI SMPAI DESEMBER'!O190+'ASTEK 2% -DIISI SMPAI DESEMBER'!O71)</f>
        <v>1404648</v>
      </c>
      <c r="AE72" s="46">
        <f t="shared" si="23"/>
        <v>60824894.101538457</v>
      </c>
      <c r="AF72" s="88">
        <f t="shared" si="27"/>
        <v>67500000</v>
      </c>
      <c r="AG72" s="88">
        <f t="shared" si="33"/>
        <v>0</v>
      </c>
      <c r="AH72" s="439">
        <f t="shared" si="28"/>
        <v>0</v>
      </c>
      <c r="AI72" s="439">
        <f t="shared" si="29"/>
        <v>0</v>
      </c>
      <c r="AJ72" s="88">
        <f>+'PAJAK JAN-NOV'!R69</f>
        <v>101026</v>
      </c>
      <c r="AK72" s="410">
        <f t="shared" si="30"/>
        <v>0</v>
      </c>
      <c r="AL72" s="32" t="str">
        <f>+'PAJAK JAN-NOV'!B69</f>
        <v>HARSONO</v>
      </c>
      <c r="AM72" s="33">
        <f t="shared" si="31"/>
        <v>101026</v>
      </c>
      <c r="AN72" s="32"/>
      <c r="AO72" s="33"/>
      <c r="AP72" s="32"/>
      <c r="AQ72" s="32"/>
    </row>
    <row r="73" spans="1:43" s="201" customFormat="1" ht="15" customHeight="1">
      <c r="B73" s="196">
        <v>68</v>
      </c>
      <c r="C73" s="197" t="str">
        <f>+PERBULAN!B73</f>
        <v>MIKO AGNESTA</v>
      </c>
      <c r="D73" s="203" t="s">
        <v>655</v>
      </c>
      <c r="E73" s="43" t="s">
        <v>73</v>
      </c>
      <c r="F73" s="454" t="s">
        <v>656</v>
      </c>
      <c r="G73" s="454" t="s">
        <v>657</v>
      </c>
      <c r="H73" s="441" t="s">
        <v>39</v>
      </c>
      <c r="I73" s="436" t="s">
        <v>7</v>
      </c>
      <c r="J73" s="436" t="str">
        <f t="shared" si="19"/>
        <v>TER A</v>
      </c>
      <c r="K73" s="437">
        <v>1</v>
      </c>
      <c r="L73" s="438">
        <v>12</v>
      </c>
      <c r="M73" s="46">
        <v>3876600</v>
      </c>
      <c r="N73" s="88">
        <v>1427692.3076923077</v>
      </c>
      <c r="O73" s="88"/>
      <c r="P73" s="88">
        <v>187748.44</v>
      </c>
      <c r="Q73" s="46"/>
      <c r="R73" s="46">
        <f t="shared" si="32"/>
        <v>5492040.7476923084</v>
      </c>
      <c r="S73" s="46">
        <f>+SETAHUN!J73</f>
        <v>1972050</v>
      </c>
      <c r="T73" s="46">
        <f>+SETAHUN!L73</f>
        <v>150000</v>
      </c>
      <c r="U73" s="46"/>
      <c r="V73" s="46">
        <f>+SETAHUN!G73+M73+N73</f>
        <v>59715350.467692308</v>
      </c>
      <c r="W73" s="46"/>
      <c r="X73" s="46">
        <f>+SETAHUN!W73+P73</f>
        <v>2252013.2799999998</v>
      </c>
      <c r="Y73" s="46">
        <v>0</v>
      </c>
      <c r="Z73" s="46">
        <v>0</v>
      </c>
      <c r="AA73" s="46">
        <f t="shared" si="20"/>
        <v>2122050</v>
      </c>
      <c r="AB73" s="46">
        <f t="shared" si="21"/>
        <v>64089413.747692309</v>
      </c>
      <c r="AC73" s="46">
        <f t="shared" si="22"/>
        <v>3204471</v>
      </c>
      <c r="AD73" s="46">
        <f>('ASTEK 2% -DIISI SMPAI DESEMBER'!O191+'ASTEK 2% -DIISI SMPAI DESEMBER'!O72)</f>
        <v>1395858</v>
      </c>
      <c r="AE73" s="46">
        <f t="shared" si="23"/>
        <v>59489084.747692309</v>
      </c>
      <c r="AF73" s="88">
        <f t="shared" si="27"/>
        <v>54000000</v>
      </c>
      <c r="AG73" s="88">
        <f t="shared" si="33"/>
        <v>5489000</v>
      </c>
      <c r="AH73" s="439">
        <f t="shared" si="28"/>
        <v>274450</v>
      </c>
      <c r="AI73" s="439">
        <f t="shared" si="29"/>
        <v>274450</v>
      </c>
      <c r="AJ73" s="88">
        <f>+'PAJAK JAN-NOV'!R70</f>
        <v>206648</v>
      </c>
      <c r="AK73" s="410">
        <f t="shared" si="30"/>
        <v>67802</v>
      </c>
      <c r="AL73" s="32" t="str">
        <f>+'PAJAK JAN-NOV'!B70</f>
        <v>MIKO AGNESTA</v>
      </c>
      <c r="AM73" s="33">
        <f t="shared" si="31"/>
        <v>-67802</v>
      </c>
      <c r="AN73" s="32"/>
      <c r="AO73" s="33"/>
      <c r="AP73" s="32"/>
      <c r="AQ73" s="32"/>
    </row>
    <row r="74" spans="1:43" s="201" customFormat="1" ht="15" customHeight="1">
      <c r="B74" s="196">
        <v>69</v>
      </c>
      <c r="C74" s="197" t="str">
        <f>+PERBULAN!B74</f>
        <v>HERI GUNAWAN</v>
      </c>
      <c r="D74" s="203" t="s">
        <v>658</v>
      </c>
      <c r="E74" s="43" t="s">
        <v>659</v>
      </c>
      <c r="F74" s="454" t="s">
        <v>306</v>
      </c>
      <c r="G74" s="454" t="s">
        <v>375</v>
      </c>
      <c r="H74" s="441" t="s">
        <v>39</v>
      </c>
      <c r="I74" s="436" t="s">
        <v>11</v>
      </c>
      <c r="J74" s="436" t="str">
        <f t="shared" si="19"/>
        <v>TER B</v>
      </c>
      <c r="K74" s="437">
        <v>1</v>
      </c>
      <c r="L74" s="438">
        <v>12</v>
      </c>
      <c r="M74" s="46">
        <v>3747380</v>
      </c>
      <c r="N74" s="88">
        <v>870263.92592592584</v>
      </c>
      <c r="O74" s="88"/>
      <c r="P74" s="88">
        <v>188789.04</v>
      </c>
      <c r="Q74" s="46"/>
      <c r="R74" s="46">
        <f t="shared" si="32"/>
        <v>4806432.9659259254</v>
      </c>
      <c r="S74" s="46">
        <f>+SETAHUN!J74</f>
        <v>4067100</v>
      </c>
      <c r="T74" s="46">
        <f>+SETAHUN!L74</f>
        <v>200000</v>
      </c>
      <c r="U74" s="46"/>
      <c r="V74" s="46">
        <f>+SETAHUN!G74+M74+N74</f>
        <v>46799900.085925929</v>
      </c>
      <c r="W74" s="46"/>
      <c r="X74" s="46">
        <f>+SETAHUN!W74+P74</f>
        <v>2264018.88</v>
      </c>
      <c r="Y74" s="46">
        <v>0</v>
      </c>
      <c r="Z74" s="46">
        <v>0</v>
      </c>
      <c r="AA74" s="46">
        <f t="shared" si="20"/>
        <v>4267100</v>
      </c>
      <c r="AB74" s="46">
        <f t="shared" si="21"/>
        <v>53331018.965925932</v>
      </c>
      <c r="AC74" s="46">
        <f t="shared" si="22"/>
        <v>2666551</v>
      </c>
      <c r="AD74" s="46">
        <f>('ASTEK 2% -DIISI SMPAI DESEMBER'!O192+'ASTEK 2% -DIISI SMPAI DESEMBER'!O73)</f>
        <v>1399878</v>
      </c>
      <c r="AE74" s="46">
        <f t="shared" si="23"/>
        <v>49264589.965925932</v>
      </c>
      <c r="AF74" s="88">
        <f t="shared" si="27"/>
        <v>67500000</v>
      </c>
      <c r="AG74" s="88">
        <f t="shared" si="33"/>
        <v>0</v>
      </c>
      <c r="AH74" s="439">
        <f t="shared" si="28"/>
        <v>0</v>
      </c>
      <c r="AI74" s="439">
        <f t="shared" si="29"/>
        <v>0</v>
      </c>
      <c r="AJ74" s="88">
        <f>+'PAJAK JAN-NOV'!R71</f>
        <v>82003</v>
      </c>
      <c r="AK74" s="410">
        <f t="shared" si="30"/>
        <v>0</v>
      </c>
      <c r="AL74" s="32" t="str">
        <f>+'PAJAK JAN-NOV'!B71</f>
        <v>HERI GUNAWAN</v>
      </c>
      <c r="AM74" s="33">
        <f t="shared" si="31"/>
        <v>82003</v>
      </c>
      <c r="AN74" s="32"/>
      <c r="AO74" s="33"/>
      <c r="AP74" s="32"/>
      <c r="AQ74" s="32"/>
    </row>
    <row r="75" spans="1:43" s="201" customFormat="1" ht="15" customHeight="1">
      <c r="B75" s="196">
        <v>70</v>
      </c>
      <c r="C75" s="197" t="str">
        <f>+PERBULAN!B75</f>
        <v>LEPI ERWANSYAH</v>
      </c>
      <c r="D75" s="203" t="s">
        <v>660</v>
      </c>
      <c r="E75" s="43" t="s">
        <v>73</v>
      </c>
      <c r="F75" s="454" t="s">
        <v>661</v>
      </c>
      <c r="G75" s="454" t="s">
        <v>375</v>
      </c>
      <c r="H75" s="441" t="s">
        <v>39</v>
      </c>
      <c r="I75" s="436" t="s">
        <v>11</v>
      </c>
      <c r="J75" s="436" t="str">
        <f t="shared" si="19"/>
        <v>TER B</v>
      </c>
      <c r="K75" s="437">
        <v>1</v>
      </c>
      <c r="L75" s="438">
        <v>12</v>
      </c>
      <c r="M75" s="46">
        <v>4005820</v>
      </c>
      <c r="N75" s="88">
        <v>1228576.3703703703</v>
      </c>
      <c r="O75" s="88"/>
      <c r="P75" s="88">
        <v>188934.24</v>
      </c>
      <c r="Q75" s="46"/>
      <c r="R75" s="46">
        <f t="shared" si="32"/>
        <v>5423330.6103703706</v>
      </c>
      <c r="S75" s="46">
        <f>+SETAHUN!J75</f>
        <v>4067100</v>
      </c>
      <c r="T75" s="46">
        <f>+SETAHUN!L75</f>
        <v>200000</v>
      </c>
      <c r="U75" s="46"/>
      <c r="V75" s="46">
        <f>+SETAHUN!G75+M75+N75</f>
        <v>49655549.330370374</v>
      </c>
      <c r="W75" s="46"/>
      <c r="X75" s="46">
        <f>+SETAHUN!W75+P75</f>
        <v>2264549.2800000003</v>
      </c>
      <c r="Y75" s="46">
        <v>0</v>
      </c>
      <c r="Z75" s="46">
        <v>0</v>
      </c>
      <c r="AA75" s="46">
        <f t="shared" si="20"/>
        <v>4267100</v>
      </c>
      <c r="AB75" s="46">
        <f t="shared" si="21"/>
        <v>56187198.610370375</v>
      </c>
      <c r="AC75" s="46">
        <f t="shared" si="22"/>
        <v>2809360</v>
      </c>
      <c r="AD75" s="46">
        <f>('ASTEK 2% -DIISI SMPAI DESEMBER'!O193+'ASTEK 2% -DIISI SMPAI DESEMBER'!O74)</f>
        <v>1400058</v>
      </c>
      <c r="AE75" s="46">
        <f t="shared" si="23"/>
        <v>51977780.610370375</v>
      </c>
      <c r="AF75" s="88">
        <f t="shared" si="27"/>
        <v>67500000</v>
      </c>
      <c r="AG75" s="88">
        <f t="shared" si="33"/>
        <v>0</v>
      </c>
      <c r="AH75" s="439">
        <f t="shared" si="28"/>
        <v>0</v>
      </c>
      <c r="AI75" s="439">
        <f t="shared" si="29"/>
        <v>0</v>
      </c>
      <c r="AJ75" s="88">
        <f>+'PAJAK JAN-NOV'!R72</f>
        <v>83683</v>
      </c>
      <c r="AK75" s="410">
        <f t="shared" si="30"/>
        <v>0</v>
      </c>
      <c r="AL75" s="32" t="str">
        <f>+'PAJAK JAN-NOV'!B72</f>
        <v>LEPI ERWANSYAH</v>
      </c>
      <c r="AM75" s="33">
        <f t="shared" si="31"/>
        <v>83683</v>
      </c>
      <c r="AN75" s="32"/>
      <c r="AO75" s="33"/>
      <c r="AP75" s="32"/>
      <c r="AQ75" s="32"/>
    </row>
    <row r="76" spans="1:43" s="201" customFormat="1" ht="15" customHeight="1">
      <c r="A76" s="529"/>
      <c r="B76" s="196">
        <v>71</v>
      </c>
      <c r="C76" s="510" t="str">
        <f>+PERBULAN!B76</f>
        <v>NOVA RIZAL</v>
      </c>
      <c r="D76" s="511" t="s">
        <v>662</v>
      </c>
      <c r="E76" s="512" t="s">
        <v>663</v>
      </c>
      <c r="F76" s="513" t="s">
        <v>664</v>
      </c>
      <c r="G76" s="513" t="s">
        <v>375</v>
      </c>
      <c r="H76" s="514" t="s">
        <v>39</v>
      </c>
      <c r="I76" s="515" t="s">
        <v>11</v>
      </c>
      <c r="J76" s="515" t="str">
        <f t="shared" si="19"/>
        <v>TER B</v>
      </c>
      <c r="K76" s="516">
        <v>1</v>
      </c>
      <c r="L76" s="516">
        <v>7</v>
      </c>
      <c r="M76" s="517"/>
      <c r="N76" s="517"/>
      <c r="O76" s="517"/>
      <c r="P76" s="517"/>
      <c r="Q76" s="518"/>
      <c r="R76" s="518">
        <f t="shared" si="32"/>
        <v>0</v>
      </c>
      <c r="S76" s="518">
        <f>+SETAHUN!J76</f>
        <v>4067100</v>
      </c>
      <c r="T76" s="518">
        <f>+SETAHUN!L76</f>
        <v>200000</v>
      </c>
      <c r="U76" s="518"/>
      <c r="V76" s="518">
        <f>+SETAHUN!G76+M76+N76</f>
        <v>23653497.32</v>
      </c>
      <c r="W76" s="518"/>
      <c r="X76" s="518">
        <f>+SETAHUN!W76+P76</f>
        <v>1320313.68</v>
      </c>
      <c r="Y76" s="518">
        <v>0</v>
      </c>
      <c r="Z76" s="518">
        <v>0</v>
      </c>
      <c r="AA76" s="518">
        <f t="shared" si="20"/>
        <v>4267100</v>
      </c>
      <c r="AB76" s="518">
        <f t="shared" si="21"/>
        <v>29240911</v>
      </c>
      <c r="AC76" s="518">
        <f t="shared" si="22"/>
        <v>1462046</v>
      </c>
      <c r="AD76" s="518">
        <f>('ASTEK 2% -DIISI SMPAI DESEMBER'!O194+'ASTEK 2% -DIISI SMPAI DESEMBER'!O75)</f>
        <v>814788</v>
      </c>
      <c r="AE76" s="518">
        <f t="shared" si="23"/>
        <v>26964077</v>
      </c>
      <c r="AF76" s="517">
        <f t="shared" si="27"/>
        <v>67500000</v>
      </c>
      <c r="AG76" s="517">
        <f t="shared" si="33"/>
        <v>0</v>
      </c>
      <c r="AH76" s="519">
        <f t="shared" si="28"/>
        <v>0</v>
      </c>
      <c r="AI76" s="519">
        <f t="shared" si="29"/>
        <v>0</v>
      </c>
      <c r="AJ76" s="517">
        <f>+'PAJAK JAN-NOV'!R73</f>
        <v>83630</v>
      </c>
      <c r="AK76" s="520">
        <f t="shared" si="30"/>
        <v>0</v>
      </c>
      <c r="AL76" s="32" t="str">
        <f>+'PAJAK JAN-NOV'!B73</f>
        <v>NOVA RIZAL</v>
      </c>
      <c r="AM76" s="33">
        <f t="shared" si="31"/>
        <v>83630</v>
      </c>
      <c r="AN76" s="32"/>
      <c r="AO76" s="33"/>
      <c r="AP76" s="32"/>
      <c r="AQ76" s="32"/>
    </row>
    <row r="77" spans="1:43" s="201" customFormat="1" ht="15" customHeight="1">
      <c r="B77" s="196">
        <v>72</v>
      </c>
      <c r="C77" s="197" t="str">
        <f>+PERBULAN!B77</f>
        <v>MASKUR</v>
      </c>
      <c r="D77" s="203" t="s">
        <v>665</v>
      </c>
      <c r="E77" s="43" t="s">
        <v>73</v>
      </c>
      <c r="F77" s="454" t="s">
        <v>666</v>
      </c>
      <c r="G77" s="454" t="s">
        <v>375</v>
      </c>
      <c r="H77" s="441" t="s">
        <v>39</v>
      </c>
      <c r="I77" s="436" t="s">
        <v>9</v>
      </c>
      <c r="J77" s="436" t="str">
        <f t="shared" si="19"/>
        <v>TER B</v>
      </c>
      <c r="K77" s="437">
        <v>1</v>
      </c>
      <c r="L77" s="438">
        <v>12</v>
      </c>
      <c r="M77" s="46">
        <v>3876600</v>
      </c>
      <c r="N77" s="88">
        <v>1606765.9259259258</v>
      </c>
      <c r="O77" s="88"/>
      <c r="P77" s="88">
        <v>188789.04</v>
      </c>
      <c r="Q77" s="46"/>
      <c r="R77" s="46">
        <f t="shared" si="32"/>
        <v>5672154.9659259254</v>
      </c>
      <c r="S77" s="46">
        <f>+SETAHUN!J77</f>
        <v>4040100</v>
      </c>
      <c r="T77" s="46">
        <f>+SETAHUN!L77</f>
        <v>200000</v>
      </c>
      <c r="U77" s="46"/>
      <c r="V77" s="46">
        <f>+SETAHUN!G77+M77+N77</f>
        <v>51758048.085925929</v>
      </c>
      <c r="W77" s="46"/>
      <c r="X77" s="46">
        <f>+SETAHUN!W77+P77</f>
        <v>2264018.88</v>
      </c>
      <c r="Y77" s="46">
        <v>0</v>
      </c>
      <c r="Z77" s="46">
        <v>0</v>
      </c>
      <c r="AA77" s="46">
        <f t="shared" si="20"/>
        <v>4240100</v>
      </c>
      <c r="AB77" s="46">
        <f t="shared" si="21"/>
        <v>58262166.965925932</v>
      </c>
      <c r="AC77" s="46">
        <f t="shared" si="22"/>
        <v>2913108</v>
      </c>
      <c r="AD77" s="46">
        <f>('ASTEK 2% -DIISI SMPAI DESEMBER'!O195+'ASTEK 2% -DIISI SMPAI DESEMBER'!O76)</f>
        <v>1399878</v>
      </c>
      <c r="AE77" s="46">
        <f t="shared" si="23"/>
        <v>53949180.965925932</v>
      </c>
      <c r="AF77" s="88">
        <f t="shared" si="27"/>
        <v>63000000</v>
      </c>
      <c r="AG77" s="88">
        <f t="shared" si="33"/>
        <v>0</v>
      </c>
      <c r="AH77" s="439">
        <f t="shared" si="28"/>
        <v>0</v>
      </c>
      <c r="AI77" s="439">
        <f t="shared" si="29"/>
        <v>0</v>
      </c>
      <c r="AJ77" s="88">
        <f>+'PAJAK JAN-NOV'!R74</f>
        <v>84307</v>
      </c>
      <c r="AK77" s="410">
        <f t="shared" si="30"/>
        <v>0</v>
      </c>
      <c r="AL77" s="32" t="str">
        <f>+'PAJAK JAN-NOV'!B74</f>
        <v>MASKUR</v>
      </c>
      <c r="AM77" s="33">
        <f t="shared" si="31"/>
        <v>84307</v>
      </c>
      <c r="AN77" s="32"/>
      <c r="AO77" s="33"/>
      <c r="AP77" s="32"/>
      <c r="AQ77" s="32"/>
    </row>
    <row r="78" spans="1:43" s="201" customFormat="1" ht="15" customHeight="1">
      <c r="B78" s="196">
        <v>73</v>
      </c>
      <c r="C78" s="534" t="str">
        <f>+PERBULAN!B78</f>
        <v>SUTRISNO</v>
      </c>
      <c r="D78" s="535" t="s">
        <v>732</v>
      </c>
      <c r="E78" s="43" t="s">
        <v>668</v>
      </c>
      <c r="F78" s="454" t="s">
        <v>669</v>
      </c>
      <c r="G78" s="454" t="s">
        <v>375</v>
      </c>
      <c r="H78" s="441" t="s">
        <v>39</v>
      </c>
      <c r="I78" s="436" t="s">
        <v>17</v>
      </c>
      <c r="J78" s="436" t="str">
        <f t="shared" si="19"/>
        <v>TER A</v>
      </c>
      <c r="K78" s="437">
        <v>1</v>
      </c>
      <c r="L78" s="438">
        <v>12</v>
      </c>
      <c r="M78" s="46">
        <v>3747380</v>
      </c>
      <c r="N78" s="88">
        <v>1010720.074074074</v>
      </c>
      <c r="O78" s="88"/>
      <c r="P78" s="88">
        <v>190241.04</v>
      </c>
      <c r="Q78" s="46"/>
      <c r="R78" s="46">
        <f t="shared" si="32"/>
        <v>4948341.1140740737</v>
      </c>
      <c r="S78" s="46">
        <f>+SETAHUN!J78</f>
        <v>4024600</v>
      </c>
      <c r="T78" s="46">
        <f>+SETAHUN!L78</f>
        <v>200000</v>
      </c>
      <c r="U78" s="46"/>
      <c r="V78" s="46">
        <f>+SETAHUN!G78+M78+N78</f>
        <v>47134220.234074079</v>
      </c>
      <c r="W78" s="46"/>
      <c r="X78" s="46">
        <f>+SETAHUN!W78+P78</f>
        <v>2279330.88</v>
      </c>
      <c r="Y78" s="46">
        <v>0</v>
      </c>
      <c r="Z78" s="46">
        <v>0</v>
      </c>
      <c r="AA78" s="46">
        <f t="shared" si="20"/>
        <v>4224600</v>
      </c>
      <c r="AB78" s="46">
        <f t="shared" si="21"/>
        <v>53638151.114074081</v>
      </c>
      <c r="AC78" s="46">
        <f t="shared" si="22"/>
        <v>2681908</v>
      </c>
      <c r="AD78" s="46">
        <f>('ASTEK 2% -DIISI SMPAI DESEMBER'!O196+'ASTEK 2% -DIISI SMPAI DESEMBER'!O77)</f>
        <v>1405278</v>
      </c>
      <c r="AE78" s="46">
        <f t="shared" si="23"/>
        <v>49550965.114074081</v>
      </c>
      <c r="AF78" s="88">
        <f t="shared" si="27"/>
        <v>58500000</v>
      </c>
      <c r="AG78" s="88">
        <f t="shared" si="33"/>
        <v>0</v>
      </c>
      <c r="AH78" s="439">
        <f t="shared" si="28"/>
        <v>0</v>
      </c>
      <c r="AI78" s="439">
        <f t="shared" si="29"/>
        <v>0</v>
      </c>
      <c r="AJ78" s="88">
        <f>+'PAJAK JAN-NOV'!R75</f>
        <v>123950</v>
      </c>
      <c r="AK78" s="410">
        <f t="shared" si="30"/>
        <v>0</v>
      </c>
      <c r="AL78" s="32" t="str">
        <f>+'PAJAK JAN-NOV'!B75</f>
        <v>SUTRISNO</v>
      </c>
      <c r="AM78" s="33">
        <f t="shared" si="31"/>
        <v>123950</v>
      </c>
      <c r="AN78" s="32"/>
      <c r="AO78" s="33"/>
      <c r="AP78" s="32"/>
      <c r="AQ78" s="32"/>
    </row>
    <row r="79" spans="1:43" s="201" customFormat="1" ht="15" customHeight="1">
      <c r="B79" s="196">
        <v>74</v>
      </c>
      <c r="C79" s="510" t="str">
        <f>+PERBULAN!B79</f>
        <v>SUHARDI</v>
      </c>
      <c r="D79" s="511" t="s">
        <v>670</v>
      </c>
      <c r="E79" s="512" t="s">
        <v>671</v>
      </c>
      <c r="F79" s="513" t="s">
        <v>672</v>
      </c>
      <c r="G79" s="513" t="s">
        <v>375</v>
      </c>
      <c r="H79" s="514" t="s">
        <v>39</v>
      </c>
      <c r="I79" s="515" t="s">
        <v>9</v>
      </c>
      <c r="J79" s="515" t="str">
        <f t="shared" si="19"/>
        <v>TER B</v>
      </c>
      <c r="K79" s="516">
        <v>1</v>
      </c>
      <c r="L79" s="516">
        <v>11</v>
      </c>
      <c r="M79" s="517"/>
      <c r="N79" s="517"/>
      <c r="O79" s="517"/>
      <c r="P79" s="517"/>
      <c r="Q79" s="518"/>
      <c r="R79" s="518">
        <f t="shared" si="32"/>
        <v>0</v>
      </c>
      <c r="S79" s="518">
        <f>+SETAHUN!J79</f>
        <v>4049100</v>
      </c>
      <c r="T79" s="518">
        <f>+SETAHUN!L79</f>
        <v>200000</v>
      </c>
      <c r="U79" s="518"/>
      <c r="V79" s="518">
        <f>+SETAHUN!G79+M79+N79</f>
        <v>39064272.159999996</v>
      </c>
      <c r="W79" s="518"/>
      <c r="X79" s="518">
        <f>+SETAHUN!W79+P79</f>
        <v>2079687.84</v>
      </c>
      <c r="Y79" s="518">
        <v>0</v>
      </c>
      <c r="Z79" s="518">
        <v>0</v>
      </c>
      <c r="AA79" s="518">
        <f t="shared" si="20"/>
        <v>4249100</v>
      </c>
      <c r="AB79" s="518">
        <f t="shared" si="21"/>
        <v>45393060</v>
      </c>
      <c r="AC79" s="518">
        <f t="shared" si="22"/>
        <v>2269653</v>
      </c>
      <c r="AD79" s="518">
        <f>('ASTEK 2% -DIISI SMPAI DESEMBER'!O197+'ASTEK 2% -DIISI SMPAI DESEMBER'!O78)</f>
        <v>1284210</v>
      </c>
      <c r="AE79" s="518">
        <f t="shared" si="23"/>
        <v>41839197</v>
      </c>
      <c r="AF79" s="517">
        <f t="shared" si="27"/>
        <v>63000000</v>
      </c>
      <c r="AG79" s="517">
        <f t="shared" si="33"/>
        <v>0</v>
      </c>
      <c r="AH79" s="519">
        <f t="shared" si="28"/>
        <v>0</v>
      </c>
      <c r="AI79" s="519">
        <f t="shared" si="29"/>
        <v>0</v>
      </c>
      <c r="AJ79" s="517">
        <f>+'PAJAK JAN-NOV'!R76</f>
        <v>83274</v>
      </c>
      <c r="AK79" s="520">
        <f t="shared" si="30"/>
        <v>0</v>
      </c>
      <c r="AL79" s="32" t="str">
        <f>+'PAJAK JAN-NOV'!B76</f>
        <v>SUHARDI</v>
      </c>
      <c r="AM79" s="33">
        <f t="shared" si="31"/>
        <v>83274</v>
      </c>
      <c r="AN79" s="32"/>
      <c r="AO79" s="33"/>
      <c r="AP79" s="32"/>
      <c r="AQ79" s="32"/>
    </row>
    <row r="80" spans="1:43" s="201" customFormat="1" ht="15" customHeight="1">
      <c r="B80" s="196">
        <v>75</v>
      </c>
      <c r="C80" s="197" t="str">
        <f>+PERBULAN!B80</f>
        <v>RUSDI</v>
      </c>
      <c r="D80" s="203" t="s">
        <v>673</v>
      </c>
      <c r="E80" s="43" t="s">
        <v>674</v>
      </c>
      <c r="F80" s="454" t="s">
        <v>675</v>
      </c>
      <c r="G80" s="454" t="s">
        <v>375</v>
      </c>
      <c r="H80" s="441" t="s">
        <v>39</v>
      </c>
      <c r="I80" s="436" t="s">
        <v>11</v>
      </c>
      <c r="J80" s="436" t="str">
        <f t="shared" si="19"/>
        <v>TER B</v>
      </c>
      <c r="K80" s="437">
        <v>1</v>
      </c>
      <c r="L80" s="438">
        <v>12</v>
      </c>
      <c r="M80" s="46">
        <v>3747380</v>
      </c>
      <c r="N80" s="88">
        <v>1270129.0370370371</v>
      </c>
      <c r="O80" s="88"/>
      <c r="P80" s="88">
        <v>190241.04</v>
      </c>
      <c r="Q80" s="46"/>
      <c r="R80" s="46">
        <f t="shared" si="32"/>
        <v>5207750.0770370374</v>
      </c>
      <c r="S80" s="46">
        <f>+SETAHUN!J80</f>
        <v>4093600</v>
      </c>
      <c r="T80" s="46">
        <f>+SETAHUN!L80</f>
        <v>200000</v>
      </c>
      <c r="U80" s="46"/>
      <c r="V80" s="46">
        <f>+SETAHUN!G80+M80+N80</f>
        <v>50341477.197037034</v>
      </c>
      <c r="W80" s="46"/>
      <c r="X80" s="46">
        <f>+SETAHUN!W80+P80</f>
        <v>2279330.88</v>
      </c>
      <c r="Y80" s="46">
        <v>0</v>
      </c>
      <c r="Z80" s="46">
        <v>0</v>
      </c>
      <c r="AA80" s="46">
        <f t="shared" si="20"/>
        <v>4293600</v>
      </c>
      <c r="AB80" s="46">
        <f t="shared" si="21"/>
        <v>56914408.077037036</v>
      </c>
      <c r="AC80" s="46">
        <f t="shared" si="22"/>
        <v>2845720</v>
      </c>
      <c r="AD80" s="46">
        <f>('ASTEK 2% -DIISI SMPAI DESEMBER'!O198+'ASTEK 2% -DIISI SMPAI DESEMBER'!O79)</f>
        <v>1405278</v>
      </c>
      <c r="AE80" s="46">
        <f t="shared" si="23"/>
        <v>52663410.077037036</v>
      </c>
      <c r="AF80" s="88">
        <f t="shared" si="27"/>
        <v>67500000</v>
      </c>
      <c r="AG80" s="88">
        <f t="shared" si="33"/>
        <v>0</v>
      </c>
      <c r="AH80" s="439">
        <f t="shared" si="28"/>
        <v>0</v>
      </c>
      <c r="AI80" s="439">
        <f t="shared" si="29"/>
        <v>0</v>
      </c>
      <c r="AJ80" s="88">
        <f>+'PAJAK JAN-NOV'!R77</f>
        <v>85816</v>
      </c>
      <c r="AK80" s="410">
        <f t="shared" si="30"/>
        <v>0</v>
      </c>
      <c r="AL80" s="32" t="str">
        <f>+'PAJAK JAN-NOV'!B77</f>
        <v>RUSDI</v>
      </c>
      <c r="AM80" s="33">
        <f t="shared" si="31"/>
        <v>85816</v>
      </c>
      <c r="AN80" s="32"/>
      <c r="AO80" s="33"/>
      <c r="AP80" s="32"/>
      <c r="AQ80" s="32"/>
    </row>
    <row r="81" spans="2:43" s="201" customFormat="1" ht="15" customHeight="1">
      <c r="B81" s="196">
        <v>76</v>
      </c>
      <c r="C81" s="197" t="str">
        <f>+PERBULAN!B81</f>
        <v>MASJONI</v>
      </c>
      <c r="D81" s="203" t="s">
        <v>676</v>
      </c>
      <c r="E81" s="43" t="s">
        <v>677</v>
      </c>
      <c r="F81" s="454" t="s">
        <v>678</v>
      </c>
      <c r="G81" s="454" t="s">
        <v>375</v>
      </c>
      <c r="H81" s="441" t="s">
        <v>39</v>
      </c>
      <c r="I81" s="436" t="s">
        <v>9</v>
      </c>
      <c r="J81" s="436" t="str">
        <f t="shared" si="19"/>
        <v>TER B</v>
      </c>
      <c r="K81" s="437">
        <v>1</v>
      </c>
      <c r="L81" s="438">
        <v>12</v>
      </c>
      <c r="M81" s="46">
        <v>3747380</v>
      </c>
      <c r="N81" s="88">
        <v>192800</v>
      </c>
      <c r="O81" s="88"/>
      <c r="P81" s="88">
        <v>191765.64</v>
      </c>
      <c r="Q81" s="46"/>
      <c r="R81" s="46">
        <f t="shared" si="32"/>
        <v>4131945.64</v>
      </c>
      <c r="S81" s="46">
        <f>+SETAHUN!J81</f>
        <v>4101600</v>
      </c>
      <c r="T81" s="46">
        <f>+SETAHUN!L81</f>
        <v>200000</v>
      </c>
      <c r="U81" s="46"/>
      <c r="V81" s="46">
        <f>+SETAHUN!G81+M81+N81</f>
        <v>48164217.159999996</v>
      </c>
      <c r="W81" s="46"/>
      <c r="X81" s="46">
        <f>+SETAHUN!W81+P81</f>
        <v>2295898.48</v>
      </c>
      <c r="Y81" s="46">
        <v>0</v>
      </c>
      <c r="Z81" s="46">
        <v>0</v>
      </c>
      <c r="AA81" s="46">
        <f t="shared" si="20"/>
        <v>4301600</v>
      </c>
      <c r="AB81" s="46">
        <f t="shared" si="21"/>
        <v>54761715.639999993</v>
      </c>
      <c r="AC81" s="46">
        <f t="shared" si="22"/>
        <v>2738086</v>
      </c>
      <c r="AD81" s="46">
        <f>('ASTEK 2% -DIISI SMPAI DESEMBER'!O199+'ASTEK 2% -DIISI SMPAI DESEMBER'!O80)</f>
        <v>1410948</v>
      </c>
      <c r="AE81" s="46">
        <f t="shared" si="23"/>
        <v>50612681.639999993</v>
      </c>
      <c r="AF81" s="88">
        <f t="shared" si="27"/>
        <v>63000000</v>
      </c>
      <c r="AG81" s="88">
        <f t="shared" si="33"/>
        <v>0</v>
      </c>
      <c r="AH81" s="439">
        <f t="shared" si="28"/>
        <v>0</v>
      </c>
      <c r="AI81" s="439">
        <f t="shared" si="29"/>
        <v>0</v>
      </c>
      <c r="AJ81" s="88">
        <f>+'PAJAK JAN-NOV'!R78</f>
        <v>85719</v>
      </c>
      <c r="AK81" s="410">
        <f t="shared" si="30"/>
        <v>0</v>
      </c>
      <c r="AL81" s="32" t="str">
        <f>+'PAJAK JAN-NOV'!B78</f>
        <v>MASJONI</v>
      </c>
      <c r="AM81" s="33">
        <f t="shared" si="31"/>
        <v>85719</v>
      </c>
      <c r="AN81" s="32"/>
      <c r="AO81" s="33"/>
      <c r="AP81" s="32"/>
      <c r="AQ81" s="32"/>
    </row>
    <row r="82" spans="2:43" s="201" customFormat="1" ht="15" customHeight="1">
      <c r="B82" s="196">
        <v>77</v>
      </c>
      <c r="C82" s="197" t="str">
        <f>+PERBULAN!B82</f>
        <v>ROSMAN</v>
      </c>
      <c r="D82" s="203" t="s">
        <v>679</v>
      </c>
      <c r="E82" s="43" t="s">
        <v>680</v>
      </c>
      <c r="F82" s="454" t="s">
        <v>681</v>
      </c>
      <c r="G82" s="454" t="s">
        <v>375</v>
      </c>
      <c r="H82" s="441" t="s">
        <v>39</v>
      </c>
      <c r="I82" s="436" t="s">
        <v>11</v>
      </c>
      <c r="J82" s="436" t="str">
        <f t="shared" si="19"/>
        <v>TER B</v>
      </c>
      <c r="K82" s="437">
        <v>1</v>
      </c>
      <c r="L82" s="438">
        <v>12</v>
      </c>
      <c r="M82" s="46">
        <v>4005820</v>
      </c>
      <c r="N82" s="88">
        <v>1266367.7777777778</v>
      </c>
      <c r="O82" s="88"/>
      <c r="P82" s="88">
        <v>190071.64</v>
      </c>
      <c r="Q82" s="46"/>
      <c r="R82" s="46">
        <f t="shared" si="32"/>
        <v>5462259.4177777776</v>
      </c>
      <c r="S82" s="46">
        <f>+SETAHUN!J82</f>
        <v>4090100</v>
      </c>
      <c r="T82" s="46">
        <f>+SETAHUN!L82</f>
        <v>200000</v>
      </c>
      <c r="U82" s="46"/>
      <c r="V82" s="46">
        <f>+SETAHUN!G82+M82+N82</f>
        <v>49609445.937777773</v>
      </c>
      <c r="W82" s="46"/>
      <c r="X82" s="46">
        <f>+SETAHUN!W82+P82</f>
        <v>2277474.48</v>
      </c>
      <c r="Y82" s="46">
        <v>0</v>
      </c>
      <c r="Z82" s="46">
        <v>0</v>
      </c>
      <c r="AA82" s="46">
        <f t="shared" si="20"/>
        <v>4290100</v>
      </c>
      <c r="AB82" s="46">
        <f t="shared" si="21"/>
        <v>56177020.417777769</v>
      </c>
      <c r="AC82" s="46">
        <f t="shared" si="22"/>
        <v>2808851</v>
      </c>
      <c r="AD82" s="46">
        <f>('ASTEK 2% -DIISI SMPAI DESEMBER'!O200+'ASTEK 2% -DIISI SMPAI DESEMBER'!O81)</f>
        <v>1404648</v>
      </c>
      <c r="AE82" s="46">
        <f t="shared" si="23"/>
        <v>51963521.417777769</v>
      </c>
      <c r="AF82" s="88">
        <f t="shared" si="27"/>
        <v>67500000</v>
      </c>
      <c r="AG82" s="88">
        <f t="shared" si="33"/>
        <v>0</v>
      </c>
      <c r="AH82" s="439">
        <f t="shared" si="28"/>
        <v>0</v>
      </c>
      <c r="AI82" s="439">
        <f t="shared" si="29"/>
        <v>0</v>
      </c>
      <c r="AJ82" s="88">
        <f>+'PAJAK JAN-NOV'!R79</f>
        <v>82874</v>
      </c>
      <c r="AK82" s="410">
        <f t="shared" si="30"/>
        <v>0</v>
      </c>
      <c r="AL82" s="32" t="str">
        <f>+'PAJAK JAN-NOV'!B79</f>
        <v>ROSMAN</v>
      </c>
      <c r="AM82" s="33">
        <f t="shared" si="31"/>
        <v>82874</v>
      </c>
      <c r="AN82" s="32"/>
      <c r="AO82" s="33"/>
      <c r="AP82" s="32"/>
      <c r="AQ82" s="32"/>
    </row>
    <row r="83" spans="2:43" s="201" customFormat="1" ht="15" customHeight="1">
      <c r="B83" s="196">
        <v>78</v>
      </c>
      <c r="C83" s="510" t="str">
        <f>+PERBULAN!B83</f>
        <v>SUMARTO EVENDI</v>
      </c>
      <c r="D83" s="511" t="s">
        <v>682</v>
      </c>
      <c r="E83" s="512" t="s">
        <v>73</v>
      </c>
      <c r="F83" s="513" t="s">
        <v>683</v>
      </c>
      <c r="G83" s="513" t="s">
        <v>375</v>
      </c>
      <c r="H83" s="514" t="s">
        <v>39</v>
      </c>
      <c r="I83" s="515" t="s">
        <v>11</v>
      </c>
      <c r="J83" s="515" t="str">
        <f t="shared" si="19"/>
        <v>TER B</v>
      </c>
      <c r="K83" s="516">
        <v>1</v>
      </c>
      <c r="L83" s="516">
        <v>10</v>
      </c>
      <c r="M83" s="517"/>
      <c r="N83" s="517"/>
      <c r="O83" s="517"/>
      <c r="P83" s="517"/>
      <c r="Q83" s="518"/>
      <c r="R83" s="518">
        <f t="shared" si="32"/>
        <v>0</v>
      </c>
      <c r="S83" s="518">
        <f>+SETAHUN!J83</f>
        <v>4067100</v>
      </c>
      <c r="T83" s="518">
        <f>+SETAHUN!L83</f>
        <v>200000</v>
      </c>
      <c r="U83" s="518"/>
      <c r="V83" s="518">
        <f>+SETAHUN!G83+M83+N83</f>
        <v>36047371.399999991</v>
      </c>
      <c r="W83" s="518"/>
      <c r="X83" s="518">
        <f>+SETAHUN!W83+P83</f>
        <v>1887621.6</v>
      </c>
      <c r="Y83" s="518">
        <v>0</v>
      </c>
      <c r="Z83" s="518">
        <v>0</v>
      </c>
      <c r="AA83" s="518">
        <f t="shared" si="20"/>
        <v>4267100</v>
      </c>
      <c r="AB83" s="518">
        <f t="shared" si="21"/>
        <v>42202092.999999993</v>
      </c>
      <c r="AC83" s="518">
        <f t="shared" si="22"/>
        <v>2110105</v>
      </c>
      <c r="AD83" s="518">
        <f>('ASTEK 2% -DIISI SMPAI DESEMBER'!O201+'ASTEK 2% -DIISI SMPAI DESEMBER'!O82)</f>
        <v>1166202</v>
      </c>
      <c r="AE83" s="518">
        <f t="shared" si="23"/>
        <v>38925785.999999993</v>
      </c>
      <c r="AF83" s="517">
        <f t="shared" si="27"/>
        <v>67500000</v>
      </c>
      <c r="AG83" s="517">
        <f t="shared" si="33"/>
        <v>0</v>
      </c>
      <c r="AH83" s="519">
        <f t="shared" si="28"/>
        <v>0</v>
      </c>
      <c r="AI83" s="519">
        <f t="shared" si="29"/>
        <v>0</v>
      </c>
      <c r="AJ83" s="517">
        <f>+'PAJAK JAN-NOV'!R80</f>
        <v>83385</v>
      </c>
      <c r="AK83" s="520">
        <f t="shared" si="30"/>
        <v>0</v>
      </c>
      <c r="AL83" s="32" t="str">
        <f>+'PAJAK JAN-NOV'!B80</f>
        <v>SUMARTO EVENDI</v>
      </c>
      <c r="AM83" s="33">
        <f t="shared" si="31"/>
        <v>83385</v>
      </c>
      <c r="AN83" s="32"/>
      <c r="AO83" s="33"/>
      <c r="AP83" s="32"/>
      <c r="AQ83" s="32"/>
    </row>
    <row r="84" spans="2:43" s="201" customFormat="1" ht="15" customHeight="1">
      <c r="B84" s="196">
        <v>79</v>
      </c>
      <c r="C84" s="197" t="str">
        <f>+PERBULAN!B84</f>
        <v>HERMAN</v>
      </c>
      <c r="D84" s="203" t="s">
        <v>684</v>
      </c>
      <c r="E84" s="43" t="s">
        <v>685</v>
      </c>
      <c r="F84" s="454" t="s">
        <v>686</v>
      </c>
      <c r="G84" s="454" t="s">
        <v>375</v>
      </c>
      <c r="H84" s="441" t="s">
        <v>39</v>
      </c>
      <c r="I84" s="436" t="s">
        <v>17</v>
      </c>
      <c r="J84" s="436" t="str">
        <f t="shared" si="19"/>
        <v>TER A</v>
      </c>
      <c r="K84" s="437">
        <v>1</v>
      </c>
      <c r="L84" s="438">
        <v>12</v>
      </c>
      <c r="M84" s="46">
        <v>4005820</v>
      </c>
      <c r="N84" s="93">
        <v>1203249.0370370371</v>
      </c>
      <c r="O84" s="88"/>
      <c r="P84" s="88">
        <v>188789.04</v>
      </c>
      <c r="Q84" s="46"/>
      <c r="R84" s="46">
        <f t="shared" si="32"/>
        <v>5397858.0770370374</v>
      </c>
      <c r="S84" s="46">
        <f>+SETAHUN!J84</f>
        <v>3995100</v>
      </c>
      <c r="T84" s="46">
        <f>+SETAHUN!L84</f>
        <v>200000</v>
      </c>
      <c r="U84" s="46"/>
      <c r="V84" s="46">
        <f>+SETAHUN!G84+M84+N84</f>
        <v>50025226.397037037</v>
      </c>
      <c r="W84" s="46"/>
      <c r="X84" s="46">
        <f>+SETAHUN!W84+P84</f>
        <v>2263393.6799999997</v>
      </c>
      <c r="Y84" s="46">
        <v>0</v>
      </c>
      <c r="Z84" s="46">
        <v>0</v>
      </c>
      <c r="AA84" s="46">
        <f t="shared" si="20"/>
        <v>4195100</v>
      </c>
      <c r="AB84" s="46">
        <f t="shared" si="21"/>
        <v>56483720.077037036</v>
      </c>
      <c r="AC84" s="46">
        <f t="shared" si="22"/>
        <v>2824186</v>
      </c>
      <c r="AD84" s="46">
        <f>('ASTEK 2% -DIISI SMPAI DESEMBER'!O202+'ASTEK 2% -DIISI SMPAI DESEMBER'!O83)</f>
        <v>1399788</v>
      </c>
      <c r="AE84" s="46">
        <f t="shared" si="23"/>
        <v>52259746.077037036</v>
      </c>
      <c r="AF84" s="88">
        <f t="shared" si="27"/>
        <v>58500000</v>
      </c>
      <c r="AG84" s="88">
        <f t="shared" si="33"/>
        <v>0</v>
      </c>
      <c r="AH84" s="439">
        <f t="shared" si="28"/>
        <v>0</v>
      </c>
      <c r="AI84" s="439">
        <f t="shared" si="29"/>
        <v>0</v>
      </c>
      <c r="AJ84" s="88">
        <f>+'PAJAK JAN-NOV'!R81</f>
        <v>124930</v>
      </c>
      <c r="AK84" s="410">
        <f t="shared" si="30"/>
        <v>0</v>
      </c>
      <c r="AL84" s="32" t="str">
        <f>+'PAJAK JAN-NOV'!B81</f>
        <v>HERMAN</v>
      </c>
      <c r="AM84" s="33">
        <f t="shared" si="31"/>
        <v>124930</v>
      </c>
      <c r="AN84" s="32"/>
      <c r="AO84" s="33"/>
      <c r="AP84" s="32"/>
      <c r="AQ84" s="32"/>
    </row>
    <row r="85" spans="2:43" s="201" customFormat="1" ht="15" customHeight="1">
      <c r="B85" s="196">
        <v>80</v>
      </c>
      <c r="C85" s="197" t="str">
        <f>+PERBULAN!B85</f>
        <v>ANDRES CAHYADI</v>
      </c>
      <c r="D85" s="203" t="s">
        <v>687</v>
      </c>
      <c r="E85" s="43" t="s">
        <v>73</v>
      </c>
      <c r="F85" s="454" t="s">
        <v>688</v>
      </c>
      <c r="G85" s="454" t="s">
        <v>375</v>
      </c>
      <c r="H85" s="441" t="s">
        <v>39</v>
      </c>
      <c r="I85" s="436" t="s">
        <v>11</v>
      </c>
      <c r="J85" s="436" t="str">
        <f t="shared" si="19"/>
        <v>TER B</v>
      </c>
      <c r="K85" s="437">
        <v>1</v>
      </c>
      <c r="L85" s="438">
        <v>12</v>
      </c>
      <c r="M85" s="46">
        <v>3747380</v>
      </c>
      <c r="N85" s="93">
        <v>999003.70370370371</v>
      </c>
      <c r="O85" s="88"/>
      <c r="P85" s="88">
        <v>188789.04</v>
      </c>
      <c r="Q85" s="46"/>
      <c r="R85" s="46">
        <f t="shared" si="32"/>
        <v>4935172.7437037034</v>
      </c>
      <c r="S85" s="46">
        <f>+SETAHUN!J85</f>
        <v>4064100</v>
      </c>
      <c r="T85" s="46">
        <f>+SETAHUN!L85</f>
        <v>200000</v>
      </c>
      <c r="U85" s="46"/>
      <c r="V85" s="46">
        <f>+SETAHUN!G85+M85+N85</f>
        <v>46465397.863703698</v>
      </c>
      <c r="W85" s="46"/>
      <c r="X85" s="46">
        <f>+SETAHUN!W85+P85</f>
        <v>2262812.88</v>
      </c>
      <c r="Y85" s="46">
        <v>0</v>
      </c>
      <c r="Z85" s="46">
        <v>0</v>
      </c>
      <c r="AA85" s="46">
        <f t="shared" si="20"/>
        <v>4264100</v>
      </c>
      <c r="AB85" s="46">
        <f t="shared" si="21"/>
        <v>52992310.743703701</v>
      </c>
      <c r="AC85" s="46">
        <f t="shared" si="22"/>
        <v>2649616</v>
      </c>
      <c r="AD85" s="46">
        <f>('ASTEK 2% -DIISI SMPAI DESEMBER'!O203+'ASTEK 2% -DIISI SMPAI DESEMBER'!O84)</f>
        <v>1399428</v>
      </c>
      <c r="AE85" s="46">
        <f t="shared" si="23"/>
        <v>48943266.743703701</v>
      </c>
      <c r="AF85" s="88">
        <f t="shared" si="27"/>
        <v>67500000</v>
      </c>
      <c r="AG85" s="88">
        <f t="shared" si="33"/>
        <v>0</v>
      </c>
      <c r="AH85" s="439">
        <f t="shared" si="28"/>
        <v>0</v>
      </c>
      <c r="AI85" s="439">
        <f t="shared" si="29"/>
        <v>0</v>
      </c>
      <c r="AJ85" s="88">
        <f>+'PAJAK JAN-NOV'!R82</f>
        <v>82326</v>
      </c>
      <c r="AK85" s="410">
        <f t="shared" si="30"/>
        <v>0</v>
      </c>
      <c r="AL85" s="32" t="str">
        <f>+'PAJAK JAN-NOV'!B82</f>
        <v>ANDRES CAHYADI</v>
      </c>
      <c r="AM85" s="33">
        <f t="shared" si="31"/>
        <v>82326</v>
      </c>
      <c r="AN85" s="32"/>
      <c r="AO85" s="33"/>
      <c r="AP85" s="32"/>
      <c r="AQ85" s="32"/>
    </row>
    <row r="86" spans="2:43" s="201" customFormat="1" ht="15" customHeight="1">
      <c r="B86" s="196">
        <v>81</v>
      </c>
      <c r="C86" s="510" t="str">
        <f>+PERBULAN!B86</f>
        <v>SAMSIR</v>
      </c>
      <c r="D86" s="511" t="s">
        <v>689</v>
      </c>
      <c r="E86" s="512" t="s">
        <v>73</v>
      </c>
      <c r="F86" s="513" t="s">
        <v>690</v>
      </c>
      <c r="G86" s="513" t="s">
        <v>375</v>
      </c>
      <c r="H86" s="514" t="s">
        <v>39</v>
      </c>
      <c r="I86" s="515" t="s">
        <v>17</v>
      </c>
      <c r="J86" s="515" t="str">
        <f t="shared" si="19"/>
        <v>TER A</v>
      </c>
      <c r="K86" s="516">
        <v>1</v>
      </c>
      <c r="L86" s="516">
        <v>11</v>
      </c>
      <c r="M86" s="517"/>
      <c r="N86" s="517"/>
      <c r="O86" s="517"/>
      <c r="P86" s="517"/>
      <c r="Q86" s="518"/>
      <c r="R86" s="518">
        <f t="shared" si="32"/>
        <v>0</v>
      </c>
      <c r="S86" s="518">
        <f>+SETAHUN!J86</f>
        <v>4001100</v>
      </c>
      <c r="T86" s="518">
        <f>+SETAHUN!L86</f>
        <v>200000</v>
      </c>
      <c r="U86" s="518"/>
      <c r="V86" s="518">
        <f>+SETAHUN!G86+M86+N86</f>
        <v>40110401.159999989</v>
      </c>
      <c r="W86" s="518"/>
      <c r="X86" s="518">
        <f>+SETAHUN!W86+P86</f>
        <v>2076675.8399999999</v>
      </c>
      <c r="Y86" s="518">
        <v>0</v>
      </c>
      <c r="Z86" s="518">
        <v>0</v>
      </c>
      <c r="AA86" s="518">
        <f t="shared" si="20"/>
        <v>4201100</v>
      </c>
      <c r="AB86" s="518">
        <f t="shared" si="21"/>
        <v>46388176.999999985</v>
      </c>
      <c r="AC86" s="518">
        <f t="shared" si="22"/>
        <v>2319409</v>
      </c>
      <c r="AD86" s="518">
        <f>('ASTEK 2% -DIISI SMPAI DESEMBER'!O204+'ASTEK 2% -DIISI SMPAI DESEMBER'!O85)</f>
        <v>1283310</v>
      </c>
      <c r="AE86" s="518">
        <f t="shared" si="23"/>
        <v>42785457.999999985</v>
      </c>
      <c r="AF86" s="517">
        <f t="shared" si="27"/>
        <v>58500000</v>
      </c>
      <c r="AG86" s="517">
        <f t="shared" si="33"/>
        <v>0</v>
      </c>
      <c r="AH86" s="519">
        <f t="shared" si="28"/>
        <v>0</v>
      </c>
      <c r="AI86" s="519">
        <f t="shared" si="29"/>
        <v>0</v>
      </c>
      <c r="AJ86" s="517">
        <f>+'PAJAK JAN-NOV'!R83</f>
        <v>121060</v>
      </c>
      <c r="AK86" s="520">
        <f t="shared" si="30"/>
        <v>0</v>
      </c>
      <c r="AL86" s="32" t="str">
        <f>+'PAJAK JAN-NOV'!B83</f>
        <v>SAMSIR</v>
      </c>
      <c r="AM86" s="33">
        <f t="shared" si="31"/>
        <v>121060</v>
      </c>
      <c r="AN86" s="32"/>
      <c r="AO86" s="33"/>
      <c r="AP86" s="32"/>
      <c r="AQ86" s="32"/>
    </row>
    <row r="87" spans="2:43" s="201" customFormat="1" ht="15" customHeight="1">
      <c r="B87" s="196">
        <v>82</v>
      </c>
      <c r="C87" s="510" t="str">
        <f>+PERBULAN!B87</f>
        <v>FEBRIANSYAH</v>
      </c>
      <c r="D87" s="511" t="s">
        <v>691</v>
      </c>
      <c r="E87" s="512" t="s">
        <v>73</v>
      </c>
      <c r="F87" s="513" t="s">
        <v>692</v>
      </c>
      <c r="G87" s="513" t="s">
        <v>375</v>
      </c>
      <c r="H87" s="514" t="s">
        <v>39</v>
      </c>
      <c r="I87" s="515" t="s">
        <v>9</v>
      </c>
      <c r="J87" s="515" t="str">
        <f t="shared" si="19"/>
        <v>TER B</v>
      </c>
      <c r="K87" s="516">
        <v>1</v>
      </c>
      <c r="L87" s="516">
        <v>5</v>
      </c>
      <c r="M87" s="517"/>
      <c r="N87" s="517"/>
      <c r="O87" s="517"/>
      <c r="P87" s="517"/>
      <c r="Q87" s="518"/>
      <c r="R87" s="518">
        <f t="shared" si="32"/>
        <v>0</v>
      </c>
      <c r="S87" s="518">
        <f>+SETAHUN!J87</f>
        <v>4034100</v>
      </c>
      <c r="T87" s="518">
        <f>+SETAHUN!L87</f>
        <v>200000</v>
      </c>
      <c r="U87" s="518"/>
      <c r="V87" s="518">
        <f>+SETAHUN!G87+M87+N87</f>
        <v>17475998.240000002</v>
      </c>
      <c r="W87" s="518"/>
      <c r="X87" s="518">
        <f>+SETAHUN!W87+P87</f>
        <v>941737.2</v>
      </c>
      <c r="Y87" s="518">
        <v>0</v>
      </c>
      <c r="Z87" s="518">
        <v>0</v>
      </c>
      <c r="AA87" s="518">
        <f t="shared" si="20"/>
        <v>4234100</v>
      </c>
      <c r="AB87" s="518">
        <f t="shared" si="21"/>
        <v>22651835.440000001</v>
      </c>
      <c r="AC87" s="518">
        <f t="shared" si="22"/>
        <v>1132592</v>
      </c>
      <c r="AD87" s="518">
        <f>('ASTEK 2% -DIISI SMPAI DESEMBER'!O205+'ASTEK 2% -DIISI SMPAI DESEMBER'!O86)</f>
        <v>581490</v>
      </c>
      <c r="AE87" s="518">
        <f t="shared" si="23"/>
        <v>20937753.440000001</v>
      </c>
      <c r="AF87" s="517">
        <f t="shared" si="27"/>
        <v>63000000</v>
      </c>
      <c r="AG87" s="517">
        <f t="shared" si="33"/>
        <v>0</v>
      </c>
      <c r="AH87" s="519">
        <f t="shared" si="28"/>
        <v>0</v>
      </c>
      <c r="AI87" s="519">
        <f t="shared" si="29"/>
        <v>0</v>
      </c>
      <c r="AJ87" s="517">
        <f>+'PAJAK JAN-NOV'!R84</f>
        <v>82793</v>
      </c>
      <c r="AK87" s="520">
        <f t="shared" si="30"/>
        <v>0</v>
      </c>
      <c r="AL87" s="32" t="str">
        <f>+'PAJAK JAN-NOV'!B84</f>
        <v>FEBRIANSYAH</v>
      </c>
      <c r="AM87" s="33">
        <f t="shared" si="31"/>
        <v>82793</v>
      </c>
      <c r="AN87" s="32"/>
      <c r="AO87" s="33"/>
      <c r="AP87" s="32"/>
      <c r="AQ87" s="32"/>
    </row>
    <row r="88" spans="2:43" s="201" customFormat="1" ht="15" customHeight="1">
      <c r="B88" s="196">
        <v>83</v>
      </c>
      <c r="C88" s="197" t="str">
        <f>+PERBULAN!B88</f>
        <v>WIDI JULIANSYAH</v>
      </c>
      <c r="D88" s="203" t="s">
        <v>693</v>
      </c>
      <c r="E88" s="43" t="s">
        <v>73</v>
      </c>
      <c r="F88" s="454" t="s">
        <v>694</v>
      </c>
      <c r="G88" s="454" t="s">
        <v>375</v>
      </c>
      <c r="H88" s="441" t="s">
        <v>39</v>
      </c>
      <c r="I88" s="436" t="s">
        <v>7</v>
      </c>
      <c r="J88" s="436" t="str">
        <f t="shared" si="19"/>
        <v>TER A</v>
      </c>
      <c r="K88" s="437">
        <v>1</v>
      </c>
      <c r="L88" s="438">
        <v>12</v>
      </c>
      <c r="M88" s="46">
        <v>3618160</v>
      </c>
      <c r="N88" s="88">
        <v>547740.22222222225</v>
      </c>
      <c r="O88" s="88"/>
      <c r="P88" s="88">
        <v>187869.44</v>
      </c>
      <c r="Q88" s="46"/>
      <c r="R88" s="46">
        <f t="shared" si="32"/>
        <v>4353769.6622222224</v>
      </c>
      <c r="S88" s="46">
        <f>+SETAHUN!J88</f>
        <v>3946600</v>
      </c>
      <c r="T88" s="46">
        <f>+SETAHUN!L88</f>
        <v>200000</v>
      </c>
      <c r="U88" s="46"/>
      <c r="V88" s="46">
        <f>+SETAHUN!G88+M88+N88</f>
        <v>44763628.38222222</v>
      </c>
      <c r="W88" s="46"/>
      <c r="X88" s="46">
        <f>+SETAHUN!W88+P88</f>
        <v>2253460.2799999998</v>
      </c>
      <c r="Y88" s="46">
        <v>0</v>
      </c>
      <c r="Z88" s="46">
        <v>0</v>
      </c>
      <c r="AA88" s="46">
        <f t="shared" si="20"/>
        <v>4146600</v>
      </c>
      <c r="AB88" s="46">
        <f t="shared" si="21"/>
        <v>51163688.662222221</v>
      </c>
      <c r="AC88" s="46">
        <f t="shared" si="22"/>
        <v>2558184</v>
      </c>
      <c r="AD88" s="46">
        <f>('ASTEK 2% -DIISI SMPAI DESEMBER'!O206+'ASTEK 2% -DIISI SMPAI DESEMBER'!O87)</f>
        <v>1396383</v>
      </c>
      <c r="AE88" s="46">
        <f t="shared" si="23"/>
        <v>47209121.662222221</v>
      </c>
      <c r="AF88" s="88">
        <f t="shared" si="27"/>
        <v>54000000</v>
      </c>
      <c r="AG88" s="88">
        <f t="shared" si="33"/>
        <v>0</v>
      </c>
      <c r="AH88" s="439">
        <f t="shared" si="28"/>
        <v>0</v>
      </c>
      <c r="AI88" s="439">
        <f t="shared" si="29"/>
        <v>0</v>
      </c>
      <c r="AJ88" s="88">
        <f>+'PAJAK JAN-NOV'!R85</f>
        <v>119688</v>
      </c>
      <c r="AK88" s="410">
        <f t="shared" si="30"/>
        <v>0</v>
      </c>
      <c r="AL88" s="32" t="str">
        <f>+'PAJAK JAN-NOV'!B85</f>
        <v>WIDI JULIANSYAH</v>
      </c>
      <c r="AM88" s="33">
        <f t="shared" si="31"/>
        <v>119688</v>
      </c>
      <c r="AN88" s="32"/>
      <c r="AO88" s="33"/>
      <c r="AP88" s="32"/>
      <c r="AQ88" s="32"/>
    </row>
    <row r="89" spans="2:43" s="201" customFormat="1" ht="15" customHeight="1">
      <c r="B89" s="196">
        <v>84</v>
      </c>
      <c r="C89" s="510" t="str">
        <f>+PERBULAN!B89</f>
        <v>ANGGA NURDIANSYAH</v>
      </c>
      <c r="D89" s="511" t="s">
        <v>695</v>
      </c>
      <c r="E89" s="512" t="s">
        <v>73</v>
      </c>
      <c r="F89" s="513" t="s">
        <v>696</v>
      </c>
      <c r="G89" s="513" t="s">
        <v>375</v>
      </c>
      <c r="H89" s="514" t="s">
        <v>39</v>
      </c>
      <c r="I89" s="515" t="s">
        <v>9</v>
      </c>
      <c r="J89" s="515" t="str">
        <f t="shared" si="19"/>
        <v>TER B</v>
      </c>
      <c r="K89" s="516">
        <v>1</v>
      </c>
      <c r="L89" s="516">
        <v>11</v>
      </c>
      <c r="M89" s="517"/>
      <c r="N89" s="517"/>
      <c r="O89" s="517"/>
      <c r="P89" s="517"/>
      <c r="Q89" s="518"/>
      <c r="R89" s="518">
        <f t="shared" si="32"/>
        <v>0</v>
      </c>
      <c r="S89" s="518">
        <f>+SETAHUN!J89</f>
        <v>4028600</v>
      </c>
      <c r="T89" s="518">
        <f>+SETAHUN!L89</f>
        <v>200000</v>
      </c>
      <c r="U89" s="518"/>
      <c r="V89" s="518">
        <f>+SETAHUN!G89+M89+N89</f>
        <v>43464431.159999996</v>
      </c>
      <c r="W89" s="518"/>
      <c r="X89" s="518">
        <f>+SETAHUN!W89+P89</f>
        <v>2070047.8399999999</v>
      </c>
      <c r="Y89" s="518">
        <v>0</v>
      </c>
      <c r="Z89" s="518">
        <v>0</v>
      </c>
      <c r="AA89" s="518">
        <f t="shared" si="20"/>
        <v>4228600</v>
      </c>
      <c r="AB89" s="518">
        <f t="shared" si="21"/>
        <v>49763079</v>
      </c>
      <c r="AC89" s="518">
        <f t="shared" si="22"/>
        <v>2488154</v>
      </c>
      <c r="AD89" s="518">
        <f>('ASTEK 2% -DIISI SMPAI DESEMBER'!O207+'ASTEK 2% -DIISI SMPAI DESEMBER'!O88)</f>
        <v>1281210</v>
      </c>
      <c r="AE89" s="518">
        <f t="shared" si="23"/>
        <v>45993715</v>
      </c>
      <c r="AF89" s="517">
        <f t="shared" si="27"/>
        <v>63000000</v>
      </c>
      <c r="AG89" s="517">
        <f t="shared" si="33"/>
        <v>0</v>
      </c>
      <c r="AH89" s="519">
        <f t="shared" si="28"/>
        <v>0</v>
      </c>
      <c r="AI89" s="519">
        <f t="shared" si="29"/>
        <v>0</v>
      </c>
      <c r="AJ89" s="517">
        <f>+'PAJAK JAN-NOV'!R86</f>
        <v>140351</v>
      </c>
      <c r="AK89" s="520">
        <f t="shared" si="30"/>
        <v>0</v>
      </c>
      <c r="AL89" s="32" t="str">
        <f>+'PAJAK JAN-NOV'!B86</f>
        <v>ANGGA NURDIANSYAH</v>
      </c>
      <c r="AM89" s="33">
        <f t="shared" si="31"/>
        <v>140351</v>
      </c>
      <c r="AN89" s="32"/>
      <c r="AO89" s="33"/>
      <c r="AP89" s="32"/>
      <c r="AQ89" s="32"/>
    </row>
    <row r="90" spans="2:43" s="201" customFormat="1" ht="15" customHeight="1">
      <c r="B90" s="196">
        <v>85</v>
      </c>
      <c r="C90" s="197" t="str">
        <f>+PERBULAN!B90</f>
        <v>ISMAIL</v>
      </c>
      <c r="D90" s="203" t="s">
        <v>697</v>
      </c>
      <c r="E90" s="43" t="s">
        <v>73</v>
      </c>
      <c r="F90" s="454" t="s">
        <v>698</v>
      </c>
      <c r="G90" s="454" t="s">
        <v>375</v>
      </c>
      <c r="H90" s="441" t="s">
        <v>39</v>
      </c>
      <c r="I90" s="436" t="s">
        <v>7</v>
      </c>
      <c r="J90" s="436" t="str">
        <f t="shared" si="19"/>
        <v>TER A</v>
      </c>
      <c r="K90" s="437">
        <v>1</v>
      </c>
      <c r="L90" s="438">
        <v>12</v>
      </c>
      <c r="M90" s="46">
        <v>4005820</v>
      </c>
      <c r="N90" s="88">
        <v>995578</v>
      </c>
      <c r="O90" s="88"/>
      <c r="P90" s="88">
        <v>187869.44</v>
      </c>
      <c r="Q90" s="46"/>
      <c r="R90" s="46">
        <f t="shared" si="32"/>
        <v>5189267.4400000004</v>
      </c>
      <c r="S90" s="46">
        <f>+SETAHUN!J90</f>
        <v>3946600</v>
      </c>
      <c r="T90" s="46">
        <f>+SETAHUN!L90</f>
        <v>200000</v>
      </c>
      <c r="U90" s="46"/>
      <c r="V90" s="46">
        <f>+SETAHUN!G90+M90+N90</f>
        <v>51829403.160000004</v>
      </c>
      <c r="W90" s="46"/>
      <c r="X90" s="46">
        <f>+SETAHUN!W90+P90</f>
        <v>2253581.2799999998</v>
      </c>
      <c r="Y90" s="46">
        <v>0</v>
      </c>
      <c r="Z90" s="46">
        <v>0</v>
      </c>
      <c r="AA90" s="46">
        <f t="shared" si="20"/>
        <v>4146600</v>
      </c>
      <c r="AB90" s="46">
        <f t="shared" si="21"/>
        <v>58229584.440000005</v>
      </c>
      <c r="AC90" s="46">
        <f t="shared" si="22"/>
        <v>2911479</v>
      </c>
      <c r="AD90" s="46">
        <f>('ASTEK 2% -DIISI SMPAI DESEMBER'!O208+'ASTEK 2% -DIISI SMPAI DESEMBER'!O89)</f>
        <v>1396458</v>
      </c>
      <c r="AE90" s="46">
        <f t="shared" si="23"/>
        <v>53921647.440000005</v>
      </c>
      <c r="AF90" s="88">
        <f t="shared" si="27"/>
        <v>54000000</v>
      </c>
      <c r="AG90" s="88">
        <f t="shared" si="33"/>
        <v>0</v>
      </c>
      <c r="AH90" s="439">
        <f t="shared" si="28"/>
        <v>0</v>
      </c>
      <c r="AI90" s="439">
        <f t="shared" si="29"/>
        <v>0</v>
      </c>
      <c r="AJ90" s="88">
        <f>+'PAJAK JAN-NOV'!R87</f>
        <v>194033</v>
      </c>
      <c r="AK90" s="410">
        <f t="shared" si="30"/>
        <v>0</v>
      </c>
      <c r="AL90" s="32" t="str">
        <f>+'PAJAK JAN-NOV'!B87</f>
        <v>ISMAIL</v>
      </c>
      <c r="AM90" s="33">
        <f t="shared" si="31"/>
        <v>194033</v>
      </c>
      <c r="AN90" s="32"/>
      <c r="AO90" s="33"/>
      <c r="AP90" s="32"/>
      <c r="AQ90" s="32"/>
    </row>
    <row r="91" spans="2:43" s="201" customFormat="1" ht="15" customHeight="1">
      <c r="B91" s="196">
        <v>86</v>
      </c>
      <c r="C91" s="510" t="str">
        <f>+PERBULAN!B91</f>
        <v>JOPI APRIAN HIDAYAT</v>
      </c>
      <c r="D91" s="511" t="s">
        <v>699</v>
      </c>
      <c r="E91" s="512" t="s">
        <v>73</v>
      </c>
      <c r="F91" s="513" t="s">
        <v>700</v>
      </c>
      <c r="G91" s="513" t="s">
        <v>375</v>
      </c>
      <c r="H91" s="514" t="s">
        <v>39</v>
      </c>
      <c r="I91" s="515" t="s">
        <v>7</v>
      </c>
      <c r="J91" s="515" t="str">
        <f t="shared" si="19"/>
        <v>TER A</v>
      </c>
      <c r="K91" s="516">
        <v>1</v>
      </c>
      <c r="L91" s="516">
        <v>11</v>
      </c>
      <c r="M91" s="517"/>
      <c r="N91" s="517"/>
      <c r="O91" s="517"/>
      <c r="P91" s="517"/>
      <c r="Q91" s="518"/>
      <c r="R91" s="518">
        <f t="shared" si="32"/>
        <v>0</v>
      </c>
      <c r="S91" s="518">
        <f>+SETAHUN!J91</f>
        <v>3946600</v>
      </c>
      <c r="T91" s="518">
        <f>+SETAHUN!L91</f>
        <v>200000</v>
      </c>
      <c r="U91" s="518"/>
      <c r="V91" s="518">
        <f>+SETAHUN!G91+M91+N91</f>
        <v>45949137.160000004</v>
      </c>
      <c r="W91" s="518"/>
      <c r="X91" s="518">
        <f>+SETAHUN!W91+P91</f>
        <v>2065811.8399999999</v>
      </c>
      <c r="Y91" s="518">
        <v>0</v>
      </c>
      <c r="Z91" s="518">
        <v>0</v>
      </c>
      <c r="AA91" s="518">
        <f t="shared" si="20"/>
        <v>4146600</v>
      </c>
      <c r="AB91" s="518">
        <f t="shared" si="21"/>
        <v>52161549</v>
      </c>
      <c r="AC91" s="518">
        <f t="shared" si="22"/>
        <v>2608077</v>
      </c>
      <c r="AD91" s="518">
        <f>('ASTEK 2% -DIISI SMPAI DESEMBER'!O209+'ASTEK 2% -DIISI SMPAI DESEMBER'!O90)</f>
        <v>1280010</v>
      </c>
      <c r="AE91" s="518">
        <f t="shared" si="23"/>
        <v>48273462</v>
      </c>
      <c r="AF91" s="517">
        <f t="shared" si="27"/>
        <v>54000000</v>
      </c>
      <c r="AG91" s="517">
        <f t="shared" si="33"/>
        <v>0</v>
      </c>
      <c r="AH91" s="519">
        <f t="shared" si="28"/>
        <v>0</v>
      </c>
      <c r="AI91" s="519">
        <f t="shared" si="29"/>
        <v>0</v>
      </c>
      <c r="AJ91" s="517">
        <f>+'PAJAK JAN-NOV'!R88</f>
        <v>193058</v>
      </c>
      <c r="AK91" s="520">
        <f t="shared" si="30"/>
        <v>0</v>
      </c>
      <c r="AL91" s="32" t="str">
        <f>+'PAJAK JAN-NOV'!B88</f>
        <v>JOPI APRIAN HIDAYAT</v>
      </c>
      <c r="AM91" s="33">
        <f t="shared" si="31"/>
        <v>193058</v>
      </c>
      <c r="AN91" s="32"/>
      <c r="AO91" s="33"/>
      <c r="AP91" s="32"/>
      <c r="AQ91" s="32"/>
    </row>
    <row r="92" spans="2:43" s="201" customFormat="1" ht="15" customHeight="1">
      <c r="B92" s="196">
        <v>87</v>
      </c>
      <c r="C92" s="510" t="str">
        <f>+PERBULAN!B92</f>
        <v>BINTANG ADITYA REVALDO</v>
      </c>
      <c r="D92" s="511" t="s">
        <v>701</v>
      </c>
      <c r="E92" s="512" t="s">
        <v>73</v>
      </c>
      <c r="F92" s="513" t="s">
        <v>702</v>
      </c>
      <c r="G92" s="513" t="s">
        <v>375</v>
      </c>
      <c r="H92" s="514" t="s">
        <v>39</v>
      </c>
      <c r="I92" s="515" t="s">
        <v>7</v>
      </c>
      <c r="J92" s="515" t="str">
        <f t="shared" si="19"/>
        <v>TER A</v>
      </c>
      <c r="K92" s="516">
        <v>2</v>
      </c>
      <c r="L92" s="516">
        <v>5</v>
      </c>
      <c r="M92" s="517"/>
      <c r="N92" s="517"/>
      <c r="O92" s="517"/>
      <c r="P92" s="517"/>
      <c r="Q92" s="518"/>
      <c r="R92" s="518">
        <f t="shared" si="32"/>
        <v>0</v>
      </c>
      <c r="S92" s="518">
        <f>+SETAHUN!J92</f>
        <v>323050</v>
      </c>
      <c r="T92" s="518">
        <f>+SETAHUN!L92</f>
        <v>0</v>
      </c>
      <c r="U92" s="518"/>
      <c r="V92" s="518">
        <f>+SETAHUN!G92+M92+N92</f>
        <v>11450108.24</v>
      </c>
      <c r="W92" s="518"/>
      <c r="X92" s="518">
        <f>+SETAHUN!W92+P92</f>
        <v>783073.2</v>
      </c>
      <c r="Y92" s="518">
        <v>0</v>
      </c>
      <c r="Z92" s="518">
        <v>0</v>
      </c>
      <c r="AA92" s="518">
        <f t="shared" si="20"/>
        <v>323050</v>
      </c>
      <c r="AB92" s="518">
        <f t="shared" si="21"/>
        <v>12556231.439999999</v>
      </c>
      <c r="AC92" s="518">
        <f t="shared" si="22"/>
        <v>627812</v>
      </c>
      <c r="AD92" s="518">
        <f>('ASTEK 2% -DIISI SMPAI DESEMBER'!O210+'ASTEK 2% -DIISI SMPAI DESEMBER'!O91)</f>
        <v>581490</v>
      </c>
      <c r="AE92" s="518">
        <f t="shared" si="23"/>
        <v>11346929.439999999</v>
      </c>
      <c r="AF92" s="517">
        <f t="shared" si="27"/>
        <v>54000000</v>
      </c>
      <c r="AG92" s="517">
        <f t="shared" si="33"/>
        <v>0</v>
      </c>
      <c r="AH92" s="519">
        <f t="shared" si="28"/>
        <v>0</v>
      </c>
      <c r="AI92" s="519">
        <f t="shared" si="29"/>
        <v>0</v>
      </c>
      <c r="AJ92" s="517">
        <f>+'PAJAK JAN-NOV'!R89</f>
        <v>0</v>
      </c>
      <c r="AK92" s="520">
        <f t="shared" si="30"/>
        <v>0</v>
      </c>
      <c r="AL92" s="32" t="str">
        <f>+'PAJAK JAN-NOV'!B89</f>
        <v>BINTANG ADITYA REVALDO</v>
      </c>
      <c r="AM92" s="33">
        <f t="shared" si="31"/>
        <v>0</v>
      </c>
      <c r="AN92" s="32"/>
      <c r="AO92" s="33"/>
      <c r="AP92" s="32"/>
      <c r="AQ92" s="32"/>
    </row>
    <row r="93" spans="2:43" s="201" customFormat="1" ht="15" customHeight="1">
      <c r="B93" s="196">
        <v>88</v>
      </c>
      <c r="C93" s="197" t="str">
        <f>+PERBULAN!B93</f>
        <v>SOLEHAN</v>
      </c>
      <c r="D93" s="203" t="s">
        <v>711</v>
      </c>
      <c r="E93" s="43" t="s">
        <v>73</v>
      </c>
      <c r="F93" s="454" t="s">
        <v>712</v>
      </c>
      <c r="G93" s="454" t="s">
        <v>375</v>
      </c>
      <c r="H93" s="441" t="s">
        <v>39</v>
      </c>
      <c r="I93" s="436" t="s">
        <v>9</v>
      </c>
      <c r="J93" s="436" t="str">
        <f t="shared" si="19"/>
        <v>TER B</v>
      </c>
      <c r="K93" s="437">
        <v>1</v>
      </c>
      <c r="L93" s="438">
        <v>12</v>
      </c>
      <c r="M93" s="46">
        <v>4005820</v>
      </c>
      <c r="N93" s="88">
        <v>1196206.4444444445</v>
      </c>
      <c r="O93" s="88"/>
      <c r="P93" s="88">
        <v>188232.44</v>
      </c>
      <c r="Q93" s="46"/>
      <c r="R93" s="46">
        <f t="shared" si="32"/>
        <v>5390258.8844444444</v>
      </c>
      <c r="S93" s="46">
        <f>+SETAHUN!J93</f>
        <v>4026100</v>
      </c>
      <c r="T93" s="46">
        <f>+SETAHUN!L93</f>
        <v>200000</v>
      </c>
      <c r="U93" s="46"/>
      <c r="V93" s="46">
        <f>+SETAHUN!G93+M93+N93</f>
        <v>52691489.604444452</v>
      </c>
      <c r="W93" s="46"/>
      <c r="X93" s="46">
        <f>+SETAHUN!W93+P93</f>
        <v>2257559.2799999998</v>
      </c>
      <c r="Y93" s="46">
        <v>0</v>
      </c>
      <c r="Z93" s="46">
        <v>0</v>
      </c>
      <c r="AA93" s="46">
        <f t="shared" si="20"/>
        <v>4226100</v>
      </c>
      <c r="AB93" s="46">
        <f t="shared" si="21"/>
        <v>59175148.884444453</v>
      </c>
      <c r="AC93" s="46">
        <f t="shared" si="22"/>
        <v>2958757</v>
      </c>
      <c r="AD93" s="46">
        <f>('ASTEK 2% -DIISI SMPAI DESEMBER'!O211+'ASTEK 2% -DIISI SMPAI DESEMBER'!O92)</f>
        <v>1397808</v>
      </c>
      <c r="AE93" s="46">
        <f t="shared" si="23"/>
        <v>54818583.884444453</v>
      </c>
      <c r="AF93" s="88">
        <f t="shared" si="27"/>
        <v>63000000</v>
      </c>
      <c r="AG93" s="88">
        <f t="shared" si="33"/>
        <v>0</v>
      </c>
      <c r="AH93" s="439">
        <f t="shared" si="28"/>
        <v>0</v>
      </c>
      <c r="AI93" s="439">
        <f t="shared" si="29"/>
        <v>0</v>
      </c>
      <c r="AJ93" s="88">
        <f>+'PAJAK JAN-NOV'!R90</f>
        <v>138683</v>
      </c>
      <c r="AK93" s="410">
        <f t="shared" si="30"/>
        <v>0</v>
      </c>
      <c r="AL93" s="32" t="str">
        <f>+'PAJAK JAN-NOV'!B90</f>
        <v>SOLEHAN</v>
      </c>
      <c r="AM93" s="33">
        <f t="shared" si="31"/>
        <v>138683</v>
      </c>
      <c r="AN93" s="32"/>
      <c r="AO93" s="33"/>
      <c r="AP93" s="32"/>
      <c r="AQ93" s="32"/>
    </row>
    <row r="94" spans="2:43" s="201" customFormat="1" ht="15" customHeight="1">
      <c r="B94" s="196">
        <v>89</v>
      </c>
      <c r="C94" s="197" t="str">
        <f>+PERBULAN!B94</f>
        <v>WIRANTO</v>
      </c>
      <c r="D94" s="203" t="s">
        <v>707</v>
      </c>
      <c r="E94" s="43" t="s">
        <v>73</v>
      </c>
      <c r="F94" s="454" t="s">
        <v>708</v>
      </c>
      <c r="G94" s="454" t="s">
        <v>375</v>
      </c>
      <c r="H94" s="441" t="s">
        <v>39</v>
      </c>
      <c r="I94" s="436" t="s">
        <v>17</v>
      </c>
      <c r="J94" s="436" t="str">
        <f t="shared" si="19"/>
        <v>TER A</v>
      </c>
      <c r="K94" s="437">
        <v>1</v>
      </c>
      <c r="L94" s="438">
        <v>12</v>
      </c>
      <c r="M94" s="46">
        <v>2713620</v>
      </c>
      <c r="N94" s="88">
        <v>131550</v>
      </c>
      <c r="O94" s="88"/>
      <c r="P94" s="88">
        <v>188353.44</v>
      </c>
      <c r="Q94" s="46"/>
      <c r="R94" s="46">
        <f t="shared" si="32"/>
        <v>3033523.44</v>
      </c>
      <c r="S94" s="46">
        <f>+SETAHUN!J94</f>
        <v>4000100</v>
      </c>
      <c r="T94" s="46">
        <f>+SETAHUN!L94</f>
        <v>200000</v>
      </c>
      <c r="U94" s="46"/>
      <c r="V94" s="46">
        <f>+SETAHUN!G94+M94+N94</f>
        <v>45170599.160000004</v>
      </c>
      <c r="W94" s="46"/>
      <c r="X94" s="46">
        <f>+SETAHUN!W94+P94</f>
        <v>2258885.2799999998</v>
      </c>
      <c r="Y94" s="46">
        <v>0</v>
      </c>
      <c r="Z94" s="46">
        <v>0</v>
      </c>
      <c r="AA94" s="46">
        <f t="shared" si="20"/>
        <v>4200100</v>
      </c>
      <c r="AB94" s="46">
        <f t="shared" si="21"/>
        <v>51629584.440000005</v>
      </c>
      <c r="AC94" s="46">
        <f t="shared" si="22"/>
        <v>2581479</v>
      </c>
      <c r="AD94" s="46">
        <f>('ASTEK 2% -DIISI SMPAI DESEMBER'!O212+'ASTEK 2% -DIISI SMPAI DESEMBER'!O93)</f>
        <v>1398258</v>
      </c>
      <c r="AE94" s="46">
        <f t="shared" si="23"/>
        <v>47649847.440000005</v>
      </c>
      <c r="AF94" s="88">
        <f t="shared" si="27"/>
        <v>58500000</v>
      </c>
      <c r="AG94" s="88">
        <f t="shared" si="33"/>
        <v>0</v>
      </c>
      <c r="AH94" s="439">
        <f t="shared" si="28"/>
        <v>0</v>
      </c>
      <c r="AI94" s="439">
        <f t="shared" si="29"/>
        <v>0</v>
      </c>
      <c r="AJ94" s="88">
        <f>+'PAJAK JAN-NOV'!R91</f>
        <v>162989</v>
      </c>
      <c r="AK94" s="410">
        <f t="shared" si="30"/>
        <v>0</v>
      </c>
      <c r="AL94" s="32" t="str">
        <f>+'PAJAK JAN-NOV'!B91</f>
        <v>WIRANTO</v>
      </c>
      <c r="AM94" s="33">
        <f t="shared" si="31"/>
        <v>162989</v>
      </c>
      <c r="AN94" s="32"/>
      <c r="AO94" s="33"/>
      <c r="AP94" s="32"/>
      <c r="AQ94" s="32"/>
    </row>
    <row r="95" spans="2:43" s="201" customFormat="1" ht="15" customHeight="1">
      <c r="B95" s="196">
        <v>90</v>
      </c>
      <c r="C95" s="510" t="str">
        <f>+PERBULAN!B95</f>
        <v>RUSDIANA</v>
      </c>
      <c r="D95" s="511" t="s">
        <v>709</v>
      </c>
      <c r="E95" s="512" t="s">
        <v>706</v>
      </c>
      <c r="F95" s="513" t="s">
        <v>710</v>
      </c>
      <c r="G95" s="513"/>
      <c r="H95" s="514" t="s">
        <v>39</v>
      </c>
      <c r="I95" s="515" t="s">
        <v>9</v>
      </c>
      <c r="J95" s="515" t="str">
        <f t="shared" ref="J95:J105" si="34">IF(ISBLANK(I95),"",IF(OR(I95="TK/0",I95="TK/1",I95="K/0"),"TER A",IF(I95="K/3","TER C","TER B")))</f>
        <v>TER B</v>
      </c>
      <c r="K95" s="516">
        <v>1</v>
      </c>
      <c r="L95" s="516">
        <v>9</v>
      </c>
      <c r="M95" s="517"/>
      <c r="N95" s="517"/>
      <c r="O95" s="517"/>
      <c r="P95" s="517"/>
      <c r="Q95" s="518"/>
      <c r="R95" s="518">
        <f t="shared" si="32"/>
        <v>0</v>
      </c>
      <c r="S95" s="518">
        <f>+SETAHUN!J95</f>
        <v>4040100</v>
      </c>
      <c r="T95" s="518">
        <f>+SETAHUN!L95</f>
        <v>200000</v>
      </c>
      <c r="U95" s="518"/>
      <c r="V95" s="518">
        <f>+SETAHUN!G95+M95+N95</f>
        <v>37379388.679999992</v>
      </c>
      <c r="W95" s="518"/>
      <c r="X95" s="518">
        <f>+SETAHUN!W95+P95</f>
        <v>1697891.76</v>
      </c>
      <c r="Y95" s="518">
        <v>0</v>
      </c>
      <c r="Z95" s="518">
        <v>0</v>
      </c>
      <c r="AA95" s="518">
        <f t="shared" ref="AA95:AA117" si="35">SUM(S95:U95)</f>
        <v>4240100</v>
      </c>
      <c r="AB95" s="518">
        <f t="shared" ref="AB95:AB117" si="36">SUM(V95:AA95)</f>
        <v>43317380.43999999</v>
      </c>
      <c r="AC95" s="518">
        <f t="shared" ref="AC95:AC117" si="37">ROUND(IF((AB95)*5%&gt;6000000,6000000,(AB95)*5%),0)</f>
        <v>2165869</v>
      </c>
      <c r="AD95" s="518">
        <f>('ASTEK 2% -DIISI SMPAI DESEMBER'!O213+'ASTEK 2% -DIISI SMPAI DESEMBER'!O94)</f>
        <v>1048824</v>
      </c>
      <c r="AE95" s="518">
        <f t="shared" ref="AE95:AE117" si="38">AB95-AC95-AD95</f>
        <v>40102687.43999999</v>
      </c>
      <c r="AF95" s="517">
        <f t="shared" si="27"/>
        <v>63000000</v>
      </c>
      <c r="AG95" s="517">
        <f t="shared" si="33"/>
        <v>0</v>
      </c>
      <c r="AH95" s="519">
        <f t="shared" si="28"/>
        <v>0</v>
      </c>
      <c r="AI95" s="519">
        <f t="shared" si="29"/>
        <v>0</v>
      </c>
      <c r="AJ95" s="517">
        <f>+'PAJAK JAN-NOV'!R92</f>
        <v>89258</v>
      </c>
      <c r="AK95" s="520">
        <f t="shared" si="30"/>
        <v>0</v>
      </c>
      <c r="AL95" s="32" t="str">
        <f>+'PAJAK JAN-NOV'!B92</f>
        <v>RUSDIANA</v>
      </c>
      <c r="AM95" s="33">
        <f t="shared" si="31"/>
        <v>89258</v>
      </c>
      <c r="AN95" s="32"/>
      <c r="AO95" s="33"/>
      <c r="AP95" s="32"/>
      <c r="AQ95" s="32"/>
    </row>
    <row r="96" spans="2:43" s="201" customFormat="1" ht="15" customHeight="1">
      <c r="B96" s="196">
        <v>91</v>
      </c>
      <c r="C96" s="197" t="str">
        <f>+PERBULAN!B96</f>
        <v>EDI ZULKARNADI</v>
      </c>
      <c r="D96" s="203" t="s">
        <v>720</v>
      </c>
      <c r="E96" s="43" t="s">
        <v>721</v>
      </c>
      <c r="F96" s="454" t="s">
        <v>722</v>
      </c>
      <c r="G96" s="454" t="s">
        <v>375</v>
      </c>
      <c r="H96" s="441" t="s">
        <v>39</v>
      </c>
      <c r="I96" s="436" t="s">
        <v>9</v>
      </c>
      <c r="J96" s="436" t="str">
        <f t="shared" si="34"/>
        <v>TER B</v>
      </c>
      <c r="K96" s="437">
        <v>1</v>
      </c>
      <c r="L96" s="438">
        <v>12</v>
      </c>
      <c r="M96" s="46">
        <v>3747380</v>
      </c>
      <c r="N96" s="88">
        <v>1914198</v>
      </c>
      <c r="O96" s="88"/>
      <c r="P96" s="88">
        <v>188934.24</v>
      </c>
      <c r="Q96" s="46"/>
      <c r="R96" s="46">
        <f t="shared" si="32"/>
        <v>5850512.2400000002</v>
      </c>
      <c r="S96" s="46">
        <f>+SETAHUN!J96</f>
        <v>3998100</v>
      </c>
      <c r="T96" s="46">
        <f>+SETAHUN!L96</f>
        <v>600000</v>
      </c>
      <c r="U96" s="46"/>
      <c r="V96" s="46">
        <f>+SETAHUN!G96+M96+N96</f>
        <v>54760333.599999987</v>
      </c>
      <c r="W96" s="46"/>
      <c r="X96" s="46">
        <f>+SETAHUN!W96+P96</f>
        <v>2265370.08</v>
      </c>
      <c r="Y96" s="46">
        <v>0</v>
      </c>
      <c r="Z96" s="46">
        <v>0</v>
      </c>
      <c r="AA96" s="46">
        <f t="shared" si="35"/>
        <v>4598100</v>
      </c>
      <c r="AB96" s="46">
        <f t="shared" si="36"/>
        <v>61623803.679999985</v>
      </c>
      <c r="AC96" s="46">
        <f t="shared" si="37"/>
        <v>3081190</v>
      </c>
      <c r="AD96" s="46">
        <f>('ASTEK 2% -DIISI SMPAI DESEMBER'!O214+'ASTEK 2% -DIISI SMPAI DESEMBER'!O95)</f>
        <v>1400418</v>
      </c>
      <c r="AE96" s="46">
        <f t="shared" si="38"/>
        <v>57142195.679999985</v>
      </c>
      <c r="AF96" s="88">
        <f t="shared" si="27"/>
        <v>63000000</v>
      </c>
      <c r="AG96" s="88">
        <f t="shared" si="33"/>
        <v>0</v>
      </c>
      <c r="AH96" s="439">
        <f t="shared" si="28"/>
        <v>0</v>
      </c>
      <c r="AI96" s="439">
        <f t="shared" si="29"/>
        <v>0</v>
      </c>
      <c r="AJ96" s="88">
        <f>+'PAJAK JAN-NOV'!R93</f>
        <v>85203</v>
      </c>
      <c r="AK96" s="410">
        <f t="shared" si="30"/>
        <v>0</v>
      </c>
      <c r="AL96" s="32" t="str">
        <f>+'PAJAK JAN-NOV'!B93</f>
        <v>EDI ZULKARNADI</v>
      </c>
      <c r="AM96" s="33">
        <f t="shared" si="31"/>
        <v>85203</v>
      </c>
      <c r="AN96" s="32"/>
      <c r="AO96" s="33"/>
      <c r="AP96" s="32"/>
      <c r="AQ96" s="32"/>
    </row>
    <row r="97" spans="2:43" s="201" customFormat="1" ht="15" customHeight="1">
      <c r="B97" s="196">
        <v>92</v>
      </c>
      <c r="C97" s="197" t="str">
        <f>+PERBULAN!B97</f>
        <v>ERLANDA</v>
      </c>
      <c r="D97" s="203" t="s">
        <v>723</v>
      </c>
      <c r="E97" s="43" t="s">
        <v>73</v>
      </c>
      <c r="F97" s="454" t="s">
        <v>724</v>
      </c>
      <c r="G97" s="454" t="s">
        <v>375</v>
      </c>
      <c r="H97" s="441" t="s">
        <v>39</v>
      </c>
      <c r="I97" s="436" t="s">
        <v>11</v>
      </c>
      <c r="J97" s="436" t="str">
        <f t="shared" si="34"/>
        <v>TER B</v>
      </c>
      <c r="K97" s="437">
        <v>1</v>
      </c>
      <c r="L97" s="438">
        <v>12</v>
      </c>
      <c r="M97" s="46">
        <v>4005820</v>
      </c>
      <c r="N97" s="88">
        <v>1381016.1481481481</v>
      </c>
      <c r="O97" s="88"/>
      <c r="P97" s="88">
        <v>187990.44</v>
      </c>
      <c r="Q97" s="46"/>
      <c r="R97" s="46">
        <f t="shared" si="32"/>
        <v>5574826.5881481487</v>
      </c>
      <c r="S97" s="46">
        <f>+SETAHUN!J97</f>
        <v>4048100</v>
      </c>
      <c r="T97" s="46">
        <f>+SETAHUN!L97</f>
        <v>200000</v>
      </c>
      <c r="U97" s="46"/>
      <c r="V97" s="46">
        <f>+SETAHUN!G97+M97+N97</f>
        <v>53057817.308148153</v>
      </c>
      <c r="W97" s="46"/>
      <c r="X97" s="46">
        <f>+SETAHUN!W97+P97</f>
        <v>2254223.2799999998</v>
      </c>
      <c r="Y97" s="46">
        <v>0</v>
      </c>
      <c r="Z97" s="46">
        <v>0</v>
      </c>
      <c r="AA97" s="46">
        <f t="shared" si="35"/>
        <v>4248100</v>
      </c>
      <c r="AB97" s="46">
        <f t="shared" si="36"/>
        <v>59560140.588148154</v>
      </c>
      <c r="AC97" s="46">
        <f t="shared" si="37"/>
        <v>2978007</v>
      </c>
      <c r="AD97" s="46">
        <f>('ASTEK 2% -DIISI SMPAI DESEMBER'!O215+'ASTEK 2% -DIISI SMPAI DESEMBER'!O96)</f>
        <v>1396608</v>
      </c>
      <c r="AE97" s="46">
        <f t="shared" si="38"/>
        <v>55185525.588148154</v>
      </c>
      <c r="AF97" s="88">
        <f t="shared" si="27"/>
        <v>67500000</v>
      </c>
      <c r="AG97" s="88">
        <f t="shared" si="33"/>
        <v>0</v>
      </c>
      <c r="AH97" s="439">
        <f t="shared" si="28"/>
        <v>0</v>
      </c>
      <c r="AI97" s="439">
        <f t="shared" si="29"/>
        <v>0</v>
      </c>
      <c r="AJ97" s="88">
        <f>+'PAJAK JAN-NOV'!R94</f>
        <v>82508</v>
      </c>
      <c r="AK97" s="410">
        <f t="shared" si="30"/>
        <v>0</v>
      </c>
      <c r="AL97" s="32" t="str">
        <f>+'PAJAK JAN-NOV'!B94</f>
        <v>ERLANDA</v>
      </c>
      <c r="AM97" s="33">
        <f t="shared" si="31"/>
        <v>82508</v>
      </c>
      <c r="AN97" s="32"/>
      <c r="AO97" s="33"/>
      <c r="AP97" s="32"/>
      <c r="AQ97" s="32"/>
    </row>
    <row r="98" spans="2:43" s="201" customFormat="1" ht="15" customHeight="1">
      <c r="B98" s="196">
        <v>93</v>
      </c>
      <c r="C98" s="197" t="str">
        <f>+PERBULAN!B98</f>
        <v>SUNARDI</v>
      </c>
      <c r="D98" s="536" t="s">
        <v>733</v>
      </c>
      <c r="E98" s="43" t="s">
        <v>73</v>
      </c>
      <c r="F98" s="454" t="s">
        <v>725</v>
      </c>
      <c r="G98" s="454" t="s">
        <v>375</v>
      </c>
      <c r="H98" s="441" t="s">
        <v>39</v>
      </c>
      <c r="I98" s="436" t="s">
        <v>11</v>
      </c>
      <c r="J98" s="436" t="str">
        <f t="shared" si="34"/>
        <v>TER B</v>
      </c>
      <c r="K98" s="437">
        <v>1</v>
      </c>
      <c r="L98" s="438">
        <v>12</v>
      </c>
      <c r="M98" s="46">
        <v>3747380</v>
      </c>
      <c r="N98" s="88">
        <v>1563078</v>
      </c>
      <c r="O98" s="88"/>
      <c r="P98" s="88">
        <v>188111.44</v>
      </c>
      <c r="Q98" s="46"/>
      <c r="R98" s="46">
        <f t="shared" si="32"/>
        <v>5498569.4400000004</v>
      </c>
      <c r="S98" s="46">
        <f>+SETAHUN!J98</f>
        <v>4053100</v>
      </c>
      <c r="T98" s="46">
        <f>+SETAHUN!L98</f>
        <v>200000</v>
      </c>
      <c r="U98" s="46"/>
      <c r="V98" s="46">
        <f>+SETAHUN!G98+M98+N98</f>
        <v>54901738.160000004</v>
      </c>
      <c r="W98" s="46"/>
      <c r="X98" s="46">
        <f>+SETAHUN!W98+P98</f>
        <v>2256633.2799999998</v>
      </c>
      <c r="Y98" s="46">
        <v>0</v>
      </c>
      <c r="Z98" s="46">
        <v>0</v>
      </c>
      <c r="AA98" s="46">
        <f t="shared" si="35"/>
        <v>4253100</v>
      </c>
      <c r="AB98" s="46">
        <f t="shared" si="36"/>
        <v>61411471.440000005</v>
      </c>
      <c r="AC98" s="46">
        <f t="shared" si="37"/>
        <v>3070574</v>
      </c>
      <c r="AD98" s="46">
        <f>('ASTEK 2% -DIISI SMPAI DESEMBER'!O216+'ASTEK 2% -DIISI SMPAI DESEMBER'!O97)</f>
        <v>1397358</v>
      </c>
      <c r="AE98" s="46">
        <f t="shared" si="38"/>
        <v>56943539.440000005</v>
      </c>
      <c r="AF98" s="88">
        <f t="shared" si="27"/>
        <v>67500000</v>
      </c>
      <c r="AG98" s="88">
        <f t="shared" si="33"/>
        <v>0</v>
      </c>
      <c r="AH98" s="439">
        <f t="shared" si="28"/>
        <v>0</v>
      </c>
      <c r="AI98" s="439">
        <f t="shared" si="29"/>
        <v>0</v>
      </c>
      <c r="AJ98" s="88">
        <f>+'PAJAK JAN-NOV'!R95</f>
        <v>87096</v>
      </c>
      <c r="AK98" s="410">
        <f t="shared" si="30"/>
        <v>0</v>
      </c>
      <c r="AL98" s="32" t="str">
        <f>+'PAJAK JAN-NOV'!B95</f>
        <v>SUNARDI</v>
      </c>
      <c r="AM98" s="33">
        <f t="shared" si="31"/>
        <v>87096</v>
      </c>
      <c r="AN98" s="32"/>
      <c r="AO98" s="33"/>
      <c r="AP98" s="32"/>
      <c r="AQ98" s="32"/>
    </row>
    <row r="99" spans="2:43" s="201" customFormat="1" ht="15" customHeight="1">
      <c r="B99" s="196">
        <v>94</v>
      </c>
      <c r="C99" s="197" t="str">
        <f>+PERBULAN!B99</f>
        <v>ANDRI GUNAWAN</v>
      </c>
      <c r="D99" s="203" t="s">
        <v>727</v>
      </c>
      <c r="E99" s="43" t="s">
        <v>73</v>
      </c>
      <c r="F99" s="454" t="s">
        <v>728</v>
      </c>
      <c r="G99" s="454" t="s">
        <v>375</v>
      </c>
      <c r="H99" s="441" t="s">
        <v>39</v>
      </c>
      <c r="I99" s="436" t="s">
        <v>9</v>
      </c>
      <c r="J99" s="436" t="str">
        <f t="shared" si="34"/>
        <v>TER B</v>
      </c>
      <c r="K99" s="437">
        <v>3</v>
      </c>
      <c r="L99" s="438">
        <v>12</v>
      </c>
      <c r="M99" s="46">
        <v>3876600</v>
      </c>
      <c r="N99" s="88">
        <v>1048778.4444444445</v>
      </c>
      <c r="O99" s="88"/>
      <c r="P99" s="88">
        <v>187627.44</v>
      </c>
      <c r="Q99" s="46"/>
      <c r="R99" s="46">
        <f t="shared" si="32"/>
        <v>5113005.8844444444</v>
      </c>
      <c r="S99" s="46">
        <f>+SETAHUN!J99</f>
        <v>0</v>
      </c>
      <c r="T99" s="46">
        <f>+SETAHUN!L99</f>
        <v>0</v>
      </c>
      <c r="U99" s="46"/>
      <c r="V99" s="46">
        <f>+SETAHUN!G99+M99+N99</f>
        <v>43091260.484444439</v>
      </c>
      <c r="W99" s="46"/>
      <c r="X99" s="46">
        <f>+SETAHUN!W99+P99</f>
        <v>1876274.4</v>
      </c>
      <c r="Y99" s="46">
        <v>0</v>
      </c>
      <c r="Z99" s="46">
        <v>0</v>
      </c>
      <c r="AA99" s="46">
        <f t="shared" si="35"/>
        <v>0</v>
      </c>
      <c r="AB99" s="46">
        <f t="shared" si="36"/>
        <v>44967534.884444438</v>
      </c>
      <c r="AC99" s="46">
        <f t="shared" si="37"/>
        <v>2248377</v>
      </c>
      <c r="AD99" s="46">
        <f>('ASTEK 2% -DIISI SMPAI DESEMBER'!O217+'ASTEK 2% -DIISI SMPAI DESEMBER'!O98)</f>
        <v>1162980</v>
      </c>
      <c r="AE99" s="46">
        <f t="shared" si="38"/>
        <v>41556177.884444438</v>
      </c>
      <c r="AF99" s="88">
        <f t="shared" si="27"/>
        <v>63000000</v>
      </c>
      <c r="AG99" s="88">
        <f t="shared" si="33"/>
        <v>0</v>
      </c>
      <c r="AH99" s="439">
        <f t="shared" si="28"/>
        <v>0</v>
      </c>
      <c r="AI99" s="439">
        <f t="shared" si="29"/>
        <v>0</v>
      </c>
      <c r="AJ99" s="88">
        <f>+'PAJAK JAN-NOV'!R96</f>
        <v>0</v>
      </c>
      <c r="AK99" s="410">
        <f t="shared" si="30"/>
        <v>0</v>
      </c>
      <c r="AL99" s="32" t="str">
        <f>+'PAJAK JAN-NOV'!B96</f>
        <v>ANDRI GUNAWAN</v>
      </c>
      <c r="AM99" s="33">
        <f t="shared" si="31"/>
        <v>0</v>
      </c>
      <c r="AN99" s="32"/>
      <c r="AO99" s="33"/>
      <c r="AP99" s="32"/>
      <c r="AQ99" s="32"/>
    </row>
    <row r="100" spans="2:43" s="201" customFormat="1" ht="15" customHeight="1">
      <c r="B100" s="196">
        <v>95</v>
      </c>
      <c r="C100" s="197" t="str">
        <f>+PERBULAN!B100</f>
        <v>JUPRI</v>
      </c>
      <c r="D100" s="203" t="s">
        <v>736</v>
      </c>
      <c r="E100" s="43" t="s">
        <v>73</v>
      </c>
      <c r="F100" s="454" t="s">
        <v>737</v>
      </c>
      <c r="G100" s="454" t="s">
        <v>375</v>
      </c>
      <c r="H100" s="441" t="s">
        <v>39</v>
      </c>
      <c r="I100" s="436" t="s">
        <v>11</v>
      </c>
      <c r="J100" s="436" t="str">
        <f t="shared" si="34"/>
        <v>TER B</v>
      </c>
      <c r="K100" s="437">
        <v>1</v>
      </c>
      <c r="L100" s="438">
        <v>12</v>
      </c>
      <c r="M100" s="46">
        <v>3488940</v>
      </c>
      <c r="N100" s="88">
        <v>1069279.6296296297</v>
      </c>
      <c r="O100" s="88"/>
      <c r="P100" s="88">
        <v>188111.44</v>
      </c>
      <c r="Q100" s="46"/>
      <c r="R100" s="46">
        <f t="shared" si="32"/>
        <v>4746331.0696296301</v>
      </c>
      <c r="S100" s="46">
        <f>+SETAHUN!J100</f>
        <v>4050600</v>
      </c>
      <c r="T100" s="46">
        <f>+SETAHUN!L100</f>
        <v>200000</v>
      </c>
      <c r="U100" s="46"/>
      <c r="V100" s="46">
        <f>+SETAHUN!G100+M100+N100</f>
        <v>52716247.789629631</v>
      </c>
      <c r="W100" s="46"/>
      <c r="X100" s="46">
        <f>+SETAHUN!W100+P100</f>
        <v>2256333.2799999998</v>
      </c>
      <c r="Y100" s="46">
        <v>0</v>
      </c>
      <c r="Z100" s="46">
        <v>0</v>
      </c>
      <c r="AA100" s="46">
        <f t="shared" si="35"/>
        <v>4250600</v>
      </c>
      <c r="AB100" s="46">
        <f t="shared" si="36"/>
        <v>59223181.069629632</v>
      </c>
      <c r="AC100" s="46">
        <f t="shared" si="37"/>
        <v>2961159</v>
      </c>
      <c r="AD100" s="46">
        <f>('ASTEK 2% -DIISI SMPAI DESEMBER'!O218+'ASTEK 2% -DIISI SMPAI DESEMBER'!O99)</f>
        <v>1397376</v>
      </c>
      <c r="AE100" s="46">
        <f t="shared" si="38"/>
        <v>54864646.069629632</v>
      </c>
      <c r="AF100" s="88">
        <f t="shared" si="27"/>
        <v>67500000</v>
      </c>
      <c r="AG100" s="88">
        <f t="shared" si="33"/>
        <v>0</v>
      </c>
      <c r="AH100" s="439">
        <f t="shared" si="28"/>
        <v>0</v>
      </c>
      <c r="AI100" s="439">
        <f t="shared" si="29"/>
        <v>0</v>
      </c>
      <c r="AJ100" s="88">
        <f>+'PAJAK JAN-NOV'!R97</f>
        <v>85964</v>
      </c>
      <c r="AK100" s="410">
        <f t="shared" si="30"/>
        <v>0</v>
      </c>
      <c r="AL100" s="32" t="str">
        <f>+'PAJAK JAN-NOV'!B97</f>
        <v>JUPRI</v>
      </c>
      <c r="AM100" s="33">
        <f t="shared" si="31"/>
        <v>85964</v>
      </c>
      <c r="AN100" s="32"/>
      <c r="AO100" s="33"/>
      <c r="AP100" s="32"/>
      <c r="AQ100" s="32"/>
    </row>
    <row r="101" spans="2:43" s="201" customFormat="1" ht="15" customHeight="1">
      <c r="B101" s="196">
        <v>96</v>
      </c>
      <c r="C101" s="197" t="str">
        <f>+PERBULAN!B101</f>
        <v>RAMADHAN</v>
      </c>
      <c r="D101" s="203" t="s">
        <v>744</v>
      </c>
      <c r="E101" s="43" t="s">
        <v>73</v>
      </c>
      <c r="F101" s="454" t="s">
        <v>745</v>
      </c>
      <c r="G101" s="454" t="s">
        <v>746</v>
      </c>
      <c r="H101" s="441" t="s">
        <v>39</v>
      </c>
      <c r="I101" s="436" t="s">
        <v>7</v>
      </c>
      <c r="J101" s="436" t="str">
        <f t="shared" si="34"/>
        <v>TER A</v>
      </c>
      <c r="K101" s="437">
        <v>12</v>
      </c>
      <c r="L101" s="437">
        <v>12</v>
      </c>
      <c r="M101" s="46">
        <v>4005820</v>
      </c>
      <c r="N101" s="88">
        <v>959090</v>
      </c>
      <c r="O101" s="88"/>
      <c r="P101" s="88">
        <v>187627.44</v>
      </c>
      <c r="Q101" s="46"/>
      <c r="R101" s="46">
        <f t="shared" si="32"/>
        <v>5152537.4400000004</v>
      </c>
      <c r="S101" s="46">
        <f>+SETAHUN!J101</f>
        <v>0</v>
      </c>
      <c r="T101" s="46">
        <f>+SETAHUN!L101</f>
        <v>0</v>
      </c>
      <c r="U101" s="46"/>
      <c r="V101" s="46">
        <f>+SETAHUN!G101+M101+N101</f>
        <v>4964910</v>
      </c>
      <c r="W101" s="46"/>
      <c r="X101" s="46">
        <f>+SETAHUN!W101+P101</f>
        <v>187627.44</v>
      </c>
      <c r="Y101" s="46">
        <v>0</v>
      </c>
      <c r="Z101" s="46">
        <v>0</v>
      </c>
      <c r="AA101" s="46">
        <f t="shared" si="35"/>
        <v>0</v>
      </c>
      <c r="AB101" s="46">
        <f t="shared" si="36"/>
        <v>5152537.4400000004</v>
      </c>
      <c r="AC101" s="46">
        <f t="shared" si="37"/>
        <v>257627</v>
      </c>
      <c r="AD101" s="46">
        <f>('ASTEK 2% -DIISI SMPAI DESEMBER'!O219+'ASTEK 2% -DIISI SMPAI DESEMBER'!O100)</f>
        <v>116298</v>
      </c>
      <c r="AE101" s="46">
        <f t="shared" si="38"/>
        <v>4778612.4400000004</v>
      </c>
      <c r="AF101" s="88">
        <f t="shared" si="27"/>
        <v>54000000</v>
      </c>
      <c r="AG101" s="88">
        <f t="shared" si="33"/>
        <v>0</v>
      </c>
      <c r="AH101" s="439">
        <f t="shared" si="28"/>
        <v>0</v>
      </c>
      <c r="AI101" s="439">
        <f t="shared" si="29"/>
        <v>0</v>
      </c>
      <c r="AJ101" s="88">
        <f>+'PAJAK JAN-NOV'!R98</f>
        <v>0</v>
      </c>
      <c r="AK101" s="410">
        <f t="shared" si="30"/>
        <v>0</v>
      </c>
      <c r="AL101" s="32" t="str">
        <f>+'PAJAK JAN-NOV'!B98</f>
        <v>RAMADHAN</v>
      </c>
      <c r="AM101" s="33">
        <f t="shared" si="31"/>
        <v>0</v>
      </c>
      <c r="AN101" s="32"/>
      <c r="AO101" s="33"/>
      <c r="AP101" s="32"/>
      <c r="AQ101" s="32"/>
    </row>
    <row r="102" spans="2:43" s="201" customFormat="1" ht="15" customHeight="1">
      <c r="B102" s="196">
        <v>97</v>
      </c>
      <c r="C102" s="197" t="str">
        <f>+PERBULAN!B102</f>
        <v>RAFIANSYAH</v>
      </c>
      <c r="D102" s="203" t="s">
        <v>747</v>
      </c>
      <c r="E102" s="43" t="s">
        <v>73</v>
      </c>
      <c r="F102" s="454" t="s">
        <v>748</v>
      </c>
      <c r="G102" s="454" t="s">
        <v>746</v>
      </c>
      <c r="H102" s="441" t="s">
        <v>39</v>
      </c>
      <c r="I102" s="436" t="s">
        <v>7</v>
      </c>
      <c r="J102" s="436" t="str">
        <f t="shared" si="34"/>
        <v>TER A</v>
      </c>
      <c r="K102" s="437">
        <v>12</v>
      </c>
      <c r="L102" s="437">
        <v>12</v>
      </c>
      <c r="M102" s="46">
        <v>4005820</v>
      </c>
      <c r="N102" s="88">
        <v>675762</v>
      </c>
      <c r="O102" s="88"/>
      <c r="P102" s="88">
        <v>187627.44</v>
      </c>
      <c r="Q102" s="46"/>
      <c r="R102" s="46">
        <f t="shared" si="32"/>
        <v>4869209.4400000004</v>
      </c>
      <c r="S102" s="46">
        <f>+SETAHUN!J102</f>
        <v>0</v>
      </c>
      <c r="T102" s="46">
        <f>+SETAHUN!L102</f>
        <v>0</v>
      </c>
      <c r="U102" s="46"/>
      <c r="V102" s="46">
        <f>+SETAHUN!G102+M102+N102</f>
        <v>4681582</v>
      </c>
      <c r="W102" s="46"/>
      <c r="X102" s="46">
        <f>+SETAHUN!W102+P102</f>
        <v>187627.44</v>
      </c>
      <c r="Y102" s="46">
        <v>0</v>
      </c>
      <c r="Z102" s="46">
        <v>0</v>
      </c>
      <c r="AA102" s="46">
        <f t="shared" si="35"/>
        <v>0</v>
      </c>
      <c r="AB102" s="46">
        <f t="shared" si="36"/>
        <v>4869209.4400000004</v>
      </c>
      <c r="AC102" s="46">
        <f t="shared" si="37"/>
        <v>243460</v>
      </c>
      <c r="AD102" s="46">
        <f>('ASTEK 2% -DIISI SMPAI DESEMBER'!O220+'ASTEK 2% -DIISI SMPAI DESEMBER'!O101)</f>
        <v>116298</v>
      </c>
      <c r="AE102" s="46">
        <f t="shared" si="38"/>
        <v>4509451.4400000004</v>
      </c>
      <c r="AF102" s="88">
        <f t="shared" si="27"/>
        <v>54000000</v>
      </c>
      <c r="AG102" s="88">
        <f t="shared" si="33"/>
        <v>0</v>
      </c>
      <c r="AH102" s="439">
        <f t="shared" si="28"/>
        <v>0</v>
      </c>
      <c r="AI102" s="439">
        <f t="shared" si="29"/>
        <v>0</v>
      </c>
      <c r="AJ102" s="88">
        <f>+'PAJAK JAN-NOV'!R99</f>
        <v>0</v>
      </c>
      <c r="AK102" s="410">
        <f t="shared" si="30"/>
        <v>0</v>
      </c>
      <c r="AL102" s="32" t="str">
        <f>+'PAJAK JAN-NOV'!B99</f>
        <v>RAFIANSYAH</v>
      </c>
      <c r="AM102" s="33">
        <f t="shared" si="31"/>
        <v>0</v>
      </c>
      <c r="AN102" s="32"/>
      <c r="AO102" s="33"/>
      <c r="AP102" s="32"/>
      <c r="AQ102" s="32"/>
    </row>
    <row r="103" spans="2:43" s="201" customFormat="1" ht="15" customHeight="1">
      <c r="B103" s="196">
        <v>98</v>
      </c>
      <c r="C103" s="197" t="str">
        <f>+PERBULAN!B103</f>
        <v>VIRGA</v>
      </c>
      <c r="D103" s="203" t="s">
        <v>749</v>
      </c>
      <c r="E103" s="43" t="s">
        <v>73</v>
      </c>
      <c r="F103" s="454" t="s">
        <v>750</v>
      </c>
      <c r="G103" s="454" t="s">
        <v>746</v>
      </c>
      <c r="H103" s="441" t="s">
        <v>39</v>
      </c>
      <c r="I103" s="436" t="s">
        <v>7</v>
      </c>
      <c r="J103" s="436" t="str">
        <f t="shared" si="34"/>
        <v>TER A</v>
      </c>
      <c r="K103" s="437">
        <v>12</v>
      </c>
      <c r="L103" s="437">
        <v>12</v>
      </c>
      <c r="M103" s="46">
        <v>4005820</v>
      </c>
      <c r="N103" s="88">
        <v>19250</v>
      </c>
      <c r="O103" s="88"/>
      <c r="P103" s="88">
        <v>187627.44</v>
      </c>
      <c r="Q103" s="46"/>
      <c r="R103" s="46">
        <f t="shared" si="32"/>
        <v>4212697.4400000004</v>
      </c>
      <c r="S103" s="46">
        <f>+SETAHUN!J103</f>
        <v>0</v>
      </c>
      <c r="T103" s="46">
        <f>+SETAHUN!L103</f>
        <v>0</v>
      </c>
      <c r="U103" s="46"/>
      <c r="V103" s="46">
        <f>+SETAHUN!G103+M103+N103</f>
        <v>4025070</v>
      </c>
      <c r="W103" s="46"/>
      <c r="X103" s="46">
        <f>+SETAHUN!W103+P103</f>
        <v>187627.44</v>
      </c>
      <c r="Y103" s="46">
        <v>0</v>
      </c>
      <c r="Z103" s="46">
        <v>0</v>
      </c>
      <c r="AA103" s="46">
        <f t="shared" si="35"/>
        <v>0</v>
      </c>
      <c r="AB103" s="46">
        <f t="shared" si="36"/>
        <v>4212697.4400000004</v>
      </c>
      <c r="AC103" s="46">
        <f t="shared" si="37"/>
        <v>210635</v>
      </c>
      <c r="AD103" s="46">
        <f>('ASTEK 2% -DIISI SMPAI DESEMBER'!O221+'ASTEK 2% -DIISI SMPAI DESEMBER'!O102)</f>
        <v>116298</v>
      </c>
      <c r="AE103" s="46">
        <f t="shared" si="38"/>
        <v>3885764.4400000004</v>
      </c>
      <c r="AF103" s="88">
        <f t="shared" si="27"/>
        <v>54000000</v>
      </c>
      <c r="AG103" s="88">
        <f t="shared" si="33"/>
        <v>0</v>
      </c>
      <c r="AH103" s="439">
        <f t="shared" si="28"/>
        <v>0</v>
      </c>
      <c r="AI103" s="439">
        <f t="shared" si="29"/>
        <v>0</v>
      </c>
      <c r="AJ103" s="88">
        <f>+'PAJAK JAN-NOV'!R100</f>
        <v>0</v>
      </c>
      <c r="AK103" s="410">
        <f t="shared" si="30"/>
        <v>0</v>
      </c>
      <c r="AL103" s="32" t="str">
        <f>+'PAJAK JAN-NOV'!B100</f>
        <v>VIRGA</v>
      </c>
      <c r="AM103" s="33">
        <f t="shared" si="31"/>
        <v>0</v>
      </c>
      <c r="AN103" s="32"/>
      <c r="AO103" s="33"/>
      <c r="AP103" s="32"/>
      <c r="AQ103" s="32"/>
    </row>
    <row r="104" spans="2:43" s="201" customFormat="1" ht="15" customHeight="1">
      <c r="B104" s="196">
        <v>99</v>
      </c>
      <c r="C104" s="197" t="str">
        <f>+PERBULAN!B104</f>
        <v>TARMIZI</v>
      </c>
      <c r="D104" s="203" t="s">
        <v>751</v>
      </c>
      <c r="E104" s="43" t="s">
        <v>73</v>
      </c>
      <c r="F104" s="454" t="s">
        <v>752</v>
      </c>
      <c r="G104" s="454" t="s">
        <v>746</v>
      </c>
      <c r="H104" s="441" t="s">
        <v>39</v>
      </c>
      <c r="I104" s="436" t="s">
        <v>16</v>
      </c>
      <c r="J104" s="436" t="str">
        <f t="shared" si="34"/>
        <v>TER A</v>
      </c>
      <c r="K104" s="437">
        <v>12</v>
      </c>
      <c r="L104" s="437">
        <v>12</v>
      </c>
      <c r="M104" s="46">
        <v>4005820</v>
      </c>
      <c r="N104" s="88">
        <v>880816</v>
      </c>
      <c r="O104" s="88"/>
      <c r="P104" s="88">
        <v>187627.44</v>
      </c>
      <c r="Q104" s="46"/>
      <c r="R104" s="46">
        <f t="shared" si="32"/>
        <v>5074263.4400000004</v>
      </c>
      <c r="S104" s="46">
        <f>+SETAHUN!J104</f>
        <v>0</v>
      </c>
      <c r="T104" s="46">
        <f>+SETAHUN!L104</f>
        <v>0</v>
      </c>
      <c r="U104" s="46"/>
      <c r="V104" s="46">
        <f>+SETAHUN!G104+M104+N104</f>
        <v>4886636</v>
      </c>
      <c r="W104" s="46"/>
      <c r="X104" s="46">
        <f>+SETAHUN!W104+P104</f>
        <v>187627.44</v>
      </c>
      <c r="Y104" s="46">
        <v>0</v>
      </c>
      <c r="Z104" s="46">
        <v>0</v>
      </c>
      <c r="AA104" s="46">
        <f t="shared" si="35"/>
        <v>0</v>
      </c>
      <c r="AB104" s="46">
        <f t="shared" si="36"/>
        <v>5074263.4400000004</v>
      </c>
      <c r="AC104" s="46">
        <f t="shared" si="37"/>
        <v>253713</v>
      </c>
      <c r="AD104" s="46">
        <f>('ASTEK 2% -DIISI SMPAI DESEMBER'!O222+'ASTEK 2% -DIISI SMPAI DESEMBER'!O103)</f>
        <v>116298</v>
      </c>
      <c r="AE104" s="46">
        <f t="shared" si="38"/>
        <v>4704252.4400000004</v>
      </c>
      <c r="AF104" s="88">
        <f t="shared" ref="AF104:AF117" si="39">IFERROR(VLOOKUP(I104,TARIF,3,FALSE),0)</f>
        <v>58500000</v>
      </c>
      <c r="AG104" s="88">
        <f t="shared" si="33"/>
        <v>0</v>
      </c>
      <c r="AH104" s="439">
        <f t="shared" ref="AH104:AH117" si="40">IF(AG104&gt;5000000000,AG104*35%-306000000,IF(AG104&gt;500000000,AG104*30%-56000000,IF(AG104&gt;250000000,AG104*25%-31000000,IF(AG104&gt;60000000,AG104*15%-6000000,AG104*5%))))</f>
        <v>0</v>
      </c>
      <c r="AI104" s="439">
        <f t="shared" ref="AI104:AI117" si="41">ROUND(IF(E104=0,AH104*120%,AH104),0)</f>
        <v>0</v>
      </c>
      <c r="AJ104" s="88">
        <f>+'PAJAK JAN-NOV'!R101</f>
        <v>0</v>
      </c>
      <c r="AK104" s="410">
        <f t="shared" ref="AK104:AK117" si="42">IF(AH104&lt;=AJ104,0,IF(AH104&gt;AJ104,AH104-AJ104))</f>
        <v>0</v>
      </c>
      <c r="AL104" s="32" t="str">
        <f>+'PAJAK JAN-NOV'!B101</f>
        <v>TARMIZI</v>
      </c>
      <c r="AM104" s="33">
        <f t="shared" si="31"/>
        <v>0</v>
      </c>
      <c r="AN104" s="32"/>
      <c r="AO104" s="33"/>
      <c r="AP104" s="32"/>
      <c r="AQ104" s="32"/>
    </row>
    <row r="105" spans="2:43" s="201" customFormat="1" ht="15" customHeight="1">
      <c r="B105" s="196">
        <v>100</v>
      </c>
      <c r="C105" s="197" t="str">
        <f>+PERBULAN!B105</f>
        <v>ANDREAS</v>
      </c>
      <c r="D105" s="203" t="s">
        <v>753</v>
      </c>
      <c r="E105" s="43" t="s">
        <v>73</v>
      </c>
      <c r="F105" s="454" t="s">
        <v>754</v>
      </c>
      <c r="G105" s="454" t="s">
        <v>746</v>
      </c>
      <c r="H105" s="441" t="s">
        <v>39</v>
      </c>
      <c r="I105" s="436" t="s">
        <v>7</v>
      </c>
      <c r="J105" s="436" t="str">
        <f t="shared" si="34"/>
        <v>TER A</v>
      </c>
      <c r="K105" s="437">
        <v>12</v>
      </c>
      <c r="L105" s="437">
        <v>12</v>
      </c>
      <c r="M105" s="88">
        <v>2972060</v>
      </c>
      <c r="N105" s="88">
        <v>979372</v>
      </c>
      <c r="O105" s="88"/>
      <c r="P105" s="88">
        <v>187627.44</v>
      </c>
      <c r="Q105" s="46"/>
      <c r="R105" s="46">
        <f t="shared" si="32"/>
        <v>4139059.44</v>
      </c>
      <c r="S105" s="46">
        <f>+SETAHUN!J105</f>
        <v>0</v>
      </c>
      <c r="T105" s="46">
        <f>+SETAHUN!L105</f>
        <v>0</v>
      </c>
      <c r="U105" s="46"/>
      <c r="V105" s="46">
        <f>+SETAHUN!G105+M105+N105</f>
        <v>3951432</v>
      </c>
      <c r="W105" s="46"/>
      <c r="X105" s="46">
        <f>+SETAHUN!W105+P105</f>
        <v>187627.44</v>
      </c>
      <c r="Y105" s="46">
        <v>0</v>
      </c>
      <c r="Z105" s="46">
        <v>0</v>
      </c>
      <c r="AA105" s="46">
        <f t="shared" si="35"/>
        <v>0</v>
      </c>
      <c r="AB105" s="46">
        <f t="shared" si="36"/>
        <v>4139059.44</v>
      </c>
      <c r="AC105" s="46">
        <f t="shared" si="37"/>
        <v>206953</v>
      </c>
      <c r="AD105" s="46">
        <f>('ASTEK 2% -DIISI SMPAI DESEMBER'!O223+'ASTEK 2% -DIISI SMPAI DESEMBER'!O104)</f>
        <v>116298</v>
      </c>
      <c r="AE105" s="46">
        <f t="shared" si="38"/>
        <v>3815808.44</v>
      </c>
      <c r="AF105" s="88">
        <f t="shared" si="39"/>
        <v>54000000</v>
      </c>
      <c r="AG105" s="88">
        <f t="shared" si="33"/>
        <v>0</v>
      </c>
      <c r="AH105" s="439">
        <f t="shared" si="40"/>
        <v>0</v>
      </c>
      <c r="AI105" s="439">
        <f t="shared" si="41"/>
        <v>0</v>
      </c>
      <c r="AJ105" s="88">
        <f>+'PAJAK JAN-NOV'!R102</f>
        <v>0</v>
      </c>
      <c r="AK105" s="410">
        <f t="shared" si="42"/>
        <v>0</v>
      </c>
      <c r="AL105" s="32" t="str">
        <f>+'PAJAK JAN-NOV'!B102</f>
        <v>ANDREAS</v>
      </c>
      <c r="AM105" s="33">
        <f t="shared" si="31"/>
        <v>0</v>
      </c>
      <c r="AN105" s="32"/>
      <c r="AO105" s="33"/>
      <c r="AP105" s="32"/>
      <c r="AQ105" s="32"/>
    </row>
    <row r="106" spans="2:43" s="201" customFormat="1" ht="15" customHeight="1">
      <c r="B106" s="196">
        <v>101</v>
      </c>
      <c r="C106" s="197">
        <f>+PERBULAN!B106</f>
        <v>0</v>
      </c>
      <c r="D106" s="203"/>
      <c r="E106" s="43"/>
      <c r="F106" s="454"/>
      <c r="G106" s="454"/>
      <c r="H106" s="441"/>
      <c r="I106" s="436"/>
      <c r="J106" s="436"/>
      <c r="K106" s="437"/>
      <c r="L106" s="437"/>
      <c r="M106" s="88"/>
      <c r="N106" s="88"/>
      <c r="O106" s="88"/>
      <c r="P106" s="88"/>
      <c r="Q106" s="46"/>
      <c r="R106" s="46">
        <f t="shared" si="32"/>
        <v>0</v>
      </c>
      <c r="S106" s="46">
        <f>+SETAHUN!J106</f>
        <v>0</v>
      </c>
      <c r="T106" s="46">
        <f>+SETAHUN!L106</f>
        <v>0</v>
      </c>
      <c r="U106" s="46"/>
      <c r="V106" s="46">
        <f>+SETAHUN!G106+M106+N106</f>
        <v>0</v>
      </c>
      <c r="W106" s="46"/>
      <c r="X106" s="46">
        <f>+SETAHUN!W106+P106</f>
        <v>0</v>
      </c>
      <c r="Y106" s="46">
        <v>0</v>
      </c>
      <c r="Z106" s="46">
        <v>0</v>
      </c>
      <c r="AA106" s="46">
        <f t="shared" si="35"/>
        <v>0</v>
      </c>
      <c r="AB106" s="46">
        <f t="shared" si="36"/>
        <v>0</v>
      </c>
      <c r="AC106" s="46">
        <f t="shared" si="37"/>
        <v>0</v>
      </c>
      <c r="AD106" s="46">
        <f>('ASTEK 2% -DIISI SMPAI DESEMBER'!O224+'ASTEK 2% -DIISI SMPAI DESEMBER'!O105)</f>
        <v>0</v>
      </c>
      <c r="AE106" s="46">
        <f t="shared" si="38"/>
        <v>0</v>
      </c>
      <c r="AF106" s="88">
        <f t="shared" si="39"/>
        <v>0</v>
      </c>
      <c r="AG106" s="88">
        <f t="shared" si="33"/>
        <v>0</v>
      </c>
      <c r="AH106" s="439">
        <f t="shared" si="40"/>
        <v>0</v>
      </c>
      <c r="AI106" s="439">
        <f t="shared" si="41"/>
        <v>0</v>
      </c>
      <c r="AJ106" s="88">
        <f>+'PAJAK JAN-NOV'!R103</f>
        <v>0</v>
      </c>
      <c r="AK106" s="410">
        <f t="shared" si="42"/>
        <v>0</v>
      </c>
      <c r="AL106" s="32">
        <f>+'PAJAK JAN-NOV'!B103</f>
        <v>0</v>
      </c>
      <c r="AM106" s="33">
        <f t="shared" si="31"/>
        <v>0</v>
      </c>
      <c r="AN106" s="32"/>
      <c r="AO106" s="33"/>
      <c r="AP106" s="32"/>
      <c r="AQ106" s="32"/>
    </row>
    <row r="107" spans="2:43" s="201" customFormat="1" ht="15" customHeight="1">
      <c r="B107" s="196">
        <v>102</v>
      </c>
      <c r="C107" s="197">
        <f>+PERBULAN!B107</f>
        <v>0</v>
      </c>
      <c r="D107" s="203"/>
      <c r="E107" s="43"/>
      <c r="F107" s="454"/>
      <c r="G107" s="454"/>
      <c r="H107" s="441"/>
      <c r="I107" s="436"/>
      <c r="J107" s="436"/>
      <c r="K107" s="437"/>
      <c r="L107" s="437"/>
      <c r="M107" s="88"/>
      <c r="N107" s="88"/>
      <c r="O107" s="88"/>
      <c r="P107" s="88"/>
      <c r="Q107" s="46"/>
      <c r="R107" s="46">
        <f t="shared" si="32"/>
        <v>0</v>
      </c>
      <c r="S107" s="46">
        <f>+SETAHUN!J107</f>
        <v>0</v>
      </c>
      <c r="T107" s="46">
        <f>+SETAHUN!L107</f>
        <v>0</v>
      </c>
      <c r="U107" s="46"/>
      <c r="V107" s="46">
        <f>+SETAHUN!G107+M107+N107</f>
        <v>0</v>
      </c>
      <c r="W107" s="46"/>
      <c r="X107" s="46">
        <f>+SETAHUN!W107+P107</f>
        <v>0</v>
      </c>
      <c r="Y107" s="46">
        <v>0</v>
      </c>
      <c r="Z107" s="46">
        <v>0</v>
      </c>
      <c r="AA107" s="46">
        <f t="shared" si="35"/>
        <v>0</v>
      </c>
      <c r="AB107" s="46">
        <f t="shared" si="36"/>
        <v>0</v>
      </c>
      <c r="AC107" s="46">
        <f t="shared" si="37"/>
        <v>0</v>
      </c>
      <c r="AD107" s="46">
        <f>('ASTEK 2% -DIISI SMPAI DESEMBER'!O225+'ASTEK 2% -DIISI SMPAI DESEMBER'!O106)</f>
        <v>0</v>
      </c>
      <c r="AE107" s="46">
        <f t="shared" si="38"/>
        <v>0</v>
      </c>
      <c r="AF107" s="88">
        <f t="shared" si="39"/>
        <v>0</v>
      </c>
      <c r="AG107" s="88">
        <f t="shared" si="33"/>
        <v>0</v>
      </c>
      <c r="AH107" s="439">
        <f t="shared" si="40"/>
        <v>0</v>
      </c>
      <c r="AI107" s="439">
        <f t="shared" si="41"/>
        <v>0</v>
      </c>
      <c r="AJ107" s="88">
        <f>+'PAJAK JAN-NOV'!R104</f>
        <v>0</v>
      </c>
      <c r="AK107" s="410">
        <f t="shared" si="42"/>
        <v>0</v>
      </c>
      <c r="AL107" s="32">
        <f>+'PAJAK JAN-NOV'!B104</f>
        <v>0</v>
      </c>
      <c r="AM107" s="33">
        <f t="shared" si="31"/>
        <v>0</v>
      </c>
      <c r="AN107" s="32"/>
      <c r="AO107" s="33"/>
      <c r="AP107" s="32"/>
      <c r="AQ107" s="32"/>
    </row>
    <row r="108" spans="2:43" s="201" customFormat="1" ht="15" customHeight="1">
      <c r="B108" s="196">
        <v>103</v>
      </c>
      <c r="C108" s="197">
        <f>+PERBULAN!B108</f>
        <v>0</v>
      </c>
      <c r="D108" s="203"/>
      <c r="E108" s="43"/>
      <c r="F108" s="454"/>
      <c r="G108" s="454"/>
      <c r="H108" s="441"/>
      <c r="I108" s="436"/>
      <c r="J108" s="436"/>
      <c r="K108" s="437"/>
      <c r="L108" s="437"/>
      <c r="M108" s="88"/>
      <c r="N108" s="88"/>
      <c r="O108" s="88"/>
      <c r="P108" s="88"/>
      <c r="Q108" s="46"/>
      <c r="R108" s="46">
        <f t="shared" si="32"/>
        <v>0</v>
      </c>
      <c r="S108" s="46">
        <f>+SETAHUN!J108</f>
        <v>0</v>
      </c>
      <c r="T108" s="46">
        <f>+SETAHUN!L108</f>
        <v>0</v>
      </c>
      <c r="U108" s="46"/>
      <c r="V108" s="46">
        <f>+SETAHUN!G108+M108+N108</f>
        <v>0</v>
      </c>
      <c r="W108" s="46"/>
      <c r="X108" s="46">
        <f>+SETAHUN!W108+P108</f>
        <v>0</v>
      </c>
      <c r="Y108" s="46">
        <v>0</v>
      </c>
      <c r="Z108" s="46">
        <v>0</v>
      </c>
      <c r="AA108" s="46">
        <f t="shared" si="35"/>
        <v>0</v>
      </c>
      <c r="AB108" s="46">
        <f t="shared" si="36"/>
        <v>0</v>
      </c>
      <c r="AC108" s="46">
        <f t="shared" si="37"/>
        <v>0</v>
      </c>
      <c r="AD108" s="46">
        <f>('ASTEK 2% -DIISI SMPAI DESEMBER'!O226+'ASTEK 2% -DIISI SMPAI DESEMBER'!O107)</f>
        <v>0</v>
      </c>
      <c r="AE108" s="46">
        <f t="shared" si="38"/>
        <v>0</v>
      </c>
      <c r="AF108" s="88">
        <f t="shared" si="39"/>
        <v>0</v>
      </c>
      <c r="AG108" s="88">
        <f t="shared" si="33"/>
        <v>0</v>
      </c>
      <c r="AH108" s="439">
        <f t="shared" si="40"/>
        <v>0</v>
      </c>
      <c r="AI108" s="439">
        <f t="shared" si="41"/>
        <v>0</v>
      </c>
      <c r="AJ108" s="88">
        <f>+'PAJAK JAN-NOV'!R105</f>
        <v>0</v>
      </c>
      <c r="AK108" s="410">
        <f t="shared" si="42"/>
        <v>0</v>
      </c>
      <c r="AL108" s="32">
        <f>+'PAJAK JAN-NOV'!B105</f>
        <v>0</v>
      </c>
      <c r="AM108" s="33">
        <f t="shared" si="31"/>
        <v>0</v>
      </c>
      <c r="AN108" s="32"/>
      <c r="AO108" s="33"/>
      <c r="AP108" s="32"/>
      <c r="AQ108" s="32"/>
    </row>
    <row r="109" spans="2:43" s="201" customFormat="1" ht="15" customHeight="1">
      <c r="B109" s="196">
        <v>104</v>
      </c>
      <c r="C109" s="197">
        <f>+PERBULAN!B109</f>
        <v>0</v>
      </c>
      <c r="D109" s="203"/>
      <c r="E109" s="43"/>
      <c r="F109" s="454"/>
      <c r="G109" s="454"/>
      <c r="H109" s="441"/>
      <c r="I109" s="436"/>
      <c r="J109" s="436"/>
      <c r="K109" s="437"/>
      <c r="L109" s="437"/>
      <c r="M109" s="88"/>
      <c r="N109" s="88"/>
      <c r="O109" s="88"/>
      <c r="P109" s="88"/>
      <c r="Q109" s="46"/>
      <c r="R109" s="46">
        <f t="shared" si="32"/>
        <v>0</v>
      </c>
      <c r="S109" s="46">
        <f>+SETAHUN!J109</f>
        <v>0</v>
      </c>
      <c r="T109" s="46">
        <f>+SETAHUN!L109</f>
        <v>0</v>
      </c>
      <c r="U109" s="46"/>
      <c r="V109" s="46">
        <f>+SETAHUN!G109+M109+N109</f>
        <v>0</v>
      </c>
      <c r="W109" s="46"/>
      <c r="X109" s="46">
        <f>+SETAHUN!W109+P109</f>
        <v>0</v>
      </c>
      <c r="Y109" s="46">
        <v>0</v>
      </c>
      <c r="Z109" s="46">
        <v>0</v>
      </c>
      <c r="AA109" s="46">
        <f t="shared" si="35"/>
        <v>0</v>
      </c>
      <c r="AB109" s="46">
        <f t="shared" si="36"/>
        <v>0</v>
      </c>
      <c r="AC109" s="46">
        <f t="shared" si="37"/>
        <v>0</v>
      </c>
      <c r="AD109" s="46">
        <f>('ASTEK 2% -DIISI SMPAI DESEMBER'!O227+'ASTEK 2% -DIISI SMPAI DESEMBER'!O108)</f>
        <v>0</v>
      </c>
      <c r="AE109" s="46">
        <f t="shared" si="38"/>
        <v>0</v>
      </c>
      <c r="AF109" s="88">
        <f t="shared" si="39"/>
        <v>0</v>
      </c>
      <c r="AG109" s="88">
        <f t="shared" si="33"/>
        <v>0</v>
      </c>
      <c r="AH109" s="439">
        <f t="shared" si="40"/>
        <v>0</v>
      </c>
      <c r="AI109" s="439">
        <f t="shared" si="41"/>
        <v>0</v>
      </c>
      <c r="AJ109" s="88">
        <f>+'PAJAK JAN-NOV'!R106</f>
        <v>0</v>
      </c>
      <c r="AK109" s="410">
        <f t="shared" si="42"/>
        <v>0</v>
      </c>
      <c r="AL109" s="32">
        <f>+'PAJAK JAN-NOV'!B106</f>
        <v>0</v>
      </c>
      <c r="AM109" s="33">
        <f t="shared" si="31"/>
        <v>0</v>
      </c>
      <c r="AN109" s="32"/>
      <c r="AO109" s="33"/>
      <c r="AP109" s="32"/>
      <c r="AQ109" s="32"/>
    </row>
    <row r="110" spans="2:43" s="201" customFormat="1" ht="15" customHeight="1">
      <c r="B110" s="196">
        <v>105</v>
      </c>
      <c r="C110" s="197">
        <f>+PERBULAN!B110</f>
        <v>0</v>
      </c>
      <c r="D110" s="203"/>
      <c r="E110" s="43"/>
      <c r="F110" s="454"/>
      <c r="G110" s="454"/>
      <c r="H110" s="441"/>
      <c r="I110" s="436"/>
      <c r="J110" s="436"/>
      <c r="K110" s="437"/>
      <c r="L110" s="437"/>
      <c r="M110" s="88"/>
      <c r="N110" s="88"/>
      <c r="O110" s="88"/>
      <c r="P110" s="88"/>
      <c r="Q110" s="46"/>
      <c r="R110" s="46">
        <f t="shared" si="32"/>
        <v>0</v>
      </c>
      <c r="S110" s="46">
        <f>+SETAHUN!J110</f>
        <v>0</v>
      </c>
      <c r="T110" s="46">
        <f>+SETAHUN!L110</f>
        <v>0</v>
      </c>
      <c r="U110" s="46"/>
      <c r="V110" s="46">
        <f>+SETAHUN!G110+M110+N110</f>
        <v>0</v>
      </c>
      <c r="W110" s="46"/>
      <c r="X110" s="46">
        <f>+SETAHUN!W110+P110</f>
        <v>0</v>
      </c>
      <c r="Y110" s="46">
        <v>0</v>
      </c>
      <c r="Z110" s="46">
        <v>0</v>
      </c>
      <c r="AA110" s="46">
        <f t="shared" si="35"/>
        <v>0</v>
      </c>
      <c r="AB110" s="46">
        <f t="shared" si="36"/>
        <v>0</v>
      </c>
      <c r="AC110" s="46">
        <f t="shared" si="37"/>
        <v>0</v>
      </c>
      <c r="AD110" s="46">
        <f>('ASTEK 2% -DIISI SMPAI DESEMBER'!O228+'ASTEK 2% -DIISI SMPAI DESEMBER'!O109)</f>
        <v>0</v>
      </c>
      <c r="AE110" s="46">
        <f t="shared" si="38"/>
        <v>0</v>
      </c>
      <c r="AF110" s="88">
        <f t="shared" si="39"/>
        <v>0</v>
      </c>
      <c r="AG110" s="88">
        <f t="shared" si="33"/>
        <v>0</v>
      </c>
      <c r="AH110" s="439">
        <f t="shared" si="40"/>
        <v>0</v>
      </c>
      <c r="AI110" s="439">
        <f t="shared" si="41"/>
        <v>0</v>
      </c>
      <c r="AJ110" s="88">
        <f>+'PAJAK JAN-NOV'!R107</f>
        <v>0</v>
      </c>
      <c r="AK110" s="410">
        <f t="shared" si="42"/>
        <v>0</v>
      </c>
      <c r="AL110" s="32">
        <f>+'PAJAK JAN-NOV'!B107</f>
        <v>0</v>
      </c>
      <c r="AM110" s="33">
        <f t="shared" si="31"/>
        <v>0</v>
      </c>
      <c r="AN110" s="32"/>
      <c r="AO110" s="33"/>
      <c r="AP110" s="32"/>
      <c r="AQ110" s="32"/>
    </row>
    <row r="111" spans="2:43" s="201" customFormat="1" ht="15" customHeight="1">
      <c r="B111" s="196">
        <v>106</v>
      </c>
      <c r="C111" s="197">
        <f>+PERBULAN!B111</f>
        <v>0</v>
      </c>
      <c r="D111" s="203"/>
      <c r="E111" s="43"/>
      <c r="F111" s="454"/>
      <c r="G111" s="454"/>
      <c r="H111" s="441"/>
      <c r="I111" s="436"/>
      <c r="J111" s="436"/>
      <c r="K111" s="437"/>
      <c r="L111" s="437"/>
      <c r="M111" s="88"/>
      <c r="N111" s="88"/>
      <c r="O111" s="88"/>
      <c r="P111" s="88"/>
      <c r="Q111" s="46"/>
      <c r="R111" s="46">
        <f t="shared" si="32"/>
        <v>0</v>
      </c>
      <c r="S111" s="46">
        <f>+SETAHUN!J111</f>
        <v>0</v>
      </c>
      <c r="T111" s="46">
        <f>+SETAHUN!L111</f>
        <v>0</v>
      </c>
      <c r="U111" s="46"/>
      <c r="V111" s="46">
        <f>+SETAHUN!G111+M111+N111</f>
        <v>0</v>
      </c>
      <c r="W111" s="46"/>
      <c r="X111" s="46">
        <f>+SETAHUN!W111+P111</f>
        <v>0</v>
      </c>
      <c r="Y111" s="46">
        <v>0</v>
      </c>
      <c r="Z111" s="46">
        <v>0</v>
      </c>
      <c r="AA111" s="46">
        <f t="shared" si="35"/>
        <v>0</v>
      </c>
      <c r="AB111" s="46">
        <f t="shared" si="36"/>
        <v>0</v>
      </c>
      <c r="AC111" s="46">
        <f t="shared" si="37"/>
        <v>0</v>
      </c>
      <c r="AD111" s="46">
        <f>('ASTEK 2% -DIISI SMPAI DESEMBER'!O229+'ASTEK 2% -DIISI SMPAI DESEMBER'!O110)</f>
        <v>0</v>
      </c>
      <c r="AE111" s="46">
        <f t="shared" si="38"/>
        <v>0</v>
      </c>
      <c r="AF111" s="88">
        <f t="shared" si="39"/>
        <v>0</v>
      </c>
      <c r="AG111" s="88">
        <f t="shared" si="33"/>
        <v>0</v>
      </c>
      <c r="AH111" s="439">
        <f t="shared" si="40"/>
        <v>0</v>
      </c>
      <c r="AI111" s="439">
        <f t="shared" si="41"/>
        <v>0</v>
      </c>
      <c r="AJ111" s="88">
        <f>+'PAJAK JAN-NOV'!R108</f>
        <v>0</v>
      </c>
      <c r="AK111" s="410">
        <f t="shared" si="42"/>
        <v>0</v>
      </c>
      <c r="AL111" s="32">
        <f>+'PAJAK JAN-NOV'!B108</f>
        <v>0</v>
      </c>
      <c r="AM111" s="33">
        <f t="shared" si="31"/>
        <v>0</v>
      </c>
      <c r="AN111" s="32"/>
      <c r="AO111" s="33"/>
      <c r="AP111" s="32"/>
      <c r="AQ111" s="32"/>
    </row>
    <row r="112" spans="2:43" s="201" customFormat="1" ht="15" customHeight="1">
      <c r="B112" s="196">
        <v>107</v>
      </c>
      <c r="C112" s="197">
        <f>+PERBULAN!B112</f>
        <v>0</v>
      </c>
      <c r="D112" s="203"/>
      <c r="E112" s="43"/>
      <c r="F112" s="454"/>
      <c r="G112" s="454"/>
      <c r="H112" s="441"/>
      <c r="I112" s="436"/>
      <c r="J112" s="436"/>
      <c r="K112" s="437"/>
      <c r="L112" s="437"/>
      <c r="M112" s="88"/>
      <c r="N112" s="88"/>
      <c r="O112" s="88"/>
      <c r="P112" s="88"/>
      <c r="Q112" s="46"/>
      <c r="R112" s="46">
        <f t="shared" si="32"/>
        <v>0</v>
      </c>
      <c r="S112" s="46">
        <f>+SETAHUN!J112</f>
        <v>0</v>
      </c>
      <c r="T112" s="46">
        <f>+SETAHUN!L112</f>
        <v>0</v>
      </c>
      <c r="U112" s="46"/>
      <c r="V112" s="46">
        <f>+SETAHUN!G112+M112+N112</f>
        <v>0</v>
      </c>
      <c r="W112" s="46"/>
      <c r="X112" s="46">
        <f>+SETAHUN!W112+P112</f>
        <v>0</v>
      </c>
      <c r="Y112" s="46">
        <v>0</v>
      </c>
      <c r="Z112" s="46">
        <v>0</v>
      </c>
      <c r="AA112" s="46">
        <f t="shared" si="35"/>
        <v>0</v>
      </c>
      <c r="AB112" s="46">
        <f t="shared" si="36"/>
        <v>0</v>
      </c>
      <c r="AC112" s="46">
        <f t="shared" si="37"/>
        <v>0</v>
      </c>
      <c r="AD112" s="46">
        <f>('ASTEK 2% -DIISI SMPAI DESEMBER'!O230+'ASTEK 2% -DIISI SMPAI DESEMBER'!O111)</f>
        <v>0</v>
      </c>
      <c r="AE112" s="46">
        <f t="shared" si="38"/>
        <v>0</v>
      </c>
      <c r="AF112" s="88">
        <f t="shared" si="39"/>
        <v>0</v>
      </c>
      <c r="AG112" s="88">
        <f t="shared" si="33"/>
        <v>0</v>
      </c>
      <c r="AH112" s="439">
        <f t="shared" si="40"/>
        <v>0</v>
      </c>
      <c r="AI112" s="439">
        <f t="shared" si="41"/>
        <v>0</v>
      </c>
      <c r="AJ112" s="88">
        <f>+'PAJAK JAN-NOV'!R109</f>
        <v>0</v>
      </c>
      <c r="AK112" s="410">
        <f t="shared" si="42"/>
        <v>0</v>
      </c>
      <c r="AL112" s="32">
        <f>+'PAJAK JAN-NOV'!B109</f>
        <v>0</v>
      </c>
      <c r="AM112" s="33">
        <f t="shared" si="31"/>
        <v>0</v>
      </c>
      <c r="AN112" s="32"/>
      <c r="AO112" s="33"/>
      <c r="AP112" s="32"/>
      <c r="AQ112" s="32"/>
    </row>
    <row r="113" spans="2:77" s="201" customFormat="1" ht="15" customHeight="1">
      <c r="B113" s="196">
        <v>108</v>
      </c>
      <c r="C113" s="197">
        <f>+PERBULAN!B113</f>
        <v>0</v>
      </c>
      <c r="D113" s="203"/>
      <c r="E113" s="43"/>
      <c r="F113" s="454"/>
      <c r="G113" s="454"/>
      <c r="H113" s="441"/>
      <c r="I113" s="436"/>
      <c r="J113" s="436"/>
      <c r="K113" s="437"/>
      <c r="L113" s="437"/>
      <c r="M113" s="88"/>
      <c r="N113" s="88"/>
      <c r="O113" s="88"/>
      <c r="P113" s="88"/>
      <c r="Q113" s="46"/>
      <c r="R113" s="46">
        <f t="shared" si="32"/>
        <v>0</v>
      </c>
      <c r="S113" s="46">
        <f>+SETAHUN!J113</f>
        <v>0</v>
      </c>
      <c r="T113" s="46">
        <f>+SETAHUN!L113</f>
        <v>0</v>
      </c>
      <c r="U113" s="46"/>
      <c r="V113" s="46">
        <f>+SETAHUN!G113+M113+N113</f>
        <v>0</v>
      </c>
      <c r="W113" s="46"/>
      <c r="X113" s="46">
        <f>+SETAHUN!W113+P113</f>
        <v>0</v>
      </c>
      <c r="Y113" s="46">
        <v>0</v>
      </c>
      <c r="Z113" s="46">
        <v>0</v>
      </c>
      <c r="AA113" s="46">
        <f t="shared" si="35"/>
        <v>0</v>
      </c>
      <c r="AB113" s="46">
        <f t="shared" si="36"/>
        <v>0</v>
      </c>
      <c r="AC113" s="46">
        <f t="shared" si="37"/>
        <v>0</v>
      </c>
      <c r="AD113" s="46">
        <f>('ASTEK 2% -DIISI SMPAI DESEMBER'!O231+'ASTEK 2% -DIISI SMPAI DESEMBER'!O112)</f>
        <v>0</v>
      </c>
      <c r="AE113" s="46">
        <f t="shared" si="38"/>
        <v>0</v>
      </c>
      <c r="AF113" s="88">
        <f t="shared" si="39"/>
        <v>0</v>
      </c>
      <c r="AG113" s="88">
        <f t="shared" si="33"/>
        <v>0</v>
      </c>
      <c r="AH113" s="439">
        <f t="shared" si="40"/>
        <v>0</v>
      </c>
      <c r="AI113" s="439">
        <f t="shared" si="41"/>
        <v>0</v>
      </c>
      <c r="AJ113" s="88">
        <f>+'PAJAK JAN-NOV'!R110</f>
        <v>0</v>
      </c>
      <c r="AK113" s="410">
        <f t="shared" si="42"/>
        <v>0</v>
      </c>
      <c r="AL113" s="32">
        <f>+'PAJAK JAN-NOV'!B110</f>
        <v>0</v>
      </c>
      <c r="AM113" s="33">
        <f t="shared" si="31"/>
        <v>0</v>
      </c>
      <c r="AN113" s="32"/>
      <c r="AO113" s="33"/>
      <c r="AP113" s="32"/>
      <c r="AQ113" s="32"/>
    </row>
    <row r="114" spans="2:77" s="201" customFormat="1" ht="15" customHeight="1">
      <c r="B114" s="196">
        <v>109</v>
      </c>
      <c r="C114" s="197">
        <f>+PERBULAN!B114</f>
        <v>0</v>
      </c>
      <c r="D114" s="203"/>
      <c r="E114" s="43"/>
      <c r="F114" s="454"/>
      <c r="G114" s="454"/>
      <c r="H114" s="441"/>
      <c r="I114" s="436"/>
      <c r="J114" s="436"/>
      <c r="K114" s="437"/>
      <c r="L114" s="437"/>
      <c r="M114" s="88"/>
      <c r="N114" s="88"/>
      <c r="O114" s="88"/>
      <c r="P114" s="88"/>
      <c r="Q114" s="46"/>
      <c r="R114" s="46">
        <f t="shared" si="32"/>
        <v>0</v>
      </c>
      <c r="S114" s="46">
        <f>+SETAHUN!J114</f>
        <v>0</v>
      </c>
      <c r="T114" s="46">
        <f>+SETAHUN!L114</f>
        <v>0</v>
      </c>
      <c r="U114" s="46"/>
      <c r="V114" s="46">
        <f>+SETAHUN!G114+M114+N114</f>
        <v>0</v>
      </c>
      <c r="W114" s="46"/>
      <c r="X114" s="46">
        <f>+SETAHUN!W114+P114</f>
        <v>0</v>
      </c>
      <c r="Y114" s="46">
        <v>0</v>
      </c>
      <c r="Z114" s="46">
        <v>0</v>
      </c>
      <c r="AA114" s="46">
        <f t="shared" si="35"/>
        <v>0</v>
      </c>
      <c r="AB114" s="46">
        <f t="shared" si="36"/>
        <v>0</v>
      </c>
      <c r="AC114" s="46">
        <f t="shared" si="37"/>
        <v>0</v>
      </c>
      <c r="AD114" s="46">
        <f>('ASTEK 2% -DIISI SMPAI DESEMBER'!O232+'ASTEK 2% -DIISI SMPAI DESEMBER'!O113)</f>
        <v>0</v>
      </c>
      <c r="AE114" s="46">
        <f t="shared" si="38"/>
        <v>0</v>
      </c>
      <c r="AF114" s="88">
        <f t="shared" si="39"/>
        <v>0</v>
      </c>
      <c r="AG114" s="88">
        <f t="shared" si="33"/>
        <v>0</v>
      </c>
      <c r="AH114" s="439">
        <f t="shared" si="40"/>
        <v>0</v>
      </c>
      <c r="AI114" s="439">
        <f t="shared" si="41"/>
        <v>0</v>
      </c>
      <c r="AJ114" s="88">
        <f>+'PAJAK JAN-NOV'!R111</f>
        <v>0</v>
      </c>
      <c r="AK114" s="410">
        <f t="shared" si="42"/>
        <v>0</v>
      </c>
      <c r="AL114" s="32">
        <f>+'PAJAK JAN-NOV'!B111</f>
        <v>0</v>
      </c>
      <c r="AM114" s="33">
        <f t="shared" si="31"/>
        <v>0</v>
      </c>
      <c r="AN114" s="32"/>
      <c r="AO114" s="33"/>
      <c r="AP114" s="32"/>
      <c r="AQ114" s="32"/>
    </row>
    <row r="115" spans="2:77" s="201" customFormat="1" ht="15" customHeight="1">
      <c r="B115" s="196">
        <v>110</v>
      </c>
      <c r="C115" s="197">
        <f>+PERBULAN!B115</f>
        <v>0</v>
      </c>
      <c r="D115" s="203"/>
      <c r="E115" s="43"/>
      <c r="F115" s="454"/>
      <c r="G115" s="454"/>
      <c r="H115" s="441"/>
      <c r="I115" s="436"/>
      <c r="J115" s="436"/>
      <c r="K115" s="437"/>
      <c r="L115" s="437"/>
      <c r="M115" s="88"/>
      <c r="N115" s="88"/>
      <c r="O115" s="88"/>
      <c r="P115" s="88"/>
      <c r="Q115" s="46"/>
      <c r="R115" s="46">
        <f t="shared" si="32"/>
        <v>0</v>
      </c>
      <c r="S115" s="46">
        <f>+SETAHUN!J115</f>
        <v>0</v>
      </c>
      <c r="T115" s="46"/>
      <c r="U115" s="46"/>
      <c r="V115" s="46">
        <f>+SETAHUN!G115+M115+N115</f>
        <v>0</v>
      </c>
      <c r="W115" s="46"/>
      <c r="X115" s="46">
        <f>+SETAHUN!W115+P115</f>
        <v>0</v>
      </c>
      <c r="Y115" s="46">
        <v>0</v>
      </c>
      <c r="Z115" s="46">
        <v>0</v>
      </c>
      <c r="AA115" s="46">
        <f t="shared" si="35"/>
        <v>0</v>
      </c>
      <c r="AB115" s="46">
        <f t="shared" si="36"/>
        <v>0</v>
      </c>
      <c r="AC115" s="46">
        <f t="shared" si="37"/>
        <v>0</v>
      </c>
      <c r="AD115" s="46">
        <f>('ASTEK 2% -DIISI SMPAI DESEMBER'!O233+'ASTEK 2% -DIISI SMPAI DESEMBER'!O114)</f>
        <v>0</v>
      </c>
      <c r="AE115" s="46">
        <f t="shared" si="38"/>
        <v>0</v>
      </c>
      <c r="AF115" s="88">
        <f t="shared" si="39"/>
        <v>0</v>
      </c>
      <c r="AG115" s="88">
        <f t="shared" si="33"/>
        <v>0</v>
      </c>
      <c r="AH115" s="439">
        <f t="shared" si="40"/>
        <v>0</v>
      </c>
      <c r="AI115" s="439">
        <f t="shared" si="41"/>
        <v>0</v>
      </c>
      <c r="AJ115" s="88">
        <f>+'PAJAK JAN-NOV'!R112</f>
        <v>0</v>
      </c>
      <c r="AK115" s="410">
        <f t="shared" si="42"/>
        <v>0</v>
      </c>
      <c r="AL115" s="32">
        <f>+'PAJAK JAN-NOV'!B112</f>
        <v>0</v>
      </c>
      <c r="AM115" s="33">
        <f t="shared" si="31"/>
        <v>0</v>
      </c>
      <c r="AN115" s="32"/>
      <c r="AO115" s="33"/>
      <c r="AP115" s="32"/>
      <c r="AQ115" s="32"/>
    </row>
    <row r="116" spans="2:77" s="201" customFormat="1" ht="15" customHeight="1">
      <c r="B116" s="196">
        <v>111</v>
      </c>
      <c r="C116" s="197">
        <f>+PERBULAN!B116</f>
        <v>0</v>
      </c>
      <c r="D116" s="203"/>
      <c r="E116" s="43"/>
      <c r="F116" s="454"/>
      <c r="G116" s="454"/>
      <c r="H116" s="441"/>
      <c r="I116" s="436"/>
      <c r="J116" s="436"/>
      <c r="K116" s="437"/>
      <c r="L116" s="437"/>
      <c r="M116" s="88"/>
      <c r="N116" s="88"/>
      <c r="O116" s="88"/>
      <c r="P116" s="88"/>
      <c r="Q116" s="46"/>
      <c r="R116" s="46">
        <f t="shared" si="32"/>
        <v>0</v>
      </c>
      <c r="S116" s="46">
        <f>+SETAHUN!J116</f>
        <v>0</v>
      </c>
      <c r="T116" s="46"/>
      <c r="U116" s="46"/>
      <c r="V116" s="46">
        <f>+SETAHUN!G116+M116+N116</f>
        <v>0</v>
      </c>
      <c r="W116" s="46"/>
      <c r="X116" s="46">
        <f>+SETAHUN!W116+P116</f>
        <v>0</v>
      </c>
      <c r="Y116" s="46">
        <v>0</v>
      </c>
      <c r="Z116" s="46">
        <v>0</v>
      </c>
      <c r="AA116" s="46">
        <f t="shared" si="35"/>
        <v>0</v>
      </c>
      <c r="AB116" s="46">
        <f t="shared" si="36"/>
        <v>0</v>
      </c>
      <c r="AC116" s="46">
        <f t="shared" si="37"/>
        <v>0</v>
      </c>
      <c r="AD116" s="46">
        <f>('ASTEK 2% -DIISI SMPAI DESEMBER'!O234+'ASTEK 2% -DIISI SMPAI DESEMBER'!O115)</f>
        <v>0</v>
      </c>
      <c r="AE116" s="46">
        <f t="shared" si="38"/>
        <v>0</v>
      </c>
      <c r="AF116" s="88">
        <f t="shared" si="39"/>
        <v>0</v>
      </c>
      <c r="AG116" s="88">
        <f t="shared" si="33"/>
        <v>0</v>
      </c>
      <c r="AH116" s="439">
        <f t="shared" si="40"/>
        <v>0</v>
      </c>
      <c r="AI116" s="439">
        <f t="shared" si="41"/>
        <v>0</v>
      </c>
      <c r="AJ116" s="88">
        <f>+'PAJAK JAN-NOV'!R113</f>
        <v>0</v>
      </c>
      <c r="AK116" s="410">
        <f t="shared" si="42"/>
        <v>0</v>
      </c>
      <c r="AL116" s="32">
        <f>+'PAJAK JAN-NOV'!B113</f>
        <v>0</v>
      </c>
      <c r="AM116" s="33">
        <f t="shared" si="31"/>
        <v>0</v>
      </c>
      <c r="AN116" s="32"/>
      <c r="AO116" s="33"/>
      <c r="AP116" s="32"/>
      <c r="AQ116" s="32"/>
    </row>
    <row r="117" spans="2:77" s="201" customFormat="1" ht="15" customHeight="1" thickBot="1">
      <c r="B117" s="196">
        <v>112</v>
      </c>
      <c r="C117" s="197">
        <f>+PERBULAN!B117</f>
        <v>0</v>
      </c>
      <c r="D117" s="203"/>
      <c r="E117" s="43"/>
      <c r="F117" s="454"/>
      <c r="G117" s="454"/>
      <c r="H117" s="441"/>
      <c r="I117" s="436"/>
      <c r="J117" s="436"/>
      <c r="K117" s="437"/>
      <c r="L117" s="437"/>
      <c r="M117" s="88"/>
      <c r="N117" s="88"/>
      <c r="O117" s="88"/>
      <c r="P117" s="88"/>
      <c r="Q117" s="46"/>
      <c r="R117" s="46">
        <f t="shared" si="32"/>
        <v>0</v>
      </c>
      <c r="S117" s="46">
        <f>+SETAHUN!J117</f>
        <v>0</v>
      </c>
      <c r="T117" s="46"/>
      <c r="U117" s="46"/>
      <c r="V117" s="46">
        <f>+SETAHUN!G117+M117+N117</f>
        <v>0</v>
      </c>
      <c r="W117" s="46"/>
      <c r="X117" s="46">
        <f>+SETAHUN!W117+P117</f>
        <v>0</v>
      </c>
      <c r="Y117" s="46">
        <v>0</v>
      </c>
      <c r="Z117" s="46">
        <v>0</v>
      </c>
      <c r="AA117" s="46">
        <f t="shared" si="35"/>
        <v>0</v>
      </c>
      <c r="AB117" s="46">
        <f t="shared" si="36"/>
        <v>0</v>
      </c>
      <c r="AC117" s="46">
        <f t="shared" si="37"/>
        <v>0</v>
      </c>
      <c r="AD117" s="46">
        <f>('ASTEK 2% -DIISI SMPAI DESEMBER'!O235+'ASTEK 2% -DIISI SMPAI DESEMBER'!O116)</f>
        <v>0</v>
      </c>
      <c r="AE117" s="46">
        <f t="shared" si="38"/>
        <v>0</v>
      </c>
      <c r="AF117" s="88">
        <f t="shared" si="39"/>
        <v>0</v>
      </c>
      <c r="AG117" s="88">
        <f>ROUNDDOWN(IF(AE117&lt;=AF117,0,IF(AE117&gt;AF117,AE117-AF117)),-3)</f>
        <v>0</v>
      </c>
      <c r="AH117" s="439">
        <f t="shared" si="40"/>
        <v>0</v>
      </c>
      <c r="AI117" s="439">
        <f t="shared" si="41"/>
        <v>0</v>
      </c>
      <c r="AJ117" s="88">
        <f>+'PAJAK JAN-NOV'!R114</f>
        <v>0</v>
      </c>
      <c r="AK117" s="410">
        <f t="shared" si="42"/>
        <v>0</v>
      </c>
      <c r="AL117" s="32">
        <f>+'PAJAK JAN-NOV'!B114</f>
        <v>0</v>
      </c>
      <c r="AM117" s="33">
        <f t="shared" si="31"/>
        <v>0</v>
      </c>
      <c r="AN117" s="32"/>
      <c r="AO117" s="33"/>
      <c r="AP117" s="32"/>
      <c r="AQ117" s="32"/>
    </row>
    <row r="118" spans="2:77" s="464" customFormat="1" ht="22.15" customHeight="1" thickBot="1">
      <c r="B118" s="460"/>
      <c r="C118" s="460"/>
      <c r="D118" s="460"/>
      <c r="E118" s="460"/>
      <c r="F118" s="460"/>
      <c r="G118" s="460"/>
      <c r="H118" s="460"/>
      <c r="I118" s="460"/>
      <c r="J118" s="460"/>
      <c r="K118" s="460"/>
      <c r="L118" s="461"/>
      <c r="M118" s="462">
        <f>SUM(M6:M117)</f>
        <v>341399240</v>
      </c>
      <c r="N118" s="462">
        <f t="shared" ref="N118:AK118" si="43">SUM(N6:N117)</f>
        <v>43249150.989971511</v>
      </c>
      <c r="O118" s="462">
        <f t="shared" si="43"/>
        <v>4086600</v>
      </c>
      <c r="P118" s="462">
        <f t="shared" si="43"/>
        <v>16854617.559999991</v>
      </c>
      <c r="Q118" s="462">
        <f t="shared" si="43"/>
        <v>0</v>
      </c>
      <c r="R118" s="462">
        <f t="shared" si="43"/>
        <v>405589608.54997128</v>
      </c>
      <c r="S118" s="462">
        <f t="shared" si="43"/>
        <v>370755925</v>
      </c>
      <c r="T118" s="462">
        <f t="shared" si="43"/>
        <v>23616667</v>
      </c>
      <c r="U118" s="462">
        <f t="shared" si="43"/>
        <v>0</v>
      </c>
      <c r="V118" s="462">
        <f t="shared" si="43"/>
        <v>4575827810.0699711</v>
      </c>
      <c r="W118" s="462">
        <f t="shared" si="43"/>
        <v>0</v>
      </c>
      <c r="X118" s="462">
        <f t="shared" si="43"/>
        <v>209065233.23999995</v>
      </c>
      <c r="Y118" s="462">
        <f t="shared" si="43"/>
        <v>0</v>
      </c>
      <c r="Z118" s="462">
        <f t="shared" si="43"/>
        <v>0</v>
      </c>
      <c r="AA118" s="462">
        <f t="shared" si="43"/>
        <v>394372592</v>
      </c>
      <c r="AB118" s="462">
        <f t="shared" si="43"/>
        <v>5179265635.3099642</v>
      </c>
      <c r="AC118" s="462">
        <f t="shared" si="43"/>
        <v>258963282</v>
      </c>
      <c r="AD118" s="462">
        <f t="shared" si="43"/>
        <v>129210195</v>
      </c>
      <c r="AE118" s="462">
        <f t="shared" si="43"/>
        <v>4791092158.3099661</v>
      </c>
      <c r="AF118" s="462">
        <f t="shared" si="43"/>
        <v>5958000000</v>
      </c>
      <c r="AG118" s="462">
        <f t="shared" si="43"/>
        <v>58592000</v>
      </c>
      <c r="AH118" s="462">
        <f t="shared" si="43"/>
        <v>2929600</v>
      </c>
      <c r="AI118" s="462">
        <f t="shared" si="43"/>
        <v>2929600</v>
      </c>
      <c r="AJ118" s="462">
        <f t="shared" si="43"/>
        <v>12372446</v>
      </c>
      <c r="AK118" s="462">
        <f t="shared" si="43"/>
        <v>207494</v>
      </c>
      <c r="AL118" s="49"/>
      <c r="AM118" s="50">
        <f>SUM(AM6:AM117)</f>
        <v>9442846</v>
      </c>
      <c r="AN118" s="49"/>
      <c r="AO118" s="50"/>
      <c r="AP118" s="49"/>
      <c r="AQ118" s="49"/>
      <c r="AR118" s="463"/>
      <c r="AS118" s="463"/>
      <c r="AT118" s="463"/>
      <c r="AU118" s="463"/>
      <c r="AV118" s="463"/>
      <c r="AW118" s="463"/>
      <c r="AX118" s="463"/>
      <c r="AY118" s="463"/>
      <c r="AZ118" s="463"/>
      <c r="BA118" s="463"/>
      <c r="BB118" s="463"/>
      <c r="BC118" s="463"/>
    </row>
    <row r="119" spans="2:77" ht="15" customHeight="1" thickTop="1">
      <c r="AJ119" s="412"/>
    </row>
    <row r="120" spans="2:77" ht="15" customHeight="1">
      <c r="B120" s="463" t="s">
        <v>48</v>
      </c>
      <c r="P120" s="466"/>
      <c r="AH120" s="77"/>
      <c r="AJ120" s="412"/>
    </row>
    <row r="121" spans="2:77" ht="15" customHeight="1">
      <c r="B121" s="201" t="s">
        <v>49</v>
      </c>
      <c r="P121" s="466"/>
      <c r="AH121" s="77"/>
    </row>
    <row r="122" spans="2:77" ht="15" customHeight="1">
      <c r="B122" s="201" t="s">
        <v>57</v>
      </c>
      <c r="P122" s="466"/>
      <c r="AH122" s="77"/>
    </row>
    <row r="123" spans="2:77" ht="15" customHeight="1">
      <c r="B123" s="201" t="s">
        <v>50</v>
      </c>
      <c r="P123" s="466"/>
      <c r="AH123" s="77"/>
    </row>
    <row r="124" spans="2:77" s="31" customFormat="1" ht="15" customHeight="1">
      <c r="B124" s="201" t="s">
        <v>58</v>
      </c>
      <c r="C124" s="28"/>
      <c r="D124" s="418"/>
      <c r="E124" s="29"/>
      <c r="F124" s="28"/>
      <c r="G124" s="421"/>
      <c r="H124" s="422"/>
      <c r="I124" s="422"/>
      <c r="J124" s="422"/>
      <c r="K124" s="422"/>
      <c r="L124" s="422"/>
      <c r="M124" s="28"/>
      <c r="N124" s="28"/>
      <c r="O124" s="28"/>
      <c r="P124" s="466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77"/>
      <c r="AI124" s="28"/>
      <c r="AL124" s="32"/>
      <c r="AM124" s="33"/>
      <c r="AN124" s="32"/>
      <c r="AO124" s="33"/>
      <c r="AP124" s="32"/>
      <c r="AQ124" s="32"/>
      <c r="AR124" s="201"/>
      <c r="AS124" s="201"/>
      <c r="AT124" s="201"/>
      <c r="AU124" s="201"/>
      <c r="AV124" s="201"/>
      <c r="AW124" s="201"/>
      <c r="AX124" s="201"/>
      <c r="AY124" s="201"/>
      <c r="AZ124" s="201"/>
      <c r="BA124" s="201"/>
      <c r="BB124" s="201"/>
      <c r="BC124" s="201"/>
      <c r="BD124" s="465"/>
      <c r="BE124" s="465"/>
      <c r="BF124" s="465"/>
      <c r="BG124" s="465"/>
      <c r="BH124" s="465"/>
      <c r="BI124" s="465"/>
      <c r="BJ124" s="465"/>
      <c r="BK124" s="465"/>
      <c r="BL124" s="465"/>
      <c r="BM124" s="465"/>
      <c r="BN124" s="465"/>
      <c r="BO124" s="465"/>
      <c r="BP124" s="465"/>
      <c r="BQ124" s="465"/>
      <c r="BR124" s="465"/>
      <c r="BS124" s="465"/>
      <c r="BT124" s="465"/>
      <c r="BU124" s="465"/>
      <c r="BV124" s="465"/>
      <c r="BW124" s="465"/>
      <c r="BX124" s="465"/>
      <c r="BY124" s="465"/>
    </row>
    <row r="125" spans="2:77" s="31" customFormat="1" ht="15" customHeight="1">
      <c r="B125" s="201" t="s">
        <v>51</v>
      </c>
      <c r="C125" s="28"/>
      <c r="D125" s="418"/>
      <c r="E125" s="29"/>
      <c r="F125" s="28"/>
      <c r="G125" s="421"/>
      <c r="H125" s="422"/>
      <c r="I125" s="422"/>
      <c r="J125" s="422"/>
      <c r="K125" s="422"/>
      <c r="L125" s="422"/>
      <c r="M125" s="28"/>
      <c r="N125" s="28"/>
      <c r="O125" s="28"/>
      <c r="P125" s="466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>
        <f>SUM(AI120:AI124)</f>
        <v>0</v>
      </c>
      <c r="AL125" s="32"/>
      <c r="AM125" s="33"/>
      <c r="AN125" s="32"/>
      <c r="AO125" s="33"/>
      <c r="AP125" s="32"/>
      <c r="AQ125" s="32"/>
      <c r="AR125" s="201"/>
      <c r="AS125" s="201"/>
      <c r="AT125" s="201"/>
      <c r="AU125" s="201"/>
      <c r="AV125" s="201"/>
      <c r="AW125" s="201"/>
      <c r="AX125" s="201"/>
      <c r="AY125" s="201"/>
      <c r="AZ125" s="201"/>
      <c r="BA125" s="201"/>
      <c r="BB125" s="201"/>
      <c r="BC125" s="201"/>
      <c r="BD125" s="465"/>
      <c r="BE125" s="465"/>
      <c r="BF125" s="465"/>
      <c r="BG125" s="465"/>
      <c r="BH125" s="465"/>
      <c r="BI125" s="465"/>
      <c r="BJ125" s="465"/>
      <c r="BK125" s="465"/>
      <c r="BL125" s="465"/>
      <c r="BM125" s="465"/>
      <c r="BN125" s="465"/>
      <c r="BO125" s="465"/>
      <c r="BP125" s="465"/>
      <c r="BQ125" s="465"/>
      <c r="BR125" s="465"/>
      <c r="BS125" s="465"/>
      <c r="BT125" s="465"/>
      <c r="BU125" s="465"/>
      <c r="BV125" s="465"/>
      <c r="BW125" s="465"/>
      <c r="BX125" s="465"/>
      <c r="BY125" s="465"/>
    </row>
    <row r="126" spans="2:77" s="31" customFormat="1" ht="15" customHeight="1">
      <c r="B126" s="201" t="s">
        <v>52</v>
      </c>
      <c r="C126" s="28"/>
      <c r="D126" s="418"/>
      <c r="E126" s="29"/>
      <c r="F126" s="28"/>
      <c r="G126" s="421"/>
      <c r="H126" s="422"/>
      <c r="I126" s="422"/>
      <c r="J126" s="422"/>
      <c r="K126" s="422"/>
      <c r="L126" s="422"/>
      <c r="M126" s="28"/>
      <c r="N126" s="28"/>
      <c r="O126" s="28"/>
      <c r="P126" s="466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L126" s="32"/>
      <c r="AM126" s="33"/>
      <c r="AN126" s="32"/>
      <c r="AO126" s="33"/>
      <c r="AP126" s="32"/>
      <c r="AQ126" s="32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465"/>
      <c r="BE126" s="465"/>
      <c r="BF126" s="465"/>
      <c r="BG126" s="465"/>
      <c r="BH126" s="465"/>
      <c r="BI126" s="465"/>
      <c r="BJ126" s="465"/>
      <c r="BK126" s="465"/>
      <c r="BL126" s="465"/>
      <c r="BM126" s="465"/>
      <c r="BN126" s="465"/>
      <c r="BO126" s="465"/>
      <c r="BP126" s="465"/>
      <c r="BQ126" s="465"/>
      <c r="BR126" s="465"/>
      <c r="BS126" s="465"/>
      <c r="BT126" s="465"/>
      <c r="BU126" s="465"/>
      <c r="BV126" s="465"/>
      <c r="BW126" s="465"/>
      <c r="BX126" s="465"/>
      <c r="BY126" s="465"/>
    </row>
    <row r="127" spans="2:77" s="31" customFormat="1" ht="15" customHeight="1">
      <c r="B127" s="201" t="s">
        <v>53</v>
      </c>
      <c r="C127" s="28"/>
      <c r="D127" s="418"/>
      <c r="E127" s="29"/>
      <c r="F127" s="28"/>
      <c r="G127" s="421"/>
      <c r="H127" s="422"/>
      <c r="I127" s="422"/>
      <c r="J127" s="422"/>
      <c r="K127" s="422"/>
      <c r="L127" s="422"/>
      <c r="M127" s="28"/>
      <c r="N127" s="28"/>
      <c r="O127" s="28"/>
      <c r="P127" s="466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L127" s="32"/>
      <c r="AM127" s="33"/>
      <c r="AN127" s="32"/>
      <c r="AO127" s="33"/>
      <c r="AP127" s="32"/>
      <c r="AQ127" s="32"/>
      <c r="AR127" s="201"/>
      <c r="AS127" s="201"/>
      <c r="AT127" s="201"/>
      <c r="AU127" s="201"/>
      <c r="AV127" s="201"/>
      <c r="AW127" s="201"/>
      <c r="AX127" s="201"/>
      <c r="AY127" s="201"/>
      <c r="AZ127" s="201"/>
      <c r="BA127" s="201"/>
      <c r="BB127" s="201"/>
      <c r="BC127" s="201"/>
      <c r="BD127" s="465"/>
      <c r="BE127" s="465"/>
      <c r="BF127" s="465"/>
      <c r="BG127" s="465"/>
      <c r="BH127" s="465"/>
      <c r="BI127" s="465"/>
      <c r="BJ127" s="465"/>
      <c r="BK127" s="465"/>
      <c r="BL127" s="465"/>
      <c r="BM127" s="465"/>
      <c r="BN127" s="465"/>
      <c r="BO127" s="465"/>
      <c r="BP127" s="465"/>
      <c r="BQ127" s="465"/>
      <c r="BR127" s="465"/>
      <c r="BS127" s="465"/>
      <c r="BT127" s="465"/>
      <c r="BU127" s="465"/>
      <c r="BV127" s="465"/>
      <c r="BW127" s="465"/>
      <c r="BX127" s="465"/>
      <c r="BY127" s="465"/>
    </row>
    <row r="128" spans="2:77" s="31" customFormat="1" ht="15" customHeight="1">
      <c r="B128" s="201" t="s">
        <v>66</v>
      </c>
      <c r="C128" s="28"/>
      <c r="D128" s="418"/>
      <c r="E128" s="29"/>
      <c r="F128" s="28"/>
      <c r="G128" s="421"/>
      <c r="H128" s="422"/>
      <c r="I128" s="422"/>
      <c r="J128" s="422"/>
      <c r="K128" s="422"/>
      <c r="L128" s="422"/>
      <c r="M128" s="28"/>
      <c r="N128" s="28"/>
      <c r="O128" s="28"/>
      <c r="P128" s="466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L128" s="32"/>
      <c r="AM128" s="33"/>
      <c r="AN128" s="32"/>
      <c r="AO128" s="33"/>
      <c r="AP128" s="32"/>
      <c r="AQ128" s="32"/>
      <c r="AR128" s="201"/>
      <c r="AS128" s="201"/>
      <c r="AT128" s="201"/>
      <c r="AU128" s="201"/>
      <c r="AV128" s="201"/>
      <c r="AW128" s="201"/>
      <c r="AX128" s="201"/>
      <c r="AY128" s="201"/>
      <c r="AZ128" s="201"/>
      <c r="BA128" s="201"/>
      <c r="BB128" s="201"/>
      <c r="BC128" s="201"/>
      <c r="BD128" s="465"/>
      <c r="BE128" s="465"/>
      <c r="BF128" s="465"/>
      <c r="BG128" s="465"/>
      <c r="BH128" s="465"/>
      <c r="BI128" s="465"/>
      <c r="BJ128" s="465"/>
      <c r="BK128" s="465"/>
      <c r="BL128" s="465"/>
      <c r="BM128" s="465"/>
      <c r="BN128" s="465"/>
      <c r="BO128" s="465"/>
      <c r="BP128" s="465"/>
      <c r="BQ128" s="465"/>
      <c r="BR128" s="465"/>
      <c r="BS128" s="465"/>
      <c r="BT128" s="465"/>
      <c r="BU128" s="465"/>
      <c r="BV128" s="465"/>
      <c r="BW128" s="465"/>
      <c r="BX128" s="465"/>
      <c r="BY128" s="465"/>
    </row>
    <row r="129" spans="1:77" s="31" customFormat="1" ht="15" customHeight="1">
      <c r="B129" s="201"/>
      <c r="C129" s="28"/>
      <c r="D129" s="418"/>
      <c r="E129" s="29"/>
      <c r="F129" s="28"/>
      <c r="G129" s="421"/>
      <c r="H129" s="422"/>
      <c r="I129" s="422"/>
      <c r="J129" s="422"/>
      <c r="K129" s="422"/>
      <c r="L129" s="422"/>
      <c r="M129" s="28"/>
      <c r="N129" s="28"/>
      <c r="O129" s="28"/>
      <c r="P129" s="466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L129" s="32"/>
      <c r="AM129" s="33"/>
      <c r="AN129" s="32"/>
      <c r="AO129" s="33"/>
      <c r="AP129" s="32"/>
      <c r="AQ129" s="32"/>
      <c r="AR129" s="201"/>
      <c r="AS129" s="201"/>
      <c r="AT129" s="201"/>
      <c r="AU129" s="201"/>
      <c r="AV129" s="201"/>
      <c r="AW129" s="201"/>
      <c r="AX129" s="201"/>
      <c r="AY129" s="201"/>
      <c r="AZ129" s="201"/>
      <c r="BA129" s="201"/>
      <c r="BB129" s="201"/>
      <c r="BC129" s="201"/>
      <c r="BD129" s="465"/>
      <c r="BE129" s="465"/>
      <c r="BF129" s="465"/>
      <c r="BG129" s="465"/>
      <c r="BH129" s="465"/>
      <c r="BI129" s="465"/>
      <c r="BJ129" s="465"/>
      <c r="BK129" s="465"/>
      <c r="BL129" s="465"/>
      <c r="BM129" s="465"/>
      <c r="BN129" s="465"/>
      <c r="BO129" s="465"/>
      <c r="BP129" s="465"/>
      <c r="BQ129" s="465"/>
      <c r="BR129" s="465"/>
      <c r="BS129" s="465"/>
      <c r="BT129" s="465"/>
      <c r="BU129" s="465"/>
      <c r="BV129" s="465"/>
      <c r="BW129" s="465"/>
      <c r="BX129" s="465"/>
      <c r="BY129" s="465"/>
    </row>
    <row r="130" spans="1:77" s="31" customFormat="1" ht="15" customHeight="1">
      <c r="B130" s="201"/>
      <c r="C130" s="28"/>
      <c r="D130" s="418"/>
      <c r="E130" s="29"/>
      <c r="F130" s="28"/>
      <c r="G130" s="421"/>
      <c r="H130" s="422"/>
      <c r="I130" s="422"/>
      <c r="J130" s="422"/>
      <c r="K130" s="422"/>
      <c r="L130" s="422"/>
      <c r="M130" s="28"/>
      <c r="N130" s="28"/>
      <c r="O130" s="28"/>
      <c r="P130" s="466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L130" s="32"/>
      <c r="AM130" s="33"/>
      <c r="AN130" s="32"/>
      <c r="AO130" s="33"/>
      <c r="AP130" s="32"/>
      <c r="AQ130" s="32"/>
      <c r="AR130" s="201"/>
      <c r="AS130" s="201"/>
      <c r="AT130" s="201"/>
      <c r="AU130" s="201"/>
      <c r="AV130" s="201"/>
      <c r="AW130" s="201"/>
      <c r="AX130" s="201"/>
      <c r="AY130" s="201"/>
      <c r="AZ130" s="201"/>
      <c r="BA130" s="201"/>
      <c r="BB130" s="201"/>
      <c r="BC130" s="201"/>
      <c r="BD130" s="465"/>
      <c r="BE130" s="465"/>
      <c r="BF130" s="465"/>
      <c r="BG130" s="465"/>
      <c r="BH130" s="465"/>
      <c r="BI130" s="465"/>
      <c r="BJ130" s="465"/>
      <c r="BK130" s="465"/>
      <c r="BL130" s="465"/>
      <c r="BM130" s="465"/>
      <c r="BN130" s="465"/>
      <c r="BO130" s="465"/>
      <c r="BP130" s="465"/>
      <c r="BQ130" s="465"/>
      <c r="BR130" s="465"/>
      <c r="BS130" s="465"/>
      <c r="BT130" s="465"/>
      <c r="BU130" s="465"/>
      <c r="BV130" s="465"/>
      <c r="BW130" s="465"/>
      <c r="BX130" s="465"/>
      <c r="BY130" s="465"/>
    </row>
    <row r="131" spans="1:77" s="53" customFormat="1" ht="18.75" customHeight="1">
      <c r="B131" s="27"/>
      <c r="C131" s="545" t="s">
        <v>378</v>
      </c>
      <c r="D131" s="547"/>
      <c r="E131" s="29"/>
      <c r="F131" s="28"/>
      <c r="G131" s="30"/>
      <c r="H131" s="195"/>
      <c r="I131" s="195"/>
      <c r="J131" s="195"/>
      <c r="K131" s="28"/>
      <c r="L131" s="28"/>
      <c r="M131" s="601" t="s">
        <v>379</v>
      </c>
      <c r="N131" s="601"/>
      <c r="O131" s="601"/>
      <c r="P131" s="601"/>
      <c r="Q131" s="28"/>
      <c r="R131" s="28"/>
      <c r="S131" s="28"/>
      <c r="T131" s="28"/>
      <c r="U131" s="28"/>
      <c r="V131" s="28"/>
      <c r="W131" s="28"/>
      <c r="X131" s="28"/>
      <c r="Y131" s="28"/>
      <c r="Z131" s="215"/>
      <c r="AA131" s="215"/>
      <c r="AB131" s="215"/>
      <c r="AC131" s="601" t="s">
        <v>755</v>
      </c>
      <c r="AD131" s="601"/>
      <c r="AE131" s="601"/>
      <c r="AF131" s="601"/>
      <c r="AG131" s="57"/>
      <c r="AH131" s="57"/>
      <c r="AI131" s="27"/>
      <c r="AJ131" s="27"/>
      <c r="AK131" s="27"/>
    </row>
    <row r="132" spans="1:77" s="53" customFormat="1" ht="20.25" customHeight="1">
      <c r="B132" s="27"/>
      <c r="C132" s="545"/>
      <c r="D132" s="547"/>
      <c r="E132" s="29"/>
      <c r="F132" s="28"/>
      <c r="G132" s="30"/>
      <c r="H132" s="195"/>
      <c r="I132" s="195"/>
      <c r="J132" s="195"/>
      <c r="K132" s="28"/>
      <c r="L132" s="28"/>
      <c r="M132" s="216"/>
      <c r="N132" s="216"/>
      <c r="O132" s="216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15"/>
      <c r="AA132" s="215"/>
      <c r="AB132" s="215"/>
      <c r="AC132" s="216"/>
      <c r="AD132" s="216"/>
      <c r="AE132" s="216"/>
      <c r="AF132" s="216"/>
      <c r="AG132" s="57"/>
      <c r="AH132" s="57"/>
      <c r="AI132" s="27"/>
      <c r="AJ132" s="27"/>
      <c r="AK132" s="27"/>
    </row>
    <row r="133" spans="1:77" s="53" customFormat="1" ht="20.25" customHeight="1">
      <c r="B133" s="27"/>
      <c r="C133" s="545"/>
      <c r="D133" s="547"/>
      <c r="E133" s="29"/>
      <c r="F133" s="28"/>
      <c r="G133" s="30"/>
      <c r="H133" s="195"/>
      <c r="I133" s="195"/>
      <c r="J133" s="195"/>
      <c r="K133" s="28"/>
      <c r="L133" s="28"/>
      <c r="M133" s="216"/>
      <c r="N133" s="216"/>
      <c r="O133" s="216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15"/>
      <c r="AA133" s="215"/>
      <c r="AB133" s="215"/>
      <c r="AC133" s="216"/>
      <c r="AD133" s="216"/>
      <c r="AE133" s="216"/>
      <c r="AF133" s="216"/>
      <c r="AG133" s="57"/>
      <c r="AH133" s="57"/>
      <c r="AI133" s="27"/>
      <c r="AJ133" s="27"/>
      <c r="AK133" s="27"/>
    </row>
    <row r="134" spans="1:77" s="53" customFormat="1" ht="20.25" hidden="1" customHeight="1">
      <c r="B134" s="27"/>
      <c r="C134" s="545"/>
      <c r="D134" s="547"/>
      <c r="E134" s="29"/>
      <c r="F134" s="28"/>
      <c r="G134" s="30"/>
      <c r="H134" s="195"/>
      <c r="I134" s="195"/>
      <c r="J134" s="195"/>
      <c r="K134" s="28"/>
      <c r="L134" s="28"/>
      <c r="M134" s="216"/>
      <c r="N134" s="216"/>
      <c r="O134" s="216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15"/>
      <c r="AA134" s="215"/>
      <c r="AB134" s="215"/>
      <c r="AC134" s="216"/>
      <c r="AD134" s="216"/>
      <c r="AE134" s="216"/>
      <c r="AF134" s="216"/>
      <c r="AG134" s="57"/>
      <c r="AH134" s="57"/>
      <c r="AI134" s="27"/>
      <c r="AJ134" s="27"/>
      <c r="AK134" s="27"/>
    </row>
    <row r="135" spans="1:77" s="53" customFormat="1" ht="20.25" hidden="1" customHeight="1">
      <c r="B135" s="27"/>
      <c r="C135" s="545"/>
      <c r="D135" s="547"/>
      <c r="E135" s="29"/>
      <c r="F135" s="28"/>
      <c r="G135" s="30"/>
      <c r="H135" s="195"/>
      <c r="I135" s="195"/>
      <c r="J135" s="195"/>
      <c r="K135" s="28"/>
      <c r="L135" s="28"/>
      <c r="M135" s="216"/>
      <c r="N135" s="216"/>
      <c r="O135" s="216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15"/>
      <c r="AA135" s="215"/>
      <c r="AB135" s="215"/>
      <c r="AC135" s="216"/>
      <c r="AD135" s="216"/>
      <c r="AE135" s="216"/>
      <c r="AF135" s="216"/>
      <c r="AG135" s="57"/>
      <c r="AH135" s="57"/>
      <c r="AI135" s="27"/>
      <c r="AJ135" s="27"/>
      <c r="AK135" s="27"/>
    </row>
    <row r="136" spans="1:77" s="57" customFormat="1" ht="20.25" customHeight="1">
      <c r="A136" s="53"/>
      <c r="B136" s="27"/>
      <c r="C136" s="545"/>
      <c r="D136" s="547"/>
      <c r="E136" s="29"/>
      <c r="F136" s="28"/>
      <c r="G136" s="30"/>
      <c r="H136" s="195"/>
      <c r="I136" s="195"/>
      <c r="J136" s="195"/>
      <c r="K136" s="28"/>
      <c r="L136" s="28"/>
      <c r="M136" s="216"/>
      <c r="N136" s="216"/>
      <c r="O136" s="216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15"/>
      <c r="AA136" s="215"/>
      <c r="AB136" s="215"/>
      <c r="AC136" s="652"/>
      <c r="AD136" s="652"/>
      <c r="AE136" s="652"/>
      <c r="AF136" s="652"/>
      <c r="AI136" s="27"/>
      <c r="AJ136" s="27"/>
      <c r="AK136" s="27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</row>
    <row r="137" spans="1:77" s="57" customFormat="1" ht="20.25">
      <c r="A137" s="53"/>
      <c r="B137" s="27"/>
      <c r="C137" s="546" t="s">
        <v>756</v>
      </c>
      <c r="D137" s="547"/>
      <c r="E137" s="29"/>
      <c r="F137" s="28"/>
      <c r="G137" s="30"/>
      <c r="H137" s="195"/>
      <c r="I137" s="195"/>
      <c r="J137" s="195"/>
      <c r="K137" s="28"/>
      <c r="L137" s="28"/>
      <c r="M137" s="602" t="s">
        <v>381</v>
      </c>
      <c r="N137" s="602"/>
      <c r="O137" s="602"/>
      <c r="P137" s="602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18"/>
      <c r="AB137" s="218"/>
      <c r="AC137" s="653" t="s">
        <v>757</v>
      </c>
      <c r="AD137" s="653"/>
      <c r="AE137" s="653"/>
      <c r="AF137" s="653"/>
      <c r="AI137" s="27"/>
      <c r="AJ137" s="27"/>
      <c r="AK137" s="27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</row>
    <row r="138" spans="1:77" s="57" customFormat="1" ht="18">
      <c r="A138" s="53"/>
      <c r="B138" s="27"/>
      <c r="C138" s="545" t="s">
        <v>382</v>
      </c>
      <c r="D138" s="547"/>
      <c r="E138" s="29"/>
      <c r="F138" s="28"/>
      <c r="G138" s="30"/>
      <c r="H138" s="195"/>
      <c r="I138" s="195"/>
      <c r="J138" s="195"/>
      <c r="K138" s="28"/>
      <c r="L138" s="28"/>
      <c r="M138" s="601" t="s">
        <v>383</v>
      </c>
      <c r="N138" s="601"/>
      <c r="O138" s="601"/>
      <c r="P138" s="60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15"/>
      <c r="AB138" s="215"/>
      <c r="AC138" s="654" t="s">
        <v>758</v>
      </c>
      <c r="AD138" s="654"/>
      <c r="AE138" s="654"/>
      <c r="AF138" s="654"/>
      <c r="AI138" s="27"/>
      <c r="AJ138" s="27"/>
      <c r="AK138" s="27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</row>
    <row r="139" spans="1:77" s="28" customFormat="1">
      <c r="B139" s="201"/>
      <c r="D139" s="418"/>
      <c r="E139" s="29"/>
      <c r="G139" s="421"/>
      <c r="H139" s="422"/>
      <c r="I139" s="422"/>
      <c r="J139" s="422"/>
      <c r="K139" s="422"/>
      <c r="L139" s="422"/>
      <c r="P139" s="466"/>
      <c r="AJ139" s="31"/>
      <c r="AK139" s="31"/>
      <c r="AL139" s="32"/>
      <c r="AM139" s="33"/>
      <c r="AN139" s="32"/>
      <c r="AO139" s="33"/>
      <c r="AP139" s="32"/>
      <c r="AQ139" s="32"/>
      <c r="AR139" s="201"/>
      <c r="AS139" s="201"/>
      <c r="AT139" s="201"/>
      <c r="AU139" s="201"/>
      <c r="AV139" s="201"/>
      <c r="AW139" s="201"/>
      <c r="AX139" s="201"/>
      <c r="AY139" s="201"/>
      <c r="AZ139" s="201"/>
      <c r="BA139" s="201"/>
      <c r="BB139" s="201"/>
      <c r="BC139" s="201"/>
      <c r="BD139" s="465"/>
      <c r="BE139" s="465"/>
      <c r="BF139" s="465"/>
      <c r="BG139" s="465"/>
      <c r="BH139" s="465"/>
      <c r="BI139" s="465"/>
      <c r="BJ139" s="465"/>
      <c r="BK139" s="465"/>
      <c r="BL139" s="465"/>
      <c r="BM139" s="465"/>
      <c r="BN139" s="465"/>
      <c r="BO139" s="465"/>
      <c r="BP139" s="465"/>
      <c r="BQ139" s="465"/>
      <c r="BR139" s="465"/>
      <c r="BS139" s="465"/>
      <c r="BT139" s="465"/>
      <c r="BU139" s="465"/>
      <c r="BV139" s="465"/>
      <c r="BW139" s="465"/>
      <c r="BX139" s="465"/>
      <c r="BY139" s="465"/>
    </row>
    <row r="140" spans="1:77" s="28" customFormat="1">
      <c r="B140" s="201"/>
      <c r="D140" s="418"/>
      <c r="E140" s="29"/>
      <c r="G140" s="421"/>
      <c r="H140" s="422"/>
      <c r="I140" s="422"/>
      <c r="J140" s="422"/>
      <c r="K140" s="422"/>
      <c r="L140" s="422"/>
      <c r="P140" s="466"/>
      <c r="AJ140" s="31"/>
      <c r="AK140" s="31"/>
      <c r="AL140" s="32"/>
      <c r="AM140" s="33"/>
      <c r="AN140" s="32"/>
      <c r="AO140" s="33"/>
      <c r="AP140" s="32"/>
      <c r="AQ140" s="32"/>
      <c r="AR140" s="201"/>
      <c r="AS140" s="201"/>
      <c r="AT140" s="201"/>
      <c r="AU140" s="201"/>
      <c r="AV140" s="201"/>
      <c r="AW140" s="201"/>
      <c r="AX140" s="201"/>
      <c r="AY140" s="201"/>
      <c r="AZ140" s="201"/>
      <c r="BA140" s="201"/>
      <c r="BB140" s="201"/>
      <c r="BC140" s="201"/>
      <c r="BD140" s="465"/>
      <c r="BE140" s="465"/>
      <c r="BF140" s="465"/>
      <c r="BG140" s="465"/>
      <c r="BH140" s="465"/>
      <c r="BI140" s="465"/>
      <c r="BJ140" s="465"/>
      <c r="BK140" s="465"/>
      <c r="BL140" s="465"/>
      <c r="BM140" s="465"/>
      <c r="BN140" s="465"/>
      <c r="BO140" s="465"/>
      <c r="BP140" s="465"/>
      <c r="BQ140" s="465"/>
      <c r="BR140" s="465"/>
      <c r="BS140" s="465"/>
      <c r="BT140" s="465"/>
      <c r="BU140" s="465"/>
      <c r="BV140" s="465"/>
      <c r="BW140" s="465"/>
      <c r="BX140" s="465"/>
      <c r="BY140" s="465"/>
    </row>
    <row r="141" spans="1:77" s="28" customFormat="1">
      <c r="B141" s="201"/>
      <c r="D141" s="418"/>
      <c r="E141" s="29"/>
      <c r="G141" s="421"/>
      <c r="H141" s="422"/>
      <c r="I141" s="422"/>
      <c r="J141" s="422"/>
      <c r="K141" s="422"/>
      <c r="L141" s="422"/>
      <c r="P141" s="466"/>
      <c r="AJ141" s="31"/>
      <c r="AK141" s="31"/>
      <c r="AL141" s="32"/>
      <c r="AM141" s="33"/>
      <c r="AN141" s="32"/>
      <c r="AO141" s="33"/>
      <c r="AP141" s="32"/>
      <c r="AQ141" s="32"/>
      <c r="AR141" s="201"/>
      <c r="AS141" s="201"/>
      <c r="AT141" s="201"/>
      <c r="AU141" s="201"/>
      <c r="AV141" s="201"/>
      <c r="AW141" s="201"/>
      <c r="AX141" s="201"/>
      <c r="AY141" s="201"/>
      <c r="AZ141" s="201"/>
      <c r="BA141" s="201"/>
      <c r="BB141" s="201"/>
      <c r="BC141" s="201"/>
      <c r="BD141" s="465"/>
      <c r="BE141" s="465"/>
      <c r="BF141" s="465"/>
      <c r="BG141" s="465"/>
      <c r="BH141" s="465"/>
      <c r="BI141" s="465"/>
      <c r="BJ141" s="465"/>
      <c r="BK141" s="465"/>
      <c r="BL141" s="465"/>
      <c r="BM141" s="465"/>
      <c r="BN141" s="465"/>
      <c r="BO141" s="465"/>
      <c r="BP141" s="465"/>
      <c r="BQ141" s="465"/>
      <c r="BR141" s="465"/>
      <c r="BS141" s="465"/>
      <c r="BT141" s="465"/>
      <c r="BU141" s="465"/>
      <c r="BV141" s="465"/>
      <c r="BW141" s="465"/>
      <c r="BX141" s="465"/>
      <c r="BY141" s="465"/>
    </row>
    <row r="142" spans="1:77" s="28" customFormat="1">
      <c r="B142" s="201"/>
      <c r="D142" s="418"/>
      <c r="E142" s="29"/>
      <c r="G142" s="421"/>
      <c r="H142" s="422"/>
      <c r="I142" s="422"/>
      <c r="J142" s="422"/>
      <c r="K142" s="422"/>
      <c r="L142" s="422"/>
      <c r="P142" s="466"/>
      <c r="AJ142" s="31"/>
      <c r="AK142" s="31"/>
      <c r="AL142" s="32"/>
      <c r="AM142" s="33"/>
      <c r="AN142" s="32"/>
      <c r="AO142" s="33"/>
      <c r="AP142" s="32"/>
      <c r="AQ142" s="32"/>
      <c r="AR142" s="201"/>
      <c r="AS142" s="201"/>
      <c r="AT142" s="201"/>
      <c r="AU142" s="201"/>
      <c r="AV142" s="201"/>
      <c r="AW142" s="201"/>
      <c r="AX142" s="201"/>
      <c r="AY142" s="201"/>
      <c r="AZ142" s="201"/>
      <c r="BA142" s="201"/>
      <c r="BB142" s="201"/>
      <c r="BC142" s="201"/>
      <c r="BD142" s="465"/>
      <c r="BE142" s="465"/>
      <c r="BF142" s="465"/>
      <c r="BG142" s="465"/>
      <c r="BH142" s="465"/>
      <c r="BI142" s="465"/>
      <c r="BJ142" s="465"/>
      <c r="BK142" s="465"/>
      <c r="BL142" s="465"/>
      <c r="BM142" s="465"/>
      <c r="BN142" s="465"/>
      <c r="BO142" s="465"/>
      <c r="BP142" s="465"/>
      <c r="BQ142" s="465"/>
      <c r="BR142" s="465"/>
      <c r="BS142" s="465"/>
      <c r="BT142" s="465"/>
      <c r="BU142" s="465"/>
      <c r="BV142" s="465"/>
      <c r="BW142" s="465"/>
      <c r="BX142" s="465"/>
      <c r="BY142" s="465"/>
    </row>
    <row r="143" spans="1:77" s="28" customFormat="1">
      <c r="B143" s="201"/>
      <c r="D143" s="418"/>
      <c r="E143" s="29"/>
      <c r="G143" s="421"/>
      <c r="H143" s="422"/>
      <c r="I143" s="422"/>
      <c r="J143" s="422"/>
      <c r="K143" s="422"/>
      <c r="L143" s="422"/>
      <c r="P143" s="466"/>
      <c r="AJ143" s="31"/>
      <c r="AK143" s="31"/>
      <c r="AL143" s="32"/>
      <c r="AM143" s="33"/>
      <c r="AN143" s="32"/>
      <c r="AO143" s="33"/>
      <c r="AP143" s="32"/>
      <c r="AQ143" s="32"/>
      <c r="AR143" s="201"/>
      <c r="AS143" s="201"/>
      <c r="AT143" s="201"/>
      <c r="AU143" s="201"/>
      <c r="AV143" s="201"/>
      <c r="AW143" s="201"/>
      <c r="AX143" s="201"/>
      <c r="AY143" s="201"/>
      <c r="AZ143" s="201"/>
      <c r="BA143" s="201"/>
      <c r="BB143" s="201"/>
      <c r="BC143" s="201"/>
      <c r="BD143" s="465"/>
      <c r="BE143" s="465"/>
      <c r="BF143" s="465"/>
      <c r="BG143" s="465"/>
      <c r="BH143" s="465"/>
      <c r="BI143" s="465"/>
      <c r="BJ143" s="465"/>
      <c r="BK143" s="465"/>
      <c r="BL143" s="465"/>
      <c r="BM143" s="465"/>
      <c r="BN143" s="465"/>
      <c r="BO143" s="465"/>
      <c r="BP143" s="465"/>
      <c r="BQ143" s="465"/>
      <c r="BR143" s="465"/>
      <c r="BS143" s="465"/>
      <c r="BT143" s="465"/>
      <c r="BU143" s="465"/>
      <c r="BV143" s="465"/>
      <c r="BW143" s="465"/>
      <c r="BX143" s="465"/>
      <c r="BY143" s="465"/>
    </row>
    <row r="144" spans="1:77" s="28" customFormat="1">
      <c r="B144" s="201"/>
      <c r="D144" s="418"/>
      <c r="E144" s="29"/>
      <c r="G144" s="421"/>
      <c r="H144" s="422"/>
      <c r="I144" s="422"/>
      <c r="J144" s="422"/>
      <c r="K144" s="422"/>
      <c r="L144" s="422"/>
      <c r="P144" s="466"/>
      <c r="AJ144" s="31"/>
      <c r="AK144" s="31"/>
      <c r="AL144" s="32"/>
      <c r="AM144" s="33"/>
      <c r="AN144" s="32"/>
      <c r="AO144" s="33"/>
      <c r="AP144" s="32"/>
      <c r="AQ144" s="32"/>
      <c r="AR144" s="201"/>
      <c r="AS144" s="201"/>
      <c r="AT144" s="201"/>
      <c r="AU144" s="201"/>
      <c r="AV144" s="201"/>
      <c r="AW144" s="201"/>
      <c r="AX144" s="201"/>
      <c r="AY144" s="201"/>
      <c r="AZ144" s="201"/>
      <c r="BA144" s="201"/>
      <c r="BB144" s="201"/>
      <c r="BC144" s="201"/>
      <c r="BD144" s="465"/>
      <c r="BE144" s="465"/>
      <c r="BF144" s="465"/>
      <c r="BG144" s="465"/>
      <c r="BH144" s="465"/>
      <c r="BI144" s="465"/>
      <c r="BJ144" s="465"/>
      <c r="BK144" s="465"/>
      <c r="BL144" s="465"/>
      <c r="BM144" s="465"/>
      <c r="BN144" s="465"/>
      <c r="BO144" s="465"/>
      <c r="BP144" s="465"/>
      <c r="BQ144" s="465"/>
      <c r="BR144" s="465"/>
      <c r="BS144" s="465"/>
      <c r="BT144" s="465"/>
      <c r="BU144" s="465"/>
      <c r="BV144" s="465"/>
      <c r="BW144" s="465"/>
      <c r="BX144" s="465"/>
      <c r="BY144" s="465"/>
    </row>
    <row r="145" spans="2:77" s="28" customFormat="1">
      <c r="B145" s="201"/>
      <c r="D145" s="418"/>
      <c r="E145" s="29"/>
      <c r="G145" s="421"/>
      <c r="H145" s="422"/>
      <c r="I145" s="422"/>
      <c r="J145" s="422"/>
      <c r="K145" s="422"/>
      <c r="L145" s="422"/>
      <c r="P145" s="466"/>
      <c r="AJ145" s="31"/>
      <c r="AK145" s="31"/>
      <c r="AL145" s="32"/>
      <c r="AM145" s="33"/>
      <c r="AN145" s="32"/>
      <c r="AO145" s="33"/>
      <c r="AP145" s="32"/>
      <c r="AQ145" s="32"/>
      <c r="AR145" s="201"/>
      <c r="AS145" s="201"/>
      <c r="AT145" s="201"/>
      <c r="AU145" s="201"/>
      <c r="AV145" s="201"/>
      <c r="AW145" s="201"/>
      <c r="AX145" s="201"/>
      <c r="AY145" s="201"/>
      <c r="AZ145" s="201"/>
      <c r="BA145" s="201"/>
      <c r="BB145" s="201"/>
      <c r="BC145" s="201"/>
      <c r="BD145" s="465"/>
      <c r="BE145" s="465"/>
      <c r="BF145" s="465"/>
      <c r="BG145" s="465"/>
      <c r="BH145" s="465"/>
      <c r="BI145" s="465"/>
      <c r="BJ145" s="465"/>
      <c r="BK145" s="465"/>
      <c r="BL145" s="465"/>
      <c r="BM145" s="465"/>
      <c r="BN145" s="465"/>
      <c r="BO145" s="465"/>
      <c r="BP145" s="465"/>
      <c r="BQ145" s="465"/>
      <c r="BR145" s="465"/>
      <c r="BS145" s="465"/>
      <c r="BT145" s="465"/>
      <c r="BU145" s="465"/>
      <c r="BV145" s="465"/>
      <c r="BW145" s="465"/>
      <c r="BX145" s="465"/>
      <c r="BY145" s="465"/>
    </row>
    <row r="146" spans="2:77" s="201" customFormat="1" ht="15" customHeight="1">
      <c r="B146" s="196">
        <v>2</v>
      </c>
      <c r="C146" s="197" t="str">
        <f>+PERBULAN!B122</f>
        <v>MARETA</v>
      </c>
      <c r="D146" s="198" t="s">
        <v>225</v>
      </c>
      <c r="E146" s="413" t="s">
        <v>73</v>
      </c>
      <c r="F146" s="253" t="s">
        <v>226</v>
      </c>
      <c r="G146" s="433" t="s">
        <v>340</v>
      </c>
      <c r="H146" s="199" t="s">
        <v>38</v>
      </c>
      <c r="I146" s="200" t="s">
        <v>7</v>
      </c>
      <c r="J146" s="436" t="str">
        <f>IF(ISBLANK(I146),"",IF(OR(I146="TK/0",I146="TK/1",I146="K/0"),"TER A",IF(I146="K/3","TER C","TER B")))</f>
        <v>TER A</v>
      </c>
      <c r="K146" s="437">
        <v>1</v>
      </c>
      <c r="L146" s="438"/>
      <c r="M146" s="46"/>
      <c r="N146" s="46"/>
      <c r="O146" s="46"/>
      <c r="P146" s="46"/>
      <c r="Q146" s="46">
        <v>0</v>
      </c>
      <c r="R146" s="46">
        <f>SUM(M146:Q146)</f>
        <v>0</v>
      </c>
      <c r="S146" s="46">
        <f>+SETAHUN!J142</f>
        <v>3962100</v>
      </c>
      <c r="T146" s="46">
        <f>+SETAHUN!L142</f>
        <v>900000</v>
      </c>
      <c r="U146" s="46">
        <v>0</v>
      </c>
      <c r="V146" s="46">
        <f>+SETAHUN!G142+M146+N146</f>
        <v>64347618.999999985</v>
      </c>
      <c r="W146" s="46">
        <v>0</v>
      </c>
      <c r="X146" s="46">
        <f>+SETAHUN!W142+P146</f>
        <v>1884660</v>
      </c>
      <c r="Y146" s="46">
        <v>0</v>
      </c>
      <c r="Z146" s="46">
        <v>0</v>
      </c>
      <c r="AA146" s="46">
        <f>SUM(S146:U146)</f>
        <v>4862100</v>
      </c>
      <c r="AB146" s="46">
        <f>SUM(V146:AA146)</f>
        <v>71094378.999999985</v>
      </c>
      <c r="AC146" s="46">
        <f>ROUND(IF((AB146)*5%&gt;6000000,6000000,(AB146)*5%),0)</f>
        <v>3554719</v>
      </c>
      <c r="AD146" s="46">
        <f>('ASTEK 2% -DIISI SMPAI DESEMBER'!O242+'ASTEK 2% -DIISI SMPAI DESEMBER'!O120)</f>
        <v>1165482</v>
      </c>
      <c r="AE146" s="46">
        <f>AB146-AC146-AD146</f>
        <v>66374177.999999985</v>
      </c>
      <c r="AF146" s="88">
        <f>IFERROR(VLOOKUP(I146,TARIF,3,FALSE),0)</f>
        <v>54000000</v>
      </c>
      <c r="AG146" s="88">
        <f>ROUNDDOWN(IF(AE146&lt;=AF146,0,IF(AE146&gt;AF146,AE146-AF146)),-3)</f>
        <v>12374000</v>
      </c>
      <c r="AH146" s="439">
        <f>IF(AG146&gt;5000000000,AG146*35%-306000000,IF(AG146&gt;500000000,AG146*30%-56000000,IF(AG146&gt;250000000,AG146*25%-31000000,IF(AG146&gt;60000000,AG146*15%-6000000,AG146*5%))))</f>
        <v>618700</v>
      </c>
      <c r="AI146" s="439">
        <f>ROUND(IF(E146=0,AH146*120%,AH146),0)</f>
        <v>618700</v>
      </c>
      <c r="AJ146" s="88">
        <f>+'PAJAK JAN-NOV'!R122</f>
        <v>917197</v>
      </c>
      <c r="AK146" s="410">
        <f>IF(AH146&lt;=AJ146,0,IF(AH146&gt;AJ146,AH146-AJ146))</f>
        <v>0</v>
      </c>
      <c r="AL146" s="32" t="str">
        <f>+'PAJAK JAN-NOV'!B122</f>
        <v>MARETA</v>
      </c>
      <c r="AM146" s="33">
        <f>AJ146-AI146</f>
        <v>298497</v>
      </c>
      <c r="AN146" s="32"/>
      <c r="AO146" s="33"/>
      <c r="AP146" s="32"/>
      <c r="AQ146" s="32"/>
    </row>
    <row r="147" spans="2:77" s="201" customFormat="1" ht="15" customHeight="1">
      <c r="B147" s="196">
        <v>73</v>
      </c>
      <c r="C147" s="197" t="str">
        <f>+PERBULAN!B121</f>
        <v>HERY</v>
      </c>
      <c r="D147" s="536" t="s">
        <v>734</v>
      </c>
      <c r="E147" s="43" t="s">
        <v>73</v>
      </c>
      <c r="F147" s="454" t="s">
        <v>667</v>
      </c>
      <c r="G147" s="454" t="s">
        <v>375</v>
      </c>
      <c r="H147" s="441" t="s">
        <v>39</v>
      </c>
      <c r="I147" s="436" t="s">
        <v>17</v>
      </c>
      <c r="J147" s="436" t="str">
        <f>IF(ISBLANK(I147),"",IF(OR(I147="TK/0",I147="TK/1",I147="K/0"),"TER A",IF(I147="K/3","TER C","TER B")))</f>
        <v>TER A</v>
      </c>
      <c r="K147" s="437">
        <v>1</v>
      </c>
      <c r="L147" s="437"/>
      <c r="M147" s="88"/>
      <c r="N147" s="88"/>
      <c r="O147" s="88"/>
      <c r="P147" s="88"/>
      <c r="Q147" s="46"/>
      <c r="R147" s="46">
        <f>SUM(M147:Q147)</f>
        <v>0</v>
      </c>
      <c r="S147" s="46">
        <f>+SETAHUN!J141</f>
        <v>4023600</v>
      </c>
      <c r="T147" s="46">
        <f>+SETAHUN!L141</f>
        <v>200000</v>
      </c>
      <c r="U147" s="46"/>
      <c r="V147" s="46">
        <f>+SETAHUN!G141+M147+N147</f>
        <v>29357683.479999997</v>
      </c>
      <c r="W147" s="46"/>
      <c r="X147" s="46">
        <f>+SETAHUN!W141+P147</f>
        <v>1503545.52</v>
      </c>
      <c r="Y147" s="46">
        <v>0</v>
      </c>
      <c r="Z147" s="46">
        <v>0</v>
      </c>
      <c r="AA147" s="46">
        <f>SUM(S147:U147)</f>
        <v>4223600</v>
      </c>
      <c r="AB147" s="46">
        <f>SUM(V147:AA147)</f>
        <v>35084829</v>
      </c>
      <c r="AC147" s="46">
        <f>ROUND(IF((AB147)*5%&gt;6000000,6000000,(AB147)*5%),0)</f>
        <v>1754241</v>
      </c>
      <c r="AD147" s="46">
        <f>('ASTEK 2% -DIISI SMPAI DESEMBER'!O241+'ASTEK 2% -DIISI SMPAI DESEMBER'!O119)</f>
        <v>930816</v>
      </c>
      <c r="AE147" s="46">
        <f>AB147-AC147-AD147</f>
        <v>32399772</v>
      </c>
      <c r="AF147" s="88">
        <f>IFERROR(VLOOKUP(I147,TARIF,3,FALSE),0)</f>
        <v>58500000</v>
      </c>
      <c r="AG147" s="88">
        <f>ROUNDDOWN(IF(AR147&gt;AS147,AR147-AS147,0),-3)</f>
        <v>0</v>
      </c>
      <c r="AH147" s="439">
        <f>IF(AG147&gt;5000000000,AG147*35%-306000000,IF(AG147&gt;500000000,AG147*30%-56000000,IF(AG147&gt;250000000,AG147*25%-31000000,IF(AG147&gt;60000000,AG147*15%-6000000,AG147*5%))))</f>
        <v>0</v>
      </c>
      <c r="AI147" s="439">
        <f>ROUND(IF(E147=0,AH147*120%,AH147),0)</f>
        <v>0</v>
      </c>
      <c r="AJ147" s="88">
        <f>+'PAJAK JAN-NOV'!R75</f>
        <v>123950</v>
      </c>
      <c r="AK147" s="410">
        <f>IF(AH147&lt;=AJ147,0,IF(AH147&gt;AJ147,AH147-AJ147))</f>
        <v>0</v>
      </c>
      <c r="AL147" s="32" t="str">
        <f>+'PAJAK JAN-NOV'!B121</f>
        <v>HERY</v>
      </c>
      <c r="AM147" s="33">
        <f>AJ147-AI147</f>
        <v>123950</v>
      </c>
      <c r="AN147" s="32"/>
      <c r="AO147" s="33"/>
      <c r="AP147" s="32"/>
      <c r="AQ147" s="32"/>
    </row>
    <row r="148" spans="2:77" s="28" customFormat="1">
      <c r="B148" s="201"/>
      <c r="D148" s="418"/>
      <c r="E148" s="29"/>
      <c r="G148" s="421"/>
      <c r="H148" s="422"/>
      <c r="I148" s="422"/>
      <c r="J148" s="422"/>
      <c r="K148" s="422"/>
      <c r="L148" s="422"/>
      <c r="P148" s="466"/>
      <c r="AJ148" s="31"/>
      <c r="AK148" s="31"/>
      <c r="AL148" s="32"/>
      <c r="AM148" s="33"/>
      <c r="AN148" s="32"/>
      <c r="AO148" s="33"/>
      <c r="AP148" s="32"/>
      <c r="AQ148" s="32"/>
      <c r="AR148" s="201"/>
      <c r="AS148" s="201"/>
      <c r="AT148" s="201"/>
      <c r="AU148" s="201"/>
      <c r="AV148" s="201"/>
      <c r="AW148" s="201"/>
      <c r="AX148" s="201"/>
      <c r="AY148" s="201"/>
      <c r="AZ148" s="201"/>
      <c r="BA148" s="201"/>
      <c r="BB148" s="201"/>
      <c r="BC148" s="201"/>
      <c r="BD148" s="465"/>
      <c r="BE148" s="465"/>
      <c r="BF148" s="465"/>
      <c r="BG148" s="465"/>
      <c r="BH148" s="465"/>
      <c r="BI148" s="465"/>
      <c r="BJ148" s="465"/>
      <c r="BK148" s="465"/>
      <c r="BL148" s="465"/>
      <c r="BM148" s="465"/>
      <c r="BN148" s="465"/>
      <c r="BO148" s="465"/>
      <c r="BP148" s="465"/>
      <c r="BQ148" s="465"/>
      <c r="BR148" s="465"/>
      <c r="BS148" s="465"/>
      <c r="BT148" s="465"/>
      <c r="BU148" s="465"/>
      <c r="BV148" s="465"/>
      <c r="BW148" s="465"/>
      <c r="BX148" s="465"/>
      <c r="BY148" s="465"/>
    </row>
    <row r="149" spans="2:77" s="28" customFormat="1">
      <c r="B149" s="201"/>
      <c r="D149" s="418"/>
      <c r="E149" s="29"/>
      <c r="G149" s="421"/>
      <c r="H149" s="422"/>
      <c r="I149" s="422"/>
      <c r="J149" s="422"/>
      <c r="K149" s="422"/>
      <c r="L149" s="422"/>
      <c r="P149" s="466"/>
      <c r="AJ149" s="31"/>
      <c r="AK149" s="31"/>
      <c r="AL149" s="32"/>
      <c r="AM149" s="33"/>
      <c r="AN149" s="32"/>
      <c r="AO149" s="33"/>
      <c r="AP149" s="32"/>
      <c r="AQ149" s="32"/>
      <c r="AR149" s="201"/>
      <c r="AS149" s="201"/>
      <c r="AT149" s="201"/>
      <c r="AU149" s="201"/>
      <c r="AV149" s="201"/>
      <c r="AW149" s="201"/>
      <c r="AX149" s="201"/>
      <c r="AY149" s="201"/>
      <c r="AZ149" s="201"/>
      <c r="BA149" s="201"/>
      <c r="BB149" s="201"/>
      <c r="BC149" s="201"/>
      <c r="BD149" s="465"/>
      <c r="BE149" s="465"/>
      <c r="BF149" s="465"/>
      <c r="BG149" s="465"/>
      <c r="BH149" s="465"/>
      <c r="BI149" s="465"/>
      <c r="BJ149" s="465"/>
      <c r="BK149" s="465"/>
      <c r="BL149" s="465"/>
      <c r="BM149" s="465"/>
      <c r="BN149" s="465"/>
      <c r="BO149" s="465"/>
      <c r="BP149" s="465"/>
      <c r="BQ149" s="465"/>
      <c r="BR149" s="465"/>
      <c r="BS149" s="465"/>
      <c r="BT149" s="465"/>
      <c r="BU149" s="465"/>
      <c r="BV149" s="465"/>
      <c r="BW149" s="465"/>
      <c r="BX149" s="465"/>
      <c r="BY149" s="465"/>
    </row>
    <row r="150" spans="2:77" s="28" customFormat="1">
      <c r="B150" s="201"/>
      <c r="D150" s="418"/>
      <c r="E150" s="29"/>
      <c r="G150" s="421"/>
      <c r="H150" s="422"/>
      <c r="I150" s="422"/>
      <c r="J150" s="422"/>
      <c r="K150" s="422"/>
      <c r="L150" s="422"/>
      <c r="P150" s="466"/>
      <c r="AJ150" s="31"/>
      <c r="AK150" s="31"/>
      <c r="AL150" s="32"/>
      <c r="AM150" s="33"/>
      <c r="AN150" s="32"/>
      <c r="AO150" s="33"/>
      <c r="AP150" s="32"/>
      <c r="AQ150" s="32"/>
      <c r="AR150" s="201"/>
      <c r="AS150" s="201"/>
      <c r="AT150" s="201"/>
      <c r="AU150" s="201"/>
      <c r="AV150" s="201"/>
      <c r="AW150" s="201"/>
      <c r="AX150" s="201"/>
      <c r="AY150" s="201"/>
      <c r="AZ150" s="201"/>
      <c r="BA150" s="201"/>
      <c r="BB150" s="201"/>
      <c r="BC150" s="201"/>
      <c r="BD150" s="465"/>
      <c r="BE150" s="465"/>
      <c r="BF150" s="465"/>
      <c r="BG150" s="465"/>
      <c r="BH150" s="465"/>
      <c r="BI150" s="465"/>
      <c r="BJ150" s="465"/>
      <c r="BK150" s="465"/>
      <c r="BL150" s="465"/>
      <c r="BM150" s="465"/>
      <c r="BN150" s="465"/>
      <c r="BO150" s="465"/>
      <c r="BP150" s="465"/>
      <c r="BQ150" s="465"/>
      <c r="BR150" s="465"/>
      <c r="BS150" s="465"/>
      <c r="BT150" s="465"/>
      <c r="BU150" s="465"/>
      <c r="BV150" s="465"/>
      <c r="BW150" s="465"/>
      <c r="BX150" s="465"/>
      <c r="BY150" s="465"/>
    </row>
    <row r="151" spans="2:77" s="28" customFormat="1">
      <c r="B151" s="201"/>
      <c r="D151" s="418"/>
      <c r="E151" s="29"/>
      <c r="G151" s="421"/>
      <c r="H151" s="422"/>
      <c r="I151" s="422"/>
      <c r="J151" s="422"/>
      <c r="K151" s="422"/>
      <c r="L151" s="422"/>
      <c r="P151" s="466"/>
      <c r="AJ151" s="31"/>
      <c r="AK151" s="31"/>
      <c r="AL151" s="32"/>
      <c r="AM151" s="33"/>
      <c r="AN151" s="32"/>
      <c r="AO151" s="33"/>
      <c r="AP151" s="32"/>
      <c r="AQ151" s="32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465"/>
      <c r="BE151" s="465"/>
      <c r="BF151" s="465"/>
      <c r="BG151" s="465"/>
      <c r="BH151" s="465"/>
      <c r="BI151" s="465"/>
      <c r="BJ151" s="465"/>
      <c r="BK151" s="465"/>
      <c r="BL151" s="465"/>
      <c r="BM151" s="465"/>
      <c r="BN151" s="465"/>
      <c r="BO151" s="465"/>
      <c r="BP151" s="465"/>
      <c r="BQ151" s="465"/>
      <c r="BR151" s="465"/>
      <c r="BS151" s="465"/>
      <c r="BT151" s="465"/>
      <c r="BU151" s="465"/>
      <c r="BV151" s="465"/>
      <c r="BW151" s="465"/>
      <c r="BX151" s="465"/>
      <c r="BY151" s="465"/>
    </row>
    <row r="152" spans="2:77" s="28" customFormat="1">
      <c r="B152" s="201"/>
      <c r="D152" s="418"/>
      <c r="E152" s="29"/>
      <c r="G152" s="421"/>
      <c r="H152" s="422"/>
      <c r="I152" s="422"/>
      <c r="J152" s="422"/>
      <c r="K152" s="422"/>
      <c r="L152" s="422"/>
      <c r="P152" s="466"/>
      <c r="AJ152" s="31"/>
      <c r="AK152" s="31"/>
      <c r="AL152" s="32"/>
      <c r="AM152" s="33"/>
      <c r="AN152" s="32"/>
      <c r="AO152" s="33"/>
      <c r="AP152" s="32"/>
      <c r="AQ152" s="32"/>
      <c r="AR152" s="201"/>
      <c r="AS152" s="201"/>
      <c r="AT152" s="201"/>
      <c r="AU152" s="201"/>
      <c r="AV152" s="201"/>
      <c r="AW152" s="201"/>
      <c r="AX152" s="201"/>
      <c r="AY152" s="201"/>
      <c r="AZ152" s="201"/>
      <c r="BA152" s="201"/>
      <c r="BB152" s="201"/>
      <c r="BC152" s="201"/>
      <c r="BD152" s="465"/>
      <c r="BE152" s="465"/>
      <c r="BF152" s="465"/>
      <c r="BG152" s="465"/>
      <c r="BH152" s="465"/>
      <c r="BI152" s="465"/>
      <c r="BJ152" s="465"/>
      <c r="BK152" s="465"/>
      <c r="BL152" s="465"/>
      <c r="BM152" s="465"/>
      <c r="BN152" s="465"/>
      <c r="BO152" s="465"/>
      <c r="BP152" s="465"/>
      <c r="BQ152" s="465"/>
      <c r="BR152" s="465"/>
      <c r="BS152" s="465"/>
      <c r="BT152" s="465"/>
      <c r="BU152" s="465"/>
      <c r="BV152" s="465"/>
      <c r="BW152" s="465"/>
      <c r="BX152" s="465"/>
      <c r="BY152" s="465"/>
    </row>
    <row r="153" spans="2:77" s="28" customFormat="1">
      <c r="B153" s="201"/>
      <c r="D153" s="418"/>
      <c r="E153" s="29"/>
      <c r="G153" s="421"/>
      <c r="H153" s="422"/>
      <c r="I153" s="422"/>
      <c r="J153" s="422"/>
      <c r="K153" s="422"/>
      <c r="L153" s="422"/>
      <c r="P153" s="466"/>
      <c r="AJ153" s="31"/>
      <c r="AK153" s="31"/>
      <c r="AL153" s="32"/>
      <c r="AM153" s="33"/>
      <c r="AN153" s="32"/>
      <c r="AO153" s="33"/>
      <c r="AP153" s="32"/>
      <c r="AQ153" s="32"/>
      <c r="AR153" s="201"/>
      <c r="AS153" s="201"/>
      <c r="AT153" s="201"/>
      <c r="AU153" s="201"/>
      <c r="AV153" s="201"/>
      <c r="AW153" s="201"/>
      <c r="AX153" s="201"/>
      <c r="AY153" s="201"/>
      <c r="AZ153" s="201"/>
      <c r="BA153" s="201"/>
      <c r="BB153" s="201"/>
      <c r="BC153" s="201"/>
      <c r="BD153" s="465"/>
      <c r="BE153" s="465"/>
      <c r="BF153" s="465"/>
      <c r="BG153" s="465"/>
      <c r="BH153" s="465"/>
      <c r="BI153" s="465"/>
      <c r="BJ153" s="465"/>
      <c r="BK153" s="465"/>
      <c r="BL153" s="465"/>
      <c r="BM153" s="465"/>
      <c r="BN153" s="465"/>
      <c r="BO153" s="465"/>
      <c r="BP153" s="465"/>
      <c r="BQ153" s="465"/>
      <c r="BR153" s="465"/>
      <c r="BS153" s="465"/>
      <c r="BT153" s="465"/>
      <c r="BU153" s="465"/>
      <c r="BV153" s="465"/>
      <c r="BW153" s="465"/>
      <c r="BX153" s="465"/>
      <c r="BY153" s="465"/>
    </row>
    <row r="154" spans="2:77" s="28" customFormat="1">
      <c r="B154" s="201"/>
      <c r="D154" s="418"/>
      <c r="E154" s="29"/>
      <c r="G154" s="421"/>
      <c r="H154" s="422"/>
      <c r="I154" s="422"/>
      <c r="J154" s="422"/>
      <c r="K154" s="422"/>
      <c r="L154" s="422"/>
      <c r="P154" s="466"/>
      <c r="AJ154" s="31"/>
      <c r="AK154" s="31"/>
      <c r="AL154" s="32"/>
      <c r="AM154" s="33"/>
      <c r="AN154" s="32"/>
      <c r="AO154" s="33"/>
      <c r="AP154" s="32"/>
      <c r="AQ154" s="32"/>
      <c r="AR154" s="201"/>
      <c r="AS154" s="201"/>
      <c r="AT154" s="201"/>
      <c r="AU154" s="201"/>
      <c r="AV154" s="201"/>
      <c r="AW154" s="201"/>
      <c r="AX154" s="201"/>
      <c r="AY154" s="201"/>
      <c r="AZ154" s="201"/>
      <c r="BA154" s="201"/>
      <c r="BB154" s="201"/>
      <c r="BC154" s="201"/>
      <c r="BD154" s="465"/>
      <c r="BE154" s="465"/>
      <c r="BF154" s="465"/>
      <c r="BG154" s="465"/>
      <c r="BH154" s="465"/>
      <c r="BI154" s="465"/>
      <c r="BJ154" s="465"/>
      <c r="BK154" s="465"/>
      <c r="BL154" s="465"/>
      <c r="BM154" s="465"/>
      <c r="BN154" s="465"/>
      <c r="BO154" s="465"/>
      <c r="BP154" s="465"/>
      <c r="BQ154" s="465"/>
      <c r="BR154" s="465"/>
      <c r="BS154" s="465"/>
      <c r="BT154" s="465"/>
      <c r="BU154" s="465"/>
      <c r="BV154" s="465"/>
      <c r="BW154" s="465"/>
      <c r="BX154" s="465"/>
      <c r="BY154" s="465"/>
    </row>
    <row r="155" spans="2:77" s="28" customFormat="1">
      <c r="B155" s="201"/>
      <c r="D155" s="418"/>
      <c r="E155" s="29"/>
      <c r="G155" s="421"/>
      <c r="H155" s="422"/>
      <c r="I155" s="422"/>
      <c r="J155" s="422"/>
      <c r="K155" s="422"/>
      <c r="L155" s="422"/>
      <c r="P155" s="466"/>
      <c r="AJ155" s="31"/>
      <c r="AK155" s="31"/>
      <c r="AL155" s="32"/>
      <c r="AM155" s="33"/>
      <c r="AN155" s="32"/>
      <c r="AO155" s="33"/>
      <c r="AP155" s="32"/>
      <c r="AQ155" s="32"/>
      <c r="AR155" s="201"/>
      <c r="AS155" s="201"/>
      <c r="AT155" s="201"/>
      <c r="AU155" s="201"/>
      <c r="AV155" s="201"/>
      <c r="AW155" s="201"/>
      <c r="AX155" s="201"/>
      <c r="AY155" s="201"/>
      <c r="AZ155" s="201"/>
      <c r="BA155" s="201"/>
      <c r="BB155" s="201"/>
      <c r="BC155" s="201"/>
      <c r="BD155" s="465"/>
      <c r="BE155" s="465"/>
      <c r="BF155" s="465"/>
      <c r="BG155" s="465"/>
      <c r="BH155" s="465"/>
      <c r="BI155" s="465"/>
      <c r="BJ155" s="465"/>
      <c r="BK155" s="465"/>
      <c r="BL155" s="465"/>
      <c r="BM155" s="465"/>
      <c r="BN155" s="465"/>
      <c r="BO155" s="465"/>
      <c r="BP155" s="465"/>
      <c r="BQ155" s="465"/>
      <c r="BR155" s="465"/>
      <c r="BS155" s="465"/>
      <c r="BT155" s="465"/>
      <c r="BU155" s="465"/>
      <c r="BV155" s="465"/>
      <c r="BW155" s="465"/>
      <c r="BX155" s="465"/>
      <c r="BY155" s="465"/>
    </row>
    <row r="156" spans="2:77" s="28" customFormat="1">
      <c r="B156" s="201"/>
      <c r="D156" s="418"/>
      <c r="E156" s="29"/>
      <c r="G156" s="421"/>
      <c r="H156" s="422"/>
      <c r="I156" s="422"/>
      <c r="J156" s="422"/>
      <c r="K156" s="422"/>
      <c r="L156" s="422"/>
      <c r="P156" s="466"/>
      <c r="AJ156" s="31"/>
      <c r="AK156" s="31"/>
      <c r="AL156" s="32"/>
      <c r="AM156" s="33"/>
      <c r="AN156" s="32"/>
      <c r="AO156" s="33"/>
      <c r="AP156" s="32"/>
      <c r="AQ156" s="32"/>
      <c r="AR156" s="201"/>
      <c r="AS156" s="201"/>
      <c r="AT156" s="201"/>
      <c r="AU156" s="201"/>
      <c r="AV156" s="201"/>
      <c r="AW156" s="201"/>
      <c r="AX156" s="201"/>
      <c r="AY156" s="201"/>
      <c r="AZ156" s="201"/>
      <c r="BA156" s="201"/>
      <c r="BB156" s="201"/>
      <c r="BC156" s="201"/>
      <c r="BD156" s="465"/>
      <c r="BE156" s="465"/>
      <c r="BF156" s="465"/>
      <c r="BG156" s="465"/>
      <c r="BH156" s="465"/>
      <c r="BI156" s="465"/>
      <c r="BJ156" s="465"/>
      <c r="BK156" s="465"/>
      <c r="BL156" s="465"/>
      <c r="BM156" s="465"/>
      <c r="BN156" s="465"/>
      <c r="BO156" s="465"/>
      <c r="BP156" s="465"/>
      <c r="BQ156" s="465"/>
      <c r="BR156" s="465"/>
      <c r="BS156" s="465"/>
      <c r="BT156" s="465"/>
      <c r="BU156" s="465"/>
      <c r="BV156" s="465"/>
      <c r="BW156" s="465"/>
      <c r="BX156" s="465"/>
      <c r="BY156" s="465"/>
    </row>
    <row r="157" spans="2:77" s="28" customFormat="1">
      <c r="B157" s="201"/>
      <c r="D157" s="418"/>
      <c r="E157" s="29"/>
      <c r="G157" s="421"/>
      <c r="H157" s="422"/>
      <c r="I157" s="422"/>
      <c r="J157" s="422"/>
      <c r="K157" s="422"/>
      <c r="L157" s="422"/>
      <c r="P157" s="466"/>
      <c r="AJ157" s="31"/>
      <c r="AK157" s="31"/>
      <c r="AL157" s="32"/>
      <c r="AM157" s="33"/>
      <c r="AN157" s="32"/>
      <c r="AO157" s="33"/>
      <c r="AP157" s="32"/>
      <c r="AQ157" s="32"/>
      <c r="AR157" s="201"/>
      <c r="AS157" s="201"/>
      <c r="AT157" s="201"/>
      <c r="AU157" s="201"/>
      <c r="AV157" s="201"/>
      <c r="AW157" s="201"/>
      <c r="AX157" s="201"/>
      <c r="AY157" s="201"/>
      <c r="AZ157" s="201"/>
      <c r="BA157" s="201"/>
      <c r="BB157" s="201"/>
      <c r="BC157" s="201"/>
      <c r="BD157" s="465"/>
      <c r="BE157" s="465"/>
      <c r="BF157" s="465"/>
      <c r="BG157" s="465"/>
      <c r="BH157" s="465"/>
      <c r="BI157" s="465"/>
      <c r="BJ157" s="465"/>
      <c r="BK157" s="465"/>
      <c r="BL157" s="465"/>
      <c r="BM157" s="465"/>
      <c r="BN157" s="465"/>
      <c r="BO157" s="465"/>
      <c r="BP157" s="465"/>
      <c r="BQ157" s="465"/>
      <c r="BR157" s="465"/>
      <c r="BS157" s="465"/>
      <c r="BT157" s="465"/>
      <c r="BU157" s="465"/>
      <c r="BV157" s="465"/>
      <c r="BW157" s="465"/>
      <c r="BX157" s="465"/>
      <c r="BY157" s="465"/>
    </row>
    <row r="158" spans="2:77" s="28" customFormat="1">
      <c r="B158" s="201"/>
      <c r="D158" s="418"/>
      <c r="E158" s="29"/>
      <c r="G158" s="421"/>
      <c r="H158" s="422"/>
      <c r="I158" s="422"/>
      <c r="J158" s="422"/>
      <c r="K158" s="422"/>
      <c r="L158" s="422"/>
      <c r="P158" s="466"/>
      <c r="AJ158" s="31"/>
      <c r="AK158" s="31"/>
      <c r="AL158" s="32"/>
      <c r="AM158" s="33"/>
      <c r="AN158" s="32"/>
      <c r="AO158" s="33"/>
      <c r="AP158" s="32"/>
      <c r="AQ158" s="32"/>
      <c r="AR158" s="201"/>
      <c r="AS158" s="201"/>
      <c r="AT158" s="201"/>
      <c r="AU158" s="201"/>
      <c r="AV158" s="201"/>
      <c r="AW158" s="201"/>
      <c r="AX158" s="201"/>
      <c r="AY158" s="201"/>
      <c r="AZ158" s="201"/>
      <c r="BA158" s="201"/>
      <c r="BB158" s="201"/>
      <c r="BC158" s="201"/>
      <c r="BD158" s="465"/>
      <c r="BE158" s="465"/>
      <c r="BF158" s="465"/>
      <c r="BG158" s="465"/>
      <c r="BH158" s="465"/>
      <c r="BI158" s="465"/>
      <c r="BJ158" s="465"/>
      <c r="BK158" s="465"/>
      <c r="BL158" s="465"/>
      <c r="BM158" s="465"/>
      <c r="BN158" s="465"/>
      <c r="BO158" s="465"/>
      <c r="BP158" s="465"/>
      <c r="BQ158" s="465"/>
      <c r="BR158" s="465"/>
      <c r="BS158" s="465"/>
      <c r="BT158" s="465"/>
      <c r="BU158" s="465"/>
      <c r="BV158" s="465"/>
      <c r="BW158" s="465"/>
      <c r="BX158" s="465"/>
      <c r="BY158" s="465"/>
    </row>
    <row r="159" spans="2:77" s="28" customFormat="1">
      <c r="B159" s="201"/>
      <c r="D159" s="418"/>
      <c r="E159" s="29"/>
      <c r="G159" s="421"/>
      <c r="H159" s="422"/>
      <c r="I159" s="422"/>
      <c r="J159" s="422"/>
      <c r="K159" s="422"/>
      <c r="L159" s="422"/>
      <c r="P159" s="466"/>
      <c r="AJ159" s="31"/>
      <c r="AK159" s="31"/>
      <c r="AL159" s="32"/>
      <c r="AM159" s="33"/>
      <c r="AN159" s="32"/>
      <c r="AO159" s="33"/>
      <c r="AP159" s="32"/>
      <c r="AQ159" s="32"/>
      <c r="AR159" s="201"/>
      <c r="AS159" s="201"/>
      <c r="AT159" s="201"/>
      <c r="AU159" s="201"/>
      <c r="AV159" s="201"/>
      <c r="AW159" s="201"/>
      <c r="AX159" s="201"/>
      <c r="AY159" s="201"/>
      <c r="AZ159" s="201"/>
      <c r="BA159" s="201"/>
      <c r="BB159" s="201"/>
      <c r="BC159" s="201"/>
      <c r="BD159" s="465"/>
      <c r="BE159" s="465"/>
      <c r="BF159" s="465"/>
      <c r="BG159" s="465"/>
      <c r="BH159" s="465"/>
      <c r="BI159" s="465"/>
      <c r="BJ159" s="465"/>
      <c r="BK159" s="465"/>
      <c r="BL159" s="465"/>
      <c r="BM159" s="465"/>
      <c r="BN159" s="465"/>
      <c r="BO159" s="465"/>
      <c r="BP159" s="465"/>
      <c r="BQ159" s="465"/>
      <c r="BR159" s="465"/>
      <c r="BS159" s="465"/>
      <c r="BT159" s="465"/>
      <c r="BU159" s="465"/>
      <c r="BV159" s="465"/>
      <c r="BW159" s="465"/>
      <c r="BX159" s="465"/>
      <c r="BY159" s="465"/>
    </row>
    <row r="160" spans="2:77" s="28" customFormat="1">
      <c r="B160" s="201"/>
      <c r="D160" s="418"/>
      <c r="E160" s="29"/>
      <c r="G160" s="421"/>
      <c r="H160" s="422"/>
      <c r="I160" s="422"/>
      <c r="J160" s="422"/>
      <c r="K160" s="422"/>
      <c r="L160" s="422"/>
      <c r="P160" s="466"/>
      <c r="AJ160" s="31"/>
      <c r="AK160" s="31"/>
      <c r="AL160" s="32"/>
      <c r="AM160" s="33"/>
      <c r="AN160" s="32"/>
      <c r="AO160" s="33"/>
      <c r="AP160" s="32"/>
      <c r="AQ160" s="32"/>
      <c r="AR160" s="201"/>
      <c r="AS160" s="201"/>
      <c r="AT160" s="201"/>
      <c r="AU160" s="201"/>
      <c r="AV160" s="201"/>
      <c r="AW160" s="201"/>
      <c r="AX160" s="201"/>
      <c r="AY160" s="201"/>
      <c r="AZ160" s="201"/>
      <c r="BA160" s="201"/>
      <c r="BB160" s="201"/>
      <c r="BC160" s="201"/>
      <c r="BD160" s="465"/>
      <c r="BE160" s="465"/>
      <c r="BF160" s="465"/>
      <c r="BG160" s="465"/>
      <c r="BH160" s="465"/>
      <c r="BI160" s="465"/>
      <c r="BJ160" s="465"/>
      <c r="BK160" s="465"/>
      <c r="BL160" s="465"/>
      <c r="BM160" s="465"/>
      <c r="BN160" s="465"/>
      <c r="BO160" s="465"/>
      <c r="BP160" s="465"/>
      <c r="BQ160" s="465"/>
      <c r="BR160" s="465"/>
      <c r="BS160" s="465"/>
      <c r="BT160" s="465"/>
      <c r="BU160" s="465"/>
      <c r="BV160" s="465"/>
      <c r="BW160" s="465"/>
      <c r="BX160" s="465"/>
      <c r="BY160" s="465"/>
    </row>
    <row r="161" spans="2:77" s="28" customFormat="1">
      <c r="B161" s="201"/>
      <c r="D161" s="418"/>
      <c r="E161" s="29"/>
      <c r="G161" s="421"/>
      <c r="H161" s="422"/>
      <c r="I161" s="422"/>
      <c r="J161" s="422"/>
      <c r="K161" s="422"/>
      <c r="L161" s="422"/>
      <c r="P161" s="466"/>
      <c r="AJ161" s="31"/>
      <c r="AK161" s="31"/>
      <c r="AL161" s="32"/>
      <c r="AM161" s="33"/>
      <c r="AN161" s="32"/>
      <c r="AO161" s="33"/>
      <c r="AP161" s="32"/>
      <c r="AQ161" s="32"/>
      <c r="AR161" s="201"/>
      <c r="AS161" s="201"/>
      <c r="AT161" s="201"/>
      <c r="AU161" s="201"/>
      <c r="AV161" s="201"/>
      <c r="AW161" s="201"/>
      <c r="AX161" s="201"/>
      <c r="AY161" s="201"/>
      <c r="AZ161" s="201"/>
      <c r="BA161" s="201"/>
      <c r="BB161" s="201"/>
      <c r="BC161" s="201"/>
      <c r="BD161" s="465"/>
      <c r="BE161" s="465"/>
      <c r="BF161" s="465"/>
      <c r="BG161" s="465"/>
      <c r="BH161" s="465"/>
      <c r="BI161" s="465"/>
      <c r="BJ161" s="465"/>
      <c r="BK161" s="465"/>
      <c r="BL161" s="465"/>
      <c r="BM161" s="465"/>
      <c r="BN161" s="465"/>
      <c r="BO161" s="465"/>
      <c r="BP161" s="465"/>
      <c r="BQ161" s="465"/>
      <c r="BR161" s="465"/>
      <c r="BS161" s="465"/>
      <c r="BT161" s="465"/>
      <c r="BU161" s="465"/>
      <c r="BV161" s="465"/>
      <c r="BW161" s="465"/>
      <c r="BX161" s="465"/>
      <c r="BY161" s="465"/>
    </row>
    <row r="162" spans="2:77" s="28" customFormat="1">
      <c r="B162" s="201"/>
      <c r="D162" s="418"/>
      <c r="E162" s="29"/>
      <c r="G162" s="421"/>
      <c r="H162" s="422"/>
      <c r="I162" s="422"/>
      <c r="J162" s="422"/>
      <c r="K162" s="422"/>
      <c r="L162" s="422"/>
      <c r="P162" s="466"/>
      <c r="AJ162" s="31"/>
      <c r="AK162" s="31"/>
      <c r="AL162" s="32"/>
      <c r="AM162" s="33"/>
      <c r="AN162" s="32"/>
      <c r="AO162" s="33"/>
      <c r="AP162" s="32"/>
      <c r="AQ162" s="32"/>
      <c r="AR162" s="201"/>
      <c r="AS162" s="201"/>
      <c r="AT162" s="201"/>
      <c r="AU162" s="201"/>
      <c r="AV162" s="201"/>
      <c r="AW162" s="201"/>
      <c r="AX162" s="201"/>
      <c r="AY162" s="201"/>
      <c r="AZ162" s="201"/>
      <c r="BA162" s="201"/>
      <c r="BB162" s="201"/>
      <c r="BC162" s="201"/>
      <c r="BD162" s="465"/>
      <c r="BE162" s="465"/>
      <c r="BF162" s="465"/>
      <c r="BG162" s="465"/>
      <c r="BH162" s="465"/>
      <c r="BI162" s="465"/>
      <c r="BJ162" s="465"/>
      <c r="BK162" s="465"/>
      <c r="BL162" s="465"/>
      <c r="BM162" s="465"/>
      <c r="BN162" s="465"/>
      <c r="BO162" s="465"/>
      <c r="BP162" s="465"/>
      <c r="BQ162" s="465"/>
      <c r="BR162" s="465"/>
      <c r="BS162" s="465"/>
      <c r="BT162" s="465"/>
      <c r="BU162" s="465"/>
      <c r="BV162" s="465"/>
      <c r="BW162" s="465"/>
      <c r="BX162" s="465"/>
      <c r="BY162" s="465"/>
    </row>
    <row r="163" spans="2:77" s="28" customFormat="1">
      <c r="B163" s="201"/>
      <c r="D163" s="418"/>
      <c r="E163" s="29"/>
      <c r="G163" s="421"/>
      <c r="H163" s="422"/>
      <c r="I163" s="422"/>
      <c r="J163" s="422"/>
      <c r="K163" s="422"/>
      <c r="L163" s="422"/>
      <c r="P163" s="466"/>
      <c r="AJ163" s="31"/>
      <c r="AK163" s="31"/>
      <c r="AL163" s="32"/>
      <c r="AM163" s="33"/>
      <c r="AN163" s="32"/>
      <c r="AO163" s="33"/>
      <c r="AP163" s="32"/>
      <c r="AQ163" s="32"/>
      <c r="AR163" s="201"/>
      <c r="AS163" s="201"/>
      <c r="AT163" s="201"/>
      <c r="AU163" s="201"/>
      <c r="AV163" s="201"/>
      <c r="AW163" s="201"/>
      <c r="AX163" s="201"/>
      <c r="AY163" s="201"/>
      <c r="AZ163" s="201"/>
      <c r="BA163" s="201"/>
      <c r="BB163" s="201"/>
      <c r="BC163" s="201"/>
      <c r="BD163" s="465"/>
      <c r="BE163" s="465"/>
      <c r="BF163" s="465"/>
      <c r="BG163" s="465"/>
      <c r="BH163" s="465"/>
      <c r="BI163" s="465"/>
      <c r="BJ163" s="465"/>
      <c r="BK163" s="465"/>
      <c r="BL163" s="465"/>
      <c r="BM163" s="465"/>
      <c r="BN163" s="465"/>
      <c r="BO163" s="465"/>
      <c r="BP163" s="465"/>
      <c r="BQ163" s="465"/>
      <c r="BR163" s="465"/>
      <c r="BS163" s="465"/>
      <c r="BT163" s="465"/>
      <c r="BU163" s="465"/>
      <c r="BV163" s="465"/>
      <c r="BW163" s="465"/>
      <c r="BX163" s="465"/>
      <c r="BY163" s="465"/>
    </row>
    <row r="164" spans="2:77" s="28" customFormat="1">
      <c r="B164" s="201"/>
      <c r="D164" s="418"/>
      <c r="E164" s="29"/>
      <c r="G164" s="421"/>
      <c r="H164" s="422"/>
      <c r="I164" s="422"/>
      <c r="J164" s="422"/>
      <c r="K164" s="422"/>
      <c r="L164" s="422"/>
      <c r="P164" s="466"/>
      <c r="AJ164" s="31"/>
      <c r="AK164" s="31"/>
      <c r="AL164" s="32"/>
      <c r="AM164" s="33"/>
      <c r="AN164" s="32"/>
      <c r="AO164" s="33"/>
      <c r="AP164" s="32"/>
      <c r="AQ164" s="32"/>
      <c r="AR164" s="201"/>
      <c r="AS164" s="201"/>
      <c r="AT164" s="201"/>
      <c r="AU164" s="201"/>
      <c r="AV164" s="201"/>
      <c r="AW164" s="201"/>
      <c r="AX164" s="201"/>
      <c r="AY164" s="201"/>
      <c r="AZ164" s="201"/>
      <c r="BA164" s="201"/>
      <c r="BB164" s="201"/>
      <c r="BC164" s="201"/>
      <c r="BD164" s="465"/>
      <c r="BE164" s="465"/>
      <c r="BF164" s="465"/>
      <c r="BG164" s="465"/>
      <c r="BH164" s="465"/>
      <c r="BI164" s="465"/>
      <c r="BJ164" s="465"/>
      <c r="BK164" s="465"/>
      <c r="BL164" s="465"/>
      <c r="BM164" s="465"/>
      <c r="BN164" s="465"/>
      <c r="BO164" s="465"/>
      <c r="BP164" s="465"/>
      <c r="BQ164" s="465"/>
      <c r="BR164" s="465"/>
      <c r="BS164" s="465"/>
      <c r="BT164" s="465"/>
      <c r="BU164" s="465"/>
      <c r="BV164" s="465"/>
      <c r="BW164" s="465"/>
      <c r="BX164" s="465"/>
      <c r="BY164" s="465"/>
    </row>
    <row r="165" spans="2:77" s="28" customFormat="1">
      <c r="B165" s="201"/>
      <c r="D165" s="418"/>
      <c r="E165" s="29"/>
      <c r="G165" s="421"/>
      <c r="H165" s="422"/>
      <c r="I165" s="422"/>
      <c r="J165" s="422"/>
      <c r="K165" s="422"/>
      <c r="L165" s="422"/>
      <c r="P165" s="466"/>
      <c r="AJ165" s="31"/>
      <c r="AK165" s="31"/>
      <c r="AL165" s="32"/>
      <c r="AM165" s="33"/>
      <c r="AN165" s="32"/>
      <c r="AO165" s="33"/>
      <c r="AP165" s="32"/>
      <c r="AQ165" s="32"/>
      <c r="AR165" s="201"/>
      <c r="AS165" s="201"/>
      <c r="AT165" s="201"/>
      <c r="AU165" s="201"/>
      <c r="AV165" s="201"/>
      <c r="AW165" s="201"/>
      <c r="AX165" s="201"/>
      <c r="AY165" s="201"/>
      <c r="AZ165" s="201"/>
      <c r="BA165" s="201"/>
      <c r="BB165" s="201"/>
      <c r="BC165" s="201"/>
      <c r="BD165" s="465"/>
      <c r="BE165" s="465"/>
      <c r="BF165" s="465"/>
      <c r="BG165" s="465"/>
      <c r="BH165" s="465"/>
      <c r="BI165" s="465"/>
      <c r="BJ165" s="465"/>
      <c r="BK165" s="465"/>
      <c r="BL165" s="465"/>
      <c r="BM165" s="465"/>
      <c r="BN165" s="465"/>
      <c r="BO165" s="465"/>
      <c r="BP165" s="465"/>
      <c r="BQ165" s="465"/>
      <c r="BR165" s="465"/>
      <c r="BS165" s="465"/>
      <c r="BT165" s="465"/>
      <c r="BU165" s="465"/>
      <c r="BV165" s="465"/>
      <c r="BW165" s="465"/>
      <c r="BX165" s="465"/>
      <c r="BY165" s="465"/>
    </row>
    <row r="166" spans="2:77" s="28" customFormat="1">
      <c r="B166" s="201"/>
      <c r="D166" s="418"/>
      <c r="E166" s="29"/>
      <c r="G166" s="421"/>
      <c r="H166" s="422"/>
      <c r="I166" s="422"/>
      <c r="J166" s="422"/>
      <c r="K166" s="422"/>
      <c r="L166" s="422"/>
      <c r="P166" s="466"/>
      <c r="AJ166" s="31"/>
      <c r="AK166" s="31"/>
      <c r="AL166" s="32"/>
      <c r="AM166" s="33"/>
      <c r="AN166" s="32"/>
      <c r="AO166" s="33"/>
      <c r="AP166" s="32"/>
      <c r="AQ166" s="32"/>
      <c r="AR166" s="201"/>
      <c r="AS166" s="201"/>
      <c r="AT166" s="201"/>
      <c r="AU166" s="201"/>
      <c r="AV166" s="201"/>
      <c r="AW166" s="201"/>
      <c r="AX166" s="201"/>
      <c r="AY166" s="201"/>
      <c r="AZ166" s="201"/>
      <c r="BA166" s="201"/>
      <c r="BB166" s="201"/>
      <c r="BC166" s="201"/>
      <c r="BD166" s="465"/>
      <c r="BE166" s="465"/>
      <c r="BF166" s="465"/>
      <c r="BG166" s="465"/>
      <c r="BH166" s="465"/>
      <c r="BI166" s="465"/>
      <c r="BJ166" s="465"/>
      <c r="BK166" s="465"/>
      <c r="BL166" s="465"/>
      <c r="BM166" s="465"/>
      <c r="BN166" s="465"/>
      <c r="BO166" s="465"/>
      <c r="BP166" s="465"/>
      <c r="BQ166" s="465"/>
      <c r="BR166" s="465"/>
      <c r="BS166" s="465"/>
      <c r="BT166" s="465"/>
      <c r="BU166" s="465"/>
      <c r="BV166" s="465"/>
      <c r="BW166" s="465"/>
      <c r="BX166" s="465"/>
      <c r="BY166" s="465"/>
    </row>
    <row r="167" spans="2:77" s="28" customFormat="1">
      <c r="B167" s="201"/>
      <c r="D167" s="418"/>
      <c r="E167" s="29"/>
      <c r="G167" s="421"/>
      <c r="H167" s="422"/>
      <c r="I167" s="422"/>
      <c r="J167" s="422"/>
      <c r="K167" s="422"/>
      <c r="L167" s="422"/>
      <c r="P167" s="466"/>
      <c r="AJ167" s="31"/>
      <c r="AK167" s="31"/>
      <c r="AL167" s="32"/>
      <c r="AM167" s="33"/>
      <c r="AN167" s="32"/>
      <c r="AO167" s="33"/>
      <c r="AP167" s="32"/>
      <c r="AQ167" s="32"/>
      <c r="AR167" s="201"/>
      <c r="AS167" s="201"/>
      <c r="AT167" s="201"/>
      <c r="AU167" s="201"/>
      <c r="AV167" s="201"/>
      <c r="AW167" s="201"/>
      <c r="AX167" s="201"/>
      <c r="AY167" s="201"/>
      <c r="AZ167" s="201"/>
      <c r="BA167" s="201"/>
      <c r="BB167" s="201"/>
      <c r="BC167" s="201"/>
      <c r="BD167" s="465"/>
      <c r="BE167" s="465"/>
      <c r="BF167" s="465"/>
      <c r="BG167" s="465"/>
      <c r="BH167" s="465"/>
      <c r="BI167" s="465"/>
      <c r="BJ167" s="465"/>
      <c r="BK167" s="465"/>
      <c r="BL167" s="465"/>
      <c r="BM167" s="465"/>
      <c r="BN167" s="465"/>
      <c r="BO167" s="465"/>
      <c r="BP167" s="465"/>
      <c r="BQ167" s="465"/>
      <c r="BR167" s="465"/>
      <c r="BS167" s="465"/>
      <c r="BT167" s="465"/>
      <c r="BU167" s="465"/>
      <c r="BV167" s="465"/>
      <c r="BW167" s="465"/>
      <c r="BX167" s="465"/>
      <c r="BY167" s="465"/>
    </row>
    <row r="168" spans="2:77" s="28" customFormat="1">
      <c r="B168" s="201"/>
      <c r="D168" s="418"/>
      <c r="E168" s="29"/>
      <c r="G168" s="421"/>
      <c r="H168" s="422"/>
      <c r="I168" s="422"/>
      <c r="J168" s="422"/>
      <c r="K168" s="422"/>
      <c r="L168" s="422"/>
      <c r="P168" s="466"/>
      <c r="AJ168" s="31"/>
      <c r="AK168" s="31"/>
      <c r="AL168" s="32"/>
      <c r="AM168" s="33"/>
      <c r="AN168" s="32"/>
      <c r="AO168" s="33"/>
      <c r="AP168" s="32"/>
      <c r="AQ168" s="32"/>
      <c r="AR168" s="201"/>
      <c r="AS168" s="201"/>
      <c r="AT168" s="201"/>
      <c r="AU168" s="201"/>
      <c r="AV168" s="201"/>
      <c r="AW168" s="201"/>
      <c r="AX168" s="201"/>
      <c r="AY168" s="201"/>
      <c r="AZ168" s="201"/>
      <c r="BA168" s="201"/>
      <c r="BB168" s="201"/>
      <c r="BC168" s="201"/>
      <c r="BD168" s="465"/>
      <c r="BE168" s="465"/>
      <c r="BF168" s="465"/>
      <c r="BG168" s="465"/>
      <c r="BH168" s="465"/>
      <c r="BI168" s="465"/>
      <c r="BJ168" s="465"/>
      <c r="BK168" s="465"/>
      <c r="BL168" s="465"/>
      <c r="BM168" s="465"/>
      <c r="BN168" s="465"/>
      <c r="BO168" s="465"/>
      <c r="BP168" s="465"/>
      <c r="BQ168" s="465"/>
      <c r="BR168" s="465"/>
      <c r="BS168" s="465"/>
      <c r="BT168" s="465"/>
      <c r="BU168" s="465"/>
      <c r="BV168" s="465"/>
      <c r="BW168" s="465"/>
      <c r="BX168" s="465"/>
      <c r="BY168" s="465"/>
    </row>
    <row r="169" spans="2:77" s="28" customFormat="1">
      <c r="B169" s="201"/>
      <c r="D169" s="418"/>
      <c r="E169" s="29"/>
      <c r="G169" s="421"/>
      <c r="H169" s="422"/>
      <c r="I169" s="422"/>
      <c r="J169" s="422"/>
      <c r="K169" s="422"/>
      <c r="L169" s="422"/>
      <c r="P169" s="466"/>
      <c r="AJ169" s="31"/>
      <c r="AK169" s="31"/>
      <c r="AL169" s="32"/>
      <c r="AM169" s="33"/>
      <c r="AN169" s="32"/>
      <c r="AO169" s="33"/>
      <c r="AP169" s="32"/>
      <c r="AQ169" s="32"/>
      <c r="AR169" s="201"/>
      <c r="AS169" s="201"/>
      <c r="AT169" s="201"/>
      <c r="AU169" s="201"/>
      <c r="AV169" s="201"/>
      <c r="AW169" s="201"/>
      <c r="AX169" s="201"/>
      <c r="AY169" s="201"/>
      <c r="AZ169" s="201"/>
      <c r="BA169" s="201"/>
      <c r="BB169" s="201"/>
      <c r="BC169" s="201"/>
      <c r="BD169" s="465"/>
      <c r="BE169" s="465"/>
      <c r="BF169" s="465"/>
      <c r="BG169" s="465"/>
      <c r="BH169" s="465"/>
      <c r="BI169" s="465"/>
      <c r="BJ169" s="465"/>
      <c r="BK169" s="465"/>
      <c r="BL169" s="465"/>
      <c r="BM169" s="465"/>
      <c r="BN169" s="465"/>
      <c r="BO169" s="465"/>
      <c r="BP169" s="465"/>
      <c r="BQ169" s="465"/>
      <c r="BR169" s="465"/>
      <c r="BS169" s="465"/>
      <c r="BT169" s="465"/>
      <c r="BU169" s="465"/>
      <c r="BV169" s="465"/>
      <c r="BW169" s="465"/>
      <c r="BX169" s="465"/>
      <c r="BY169" s="465"/>
    </row>
    <row r="170" spans="2:77" s="28" customFormat="1">
      <c r="B170" s="201"/>
      <c r="D170" s="418"/>
      <c r="E170" s="29"/>
      <c r="G170" s="421"/>
      <c r="H170" s="422"/>
      <c r="I170" s="422"/>
      <c r="J170" s="422"/>
      <c r="K170" s="422"/>
      <c r="L170" s="422"/>
      <c r="P170" s="467"/>
      <c r="AJ170" s="31"/>
      <c r="AK170" s="31"/>
      <c r="AL170" s="32"/>
      <c r="AM170" s="33"/>
      <c r="AN170" s="32"/>
      <c r="AO170" s="33"/>
      <c r="AP170" s="32"/>
      <c r="AQ170" s="32"/>
      <c r="AR170" s="201"/>
      <c r="AS170" s="201"/>
      <c r="AT170" s="201"/>
      <c r="AU170" s="201"/>
      <c r="AV170" s="201"/>
      <c r="AW170" s="201"/>
      <c r="AX170" s="201"/>
      <c r="AY170" s="201"/>
      <c r="AZ170" s="201"/>
      <c r="BA170" s="201"/>
      <c r="BB170" s="201"/>
      <c r="BC170" s="201"/>
      <c r="BD170" s="465"/>
      <c r="BE170" s="465"/>
      <c r="BF170" s="465"/>
      <c r="BG170" s="465"/>
      <c r="BH170" s="465"/>
      <c r="BI170" s="465"/>
      <c r="BJ170" s="465"/>
      <c r="BK170" s="465"/>
      <c r="BL170" s="465"/>
      <c r="BM170" s="465"/>
      <c r="BN170" s="465"/>
      <c r="BO170" s="465"/>
      <c r="BP170" s="465"/>
      <c r="BQ170" s="465"/>
      <c r="BR170" s="465"/>
      <c r="BS170" s="465"/>
      <c r="BT170" s="465"/>
      <c r="BU170" s="465"/>
      <c r="BV170" s="465"/>
      <c r="BW170" s="465"/>
      <c r="BX170" s="465"/>
      <c r="BY170" s="465"/>
    </row>
    <row r="171" spans="2:77" s="28" customFormat="1">
      <c r="B171" s="201"/>
      <c r="D171" s="418"/>
      <c r="E171" s="29"/>
      <c r="G171" s="421"/>
      <c r="H171" s="422"/>
      <c r="I171" s="422"/>
      <c r="J171" s="422"/>
      <c r="K171" s="422"/>
      <c r="L171" s="422"/>
      <c r="P171" s="466"/>
      <c r="AJ171" s="31"/>
      <c r="AK171" s="31"/>
      <c r="AL171" s="32"/>
      <c r="AM171" s="33"/>
      <c r="AN171" s="32"/>
      <c r="AO171" s="33"/>
      <c r="AP171" s="32"/>
      <c r="AQ171" s="32"/>
      <c r="AR171" s="201"/>
      <c r="AS171" s="201"/>
      <c r="AT171" s="201"/>
      <c r="AU171" s="201"/>
      <c r="AV171" s="201"/>
      <c r="AW171" s="201"/>
      <c r="AX171" s="201"/>
      <c r="AY171" s="201"/>
      <c r="AZ171" s="201"/>
      <c r="BA171" s="201"/>
      <c r="BB171" s="201"/>
      <c r="BC171" s="201"/>
      <c r="BD171" s="465"/>
      <c r="BE171" s="465"/>
      <c r="BF171" s="465"/>
      <c r="BG171" s="465"/>
      <c r="BH171" s="465"/>
      <c r="BI171" s="465"/>
      <c r="BJ171" s="465"/>
      <c r="BK171" s="465"/>
      <c r="BL171" s="465"/>
      <c r="BM171" s="465"/>
      <c r="BN171" s="465"/>
      <c r="BO171" s="465"/>
      <c r="BP171" s="465"/>
      <c r="BQ171" s="465"/>
      <c r="BR171" s="465"/>
      <c r="BS171" s="465"/>
      <c r="BT171" s="465"/>
      <c r="BU171" s="465"/>
      <c r="BV171" s="465"/>
      <c r="BW171" s="465"/>
      <c r="BX171" s="465"/>
      <c r="BY171" s="465"/>
    </row>
    <row r="172" spans="2:77" s="28" customFormat="1">
      <c r="B172" s="201"/>
      <c r="D172" s="418"/>
      <c r="E172" s="29"/>
      <c r="G172" s="421"/>
      <c r="H172" s="422"/>
      <c r="I172" s="422"/>
      <c r="J172" s="422"/>
      <c r="K172" s="422"/>
      <c r="L172" s="422"/>
      <c r="P172" s="466"/>
      <c r="AJ172" s="31"/>
      <c r="AK172" s="31"/>
      <c r="AL172" s="32"/>
      <c r="AM172" s="33"/>
      <c r="AN172" s="32"/>
      <c r="AO172" s="33"/>
      <c r="AP172" s="32"/>
      <c r="AQ172" s="32"/>
      <c r="AR172" s="201"/>
      <c r="AS172" s="201"/>
      <c r="AT172" s="201"/>
      <c r="AU172" s="201"/>
      <c r="AV172" s="201"/>
      <c r="AW172" s="201"/>
      <c r="AX172" s="201"/>
      <c r="AY172" s="201"/>
      <c r="AZ172" s="201"/>
      <c r="BA172" s="201"/>
      <c r="BB172" s="201"/>
      <c r="BC172" s="201"/>
      <c r="BD172" s="465"/>
      <c r="BE172" s="465"/>
      <c r="BF172" s="465"/>
      <c r="BG172" s="465"/>
      <c r="BH172" s="465"/>
      <c r="BI172" s="465"/>
      <c r="BJ172" s="465"/>
      <c r="BK172" s="465"/>
      <c r="BL172" s="465"/>
      <c r="BM172" s="465"/>
      <c r="BN172" s="465"/>
      <c r="BO172" s="465"/>
      <c r="BP172" s="465"/>
      <c r="BQ172" s="465"/>
      <c r="BR172" s="465"/>
      <c r="BS172" s="465"/>
      <c r="BT172" s="465"/>
      <c r="BU172" s="465"/>
      <c r="BV172" s="465"/>
      <c r="BW172" s="465"/>
      <c r="BX172" s="465"/>
      <c r="BY172" s="465"/>
    </row>
    <row r="173" spans="2:77" s="28" customFormat="1">
      <c r="B173" s="201"/>
      <c r="D173" s="418"/>
      <c r="E173" s="29"/>
      <c r="G173" s="421"/>
      <c r="H173" s="422"/>
      <c r="I173" s="422"/>
      <c r="J173" s="422"/>
      <c r="K173" s="422"/>
      <c r="L173" s="422"/>
      <c r="P173" s="466"/>
      <c r="AJ173" s="31"/>
      <c r="AK173" s="31"/>
      <c r="AL173" s="32"/>
      <c r="AM173" s="33"/>
      <c r="AN173" s="32"/>
      <c r="AO173" s="33"/>
      <c r="AP173" s="32"/>
      <c r="AQ173" s="32"/>
      <c r="AR173" s="201"/>
      <c r="AS173" s="201"/>
      <c r="AT173" s="201"/>
      <c r="AU173" s="201"/>
      <c r="AV173" s="201"/>
      <c r="AW173" s="201"/>
      <c r="AX173" s="201"/>
      <c r="AY173" s="201"/>
      <c r="AZ173" s="201"/>
      <c r="BA173" s="201"/>
      <c r="BB173" s="201"/>
      <c r="BC173" s="201"/>
      <c r="BD173" s="465"/>
      <c r="BE173" s="465"/>
      <c r="BF173" s="465"/>
      <c r="BG173" s="465"/>
      <c r="BH173" s="465"/>
      <c r="BI173" s="465"/>
      <c r="BJ173" s="465"/>
      <c r="BK173" s="465"/>
      <c r="BL173" s="465"/>
      <c r="BM173" s="465"/>
      <c r="BN173" s="465"/>
      <c r="BO173" s="465"/>
      <c r="BP173" s="465"/>
      <c r="BQ173" s="465"/>
      <c r="BR173" s="465"/>
      <c r="BS173" s="465"/>
      <c r="BT173" s="465"/>
      <c r="BU173" s="465"/>
      <c r="BV173" s="465"/>
      <c r="BW173" s="465"/>
      <c r="BX173" s="465"/>
      <c r="BY173" s="465"/>
    </row>
    <row r="174" spans="2:77" s="28" customFormat="1">
      <c r="B174" s="201"/>
      <c r="D174" s="418"/>
      <c r="E174" s="29"/>
      <c r="G174" s="421"/>
      <c r="H174" s="422"/>
      <c r="I174" s="422"/>
      <c r="J174" s="422"/>
      <c r="K174" s="422"/>
      <c r="L174" s="422"/>
      <c r="P174" s="466"/>
      <c r="AJ174" s="31"/>
      <c r="AK174" s="31"/>
      <c r="AL174" s="32"/>
      <c r="AM174" s="33"/>
      <c r="AN174" s="32"/>
      <c r="AO174" s="33"/>
      <c r="AP174" s="32"/>
      <c r="AQ174" s="32"/>
      <c r="AR174" s="201"/>
      <c r="AS174" s="201"/>
      <c r="AT174" s="201"/>
      <c r="AU174" s="201"/>
      <c r="AV174" s="201"/>
      <c r="AW174" s="201"/>
      <c r="AX174" s="201"/>
      <c r="AY174" s="201"/>
      <c r="AZ174" s="201"/>
      <c r="BA174" s="201"/>
      <c r="BB174" s="201"/>
      <c r="BC174" s="201"/>
      <c r="BD174" s="465"/>
      <c r="BE174" s="465"/>
      <c r="BF174" s="465"/>
      <c r="BG174" s="465"/>
      <c r="BH174" s="465"/>
      <c r="BI174" s="465"/>
      <c r="BJ174" s="465"/>
      <c r="BK174" s="465"/>
      <c r="BL174" s="465"/>
      <c r="BM174" s="465"/>
      <c r="BN174" s="465"/>
      <c r="BO174" s="465"/>
      <c r="BP174" s="465"/>
      <c r="BQ174" s="465"/>
      <c r="BR174" s="465"/>
      <c r="BS174" s="465"/>
      <c r="BT174" s="465"/>
      <c r="BU174" s="465"/>
      <c r="BV174" s="465"/>
      <c r="BW174" s="465"/>
      <c r="BX174" s="465"/>
      <c r="BY174" s="465"/>
    </row>
    <row r="175" spans="2:77" s="28" customFormat="1">
      <c r="B175" s="201"/>
      <c r="D175" s="418"/>
      <c r="E175" s="29"/>
      <c r="G175" s="421"/>
      <c r="H175" s="422"/>
      <c r="I175" s="422"/>
      <c r="J175" s="422"/>
      <c r="K175" s="422"/>
      <c r="L175" s="422"/>
      <c r="P175" s="466"/>
      <c r="AJ175" s="31"/>
      <c r="AK175" s="31"/>
      <c r="AL175" s="32"/>
      <c r="AM175" s="33"/>
      <c r="AN175" s="32"/>
      <c r="AO175" s="33"/>
      <c r="AP175" s="32"/>
      <c r="AQ175" s="32"/>
      <c r="AR175" s="201"/>
      <c r="AS175" s="201"/>
      <c r="AT175" s="201"/>
      <c r="AU175" s="201"/>
      <c r="AV175" s="201"/>
      <c r="AW175" s="201"/>
      <c r="AX175" s="201"/>
      <c r="AY175" s="201"/>
      <c r="AZ175" s="201"/>
      <c r="BA175" s="201"/>
      <c r="BB175" s="201"/>
      <c r="BC175" s="201"/>
      <c r="BD175" s="465"/>
      <c r="BE175" s="465"/>
      <c r="BF175" s="465"/>
      <c r="BG175" s="465"/>
      <c r="BH175" s="465"/>
      <c r="BI175" s="465"/>
      <c r="BJ175" s="465"/>
      <c r="BK175" s="465"/>
      <c r="BL175" s="465"/>
      <c r="BM175" s="465"/>
      <c r="BN175" s="465"/>
      <c r="BO175" s="465"/>
      <c r="BP175" s="465"/>
      <c r="BQ175" s="465"/>
      <c r="BR175" s="465"/>
      <c r="BS175" s="465"/>
      <c r="BT175" s="465"/>
      <c r="BU175" s="465"/>
      <c r="BV175" s="465"/>
      <c r="BW175" s="465"/>
      <c r="BX175" s="465"/>
      <c r="BY175" s="465"/>
    </row>
    <row r="176" spans="2:77" s="28" customFormat="1">
      <c r="B176" s="201"/>
      <c r="D176" s="418"/>
      <c r="E176" s="29"/>
      <c r="G176" s="421"/>
      <c r="H176" s="422"/>
      <c r="I176" s="422"/>
      <c r="J176" s="422"/>
      <c r="K176" s="422"/>
      <c r="L176" s="422"/>
      <c r="P176" s="466"/>
      <c r="AJ176" s="31"/>
      <c r="AK176" s="31"/>
      <c r="AL176" s="32"/>
      <c r="AM176" s="33"/>
      <c r="AN176" s="32"/>
      <c r="AO176" s="33"/>
      <c r="AP176" s="32"/>
      <c r="AQ176" s="32"/>
      <c r="AR176" s="201"/>
      <c r="AS176" s="201"/>
      <c r="AT176" s="201"/>
      <c r="AU176" s="201"/>
      <c r="AV176" s="201"/>
      <c r="AW176" s="201"/>
      <c r="AX176" s="201"/>
      <c r="AY176" s="201"/>
      <c r="AZ176" s="201"/>
      <c r="BA176" s="201"/>
      <c r="BB176" s="201"/>
      <c r="BC176" s="201"/>
      <c r="BD176" s="465"/>
      <c r="BE176" s="465"/>
      <c r="BF176" s="465"/>
      <c r="BG176" s="465"/>
      <c r="BH176" s="465"/>
      <c r="BI176" s="465"/>
      <c r="BJ176" s="465"/>
      <c r="BK176" s="465"/>
      <c r="BL176" s="465"/>
      <c r="BM176" s="465"/>
      <c r="BN176" s="465"/>
      <c r="BO176" s="465"/>
      <c r="BP176" s="465"/>
      <c r="BQ176" s="465"/>
      <c r="BR176" s="465"/>
      <c r="BS176" s="465"/>
      <c r="BT176" s="465"/>
      <c r="BU176" s="465"/>
      <c r="BV176" s="465"/>
      <c r="BW176" s="465"/>
      <c r="BX176" s="465"/>
      <c r="BY176" s="465"/>
    </row>
    <row r="177" spans="2:77" s="28" customFormat="1">
      <c r="B177" s="201"/>
      <c r="D177" s="418"/>
      <c r="E177" s="29"/>
      <c r="G177" s="421"/>
      <c r="H177" s="422"/>
      <c r="I177" s="422"/>
      <c r="J177" s="422"/>
      <c r="K177" s="422"/>
      <c r="L177" s="422"/>
      <c r="P177" s="466"/>
      <c r="AJ177" s="31"/>
      <c r="AK177" s="31"/>
      <c r="AL177" s="32"/>
      <c r="AM177" s="33"/>
      <c r="AN177" s="32"/>
      <c r="AO177" s="33"/>
      <c r="AP177" s="32"/>
      <c r="AQ177" s="32"/>
      <c r="AR177" s="201"/>
      <c r="AS177" s="201"/>
      <c r="AT177" s="201"/>
      <c r="AU177" s="201"/>
      <c r="AV177" s="201"/>
      <c r="AW177" s="201"/>
      <c r="AX177" s="201"/>
      <c r="AY177" s="201"/>
      <c r="AZ177" s="201"/>
      <c r="BA177" s="201"/>
      <c r="BB177" s="201"/>
      <c r="BC177" s="201"/>
      <c r="BD177" s="465"/>
      <c r="BE177" s="465"/>
      <c r="BF177" s="465"/>
      <c r="BG177" s="465"/>
      <c r="BH177" s="465"/>
      <c r="BI177" s="465"/>
      <c r="BJ177" s="465"/>
      <c r="BK177" s="465"/>
      <c r="BL177" s="465"/>
      <c r="BM177" s="465"/>
      <c r="BN177" s="465"/>
      <c r="BO177" s="465"/>
      <c r="BP177" s="465"/>
      <c r="BQ177" s="465"/>
      <c r="BR177" s="465"/>
      <c r="BS177" s="465"/>
      <c r="BT177" s="465"/>
      <c r="BU177" s="465"/>
      <c r="BV177" s="465"/>
      <c r="BW177" s="465"/>
      <c r="BX177" s="465"/>
      <c r="BY177" s="465"/>
    </row>
    <row r="178" spans="2:77" s="28" customFormat="1">
      <c r="B178" s="201"/>
      <c r="D178" s="418"/>
      <c r="E178" s="29"/>
      <c r="G178" s="421"/>
      <c r="H178" s="422"/>
      <c r="I178" s="422"/>
      <c r="J178" s="422"/>
      <c r="K178" s="422"/>
      <c r="L178" s="422"/>
      <c r="P178" s="466"/>
      <c r="AJ178" s="31"/>
      <c r="AK178" s="31"/>
      <c r="AL178" s="32"/>
      <c r="AM178" s="33"/>
      <c r="AN178" s="32"/>
      <c r="AO178" s="33"/>
      <c r="AP178" s="32"/>
      <c r="AQ178" s="32"/>
      <c r="AR178" s="201"/>
      <c r="AS178" s="201"/>
      <c r="AT178" s="201"/>
      <c r="AU178" s="201"/>
      <c r="AV178" s="201"/>
      <c r="AW178" s="201"/>
      <c r="AX178" s="201"/>
      <c r="AY178" s="201"/>
      <c r="AZ178" s="201"/>
      <c r="BA178" s="201"/>
      <c r="BB178" s="201"/>
      <c r="BC178" s="201"/>
      <c r="BD178" s="465"/>
      <c r="BE178" s="465"/>
      <c r="BF178" s="465"/>
      <c r="BG178" s="465"/>
      <c r="BH178" s="465"/>
      <c r="BI178" s="465"/>
      <c r="BJ178" s="465"/>
      <c r="BK178" s="465"/>
      <c r="BL178" s="465"/>
      <c r="BM178" s="465"/>
      <c r="BN178" s="465"/>
      <c r="BO178" s="465"/>
      <c r="BP178" s="465"/>
      <c r="BQ178" s="465"/>
      <c r="BR178" s="465"/>
      <c r="BS178" s="465"/>
      <c r="BT178" s="465"/>
      <c r="BU178" s="465"/>
      <c r="BV178" s="465"/>
      <c r="BW178" s="465"/>
      <c r="BX178" s="465"/>
      <c r="BY178" s="465"/>
    </row>
    <row r="179" spans="2:77" s="28" customFormat="1">
      <c r="B179" s="201"/>
      <c r="D179" s="418"/>
      <c r="E179" s="29"/>
      <c r="G179" s="421"/>
      <c r="H179" s="422"/>
      <c r="I179" s="422"/>
      <c r="J179" s="422"/>
      <c r="K179" s="422"/>
      <c r="L179" s="422"/>
      <c r="P179" s="466"/>
      <c r="AJ179" s="31"/>
      <c r="AK179" s="31"/>
      <c r="AL179" s="32"/>
      <c r="AM179" s="33"/>
      <c r="AN179" s="32"/>
      <c r="AO179" s="33"/>
      <c r="AP179" s="32"/>
      <c r="AQ179" s="32"/>
      <c r="AR179" s="201"/>
      <c r="AS179" s="201"/>
      <c r="AT179" s="201"/>
      <c r="AU179" s="201"/>
      <c r="AV179" s="201"/>
      <c r="AW179" s="201"/>
      <c r="AX179" s="201"/>
      <c r="AY179" s="201"/>
      <c r="AZ179" s="201"/>
      <c r="BA179" s="201"/>
      <c r="BB179" s="201"/>
      <c r="BC179" s="201"/>
      <c r="BD179" s="465"/>
      <c r="BE179" s="465"/>
      <c r="BF179" s="465"/>
      <c r="BG179" s="465"/>
      <c r="BH179" s="465"/>
      <c r="BI179" s="465"/>
      <c r="BJ179" s="465"/>
      <c r="BK179" s="465"/>
      <c r="BL179" s="465"/>
      <c r="BM179" s="465"/>
      <c r="BN179" s="465"/>
      <c r="BO179" s="465"/>
      <c r="BP179" s="465"/>
      <c r="BQ179" s="465"/>
      <c r="BR179" s="465"/>
      <c r="BS179" s="465"/>
      <c r="BT179" s="465"/>
      <c r="BU179" s="465"/>
      <c r="BV179" s="465"/>
      <c r="BW179" s="465"/>
      <c r="BX179" s="465"/>
      <c r="BY179" s="465"/>
    </row>
    <row r="180" spans="2:77" s="28" customFormat="1">
      <c r="B180" s="201"/>
      <c r="D180" s="418"/>
      <c r="E180" s="29"/>
      <c r="G180" s="421"/>
      <c r="H180" s="422"/>
      <c r="I180" s="422"/>
      <c r="J180" s="422"/>
      <c r="K180" s="422"/>
      <c r="L180" s="422"/>
      <c r="P180" s="467"/>
      <c r="AJ180" s="31"/>
      <c r="AK180" s="31"/>
      <c r="AL180" s="32"/>
      <c r="AM180" s="33"/>
      <c r="AN180" s="32"/>
      <c r="AO180" s="33"/>
      <c r="AP180" s="32"/>
      <c r="AQ180" s="32"/>
      <c r="AR180" s="201"/>
      <c r="AS180" s="201"/>
      <c r="AT180" s="201"/>
      <c r="AU180" s="201"/>
      <c r="AV180" s="201"/>
      <c r="AW180" s="201"/>
      <c r="AX180" s="201"/>
      <c r="AY180" s="201"/>
      <c r="AZ180" s="201"/>
      <c r="BA180" s="201"/>
      <c r="BB180" s="201"/>
      <c r="BC180" s="201"/>
      <c r="BD180" s="465"/>
      <c r="BE180" s="465"/>
      <c r="BF180" s="465"/>
      <c r="BG180" s="465"/>
      <c r="BH180" s="465"/>
      <c r="BI180" s="465"/>
      <c r="BJ180" s="465"/>
      <c r="BK180" s="465"/>
      <c r="BL180" s="465"/>
      <c r="BM180" s="465"/>
      <c r="BN180" s="465"/>
      <c r="BO180" s="465"/>
      <c r="BP180" s="465"/>
      <c r="BQ180" s="465"/>
      <c r="BR180" s="465"/>
      <c r="BS180" s="465"/>
      <c r="BT180" s="465"/>
      <c r="BU180" s="465"/>
      <c r="BV180" s="465"/>
      <c r="BW180" s="465"/>
      <c r="BX180" s="465"/>
      <c r="BY180" s="465"/>
    </row>
    <row r="181" spans="2:77" s="28" customFormat="1">
      <c r="B181" s="201"/>
      <c r="D181" s="418"/>
      <c r="E181" s="29"/>
      <c r="G181" s="421"/>
      <c r="H181" s="422"/>
      <c r="I181" s="422"/>
      <c r="J181" s="422"/>
      <c r="K181" s="422"/>
      <c r="L181" s="422"/>
      <c r="P181" s="466"/>
      <c r="AJ181" s="31"/>
      <c r="AK181" s="31"/>
      <c r="AL181" s="32"/>
      <c r="AM181" s="33"/>
      <c r="AN181" s="32"/>
      <c r="AO181" s="33"/>
      <c r="AP181" s="32"/>
      <c r="AQ181" s="32"/>
      <c r="AR181" s="201"/>
      <c r="AS181" s="201"/>
      <c r="AT181" s="201"/>
      <c r="AU181" s="201"/>
      <c r="AV181" s="201"/>
      <c r="AW181" s="201"/>
      <c r="AX181" s="201"/>
      <c r="AY181" s="201"/>
      <c r="AZ181" s="201"/>
      <c r="BA181" s="201"/>
      <c r="BB181" s="201"/>
      <c r="BC181" s="201"/>
      <c r="BD181" s="465"/>
      <c r="BE181" s="465"/>
      <c r="BF181" s="465"/>
      <c r="BG181" s="465"/>
      <c r="BH181" s="465"/>
      <c r="BI181" s="465"/>
      <c r="BJ181" s="465"/>
      <c r="BK181" s="465"/>
      <c r="BL181" s="465"/>
      <c r="BM181" s="465"/>
      <c r="BN181" s="465"/>
      <c r="BO181" s="465"/>
      <c r="BP181" s="465"/>
      <c r="BQ181" s="465"/>
      <c r="BR181" s="465"/>
      <c r="BS181" s="465"/>
      <c r="BT181" s="465"/>
      <c r="BU181" s="465"/>
      <c r="BV181" s="465"/>
      <c r="BW181" s="465"/>
      <c r="BX181" s="465"/>
      <c r="BY181" s="465"/>
    </row>
    <row r="182" spans="2:77" s="28" customFormat="1">
      <c r="B182" s="201"/>
      <c r="D182" s="418"/>
      <c r="E182" s="29"/>
      <c r="G182" s="421"/>
      <c r="H182" s="422"/>
      <c r="I182" s="422"/>
      <c r="J182" s="422"/>
      <c r="K182" s="422"/>
      <c r="L182" s="422"/>
      <c r="P182" s="466"/>
      <c r="AJ182" s="31"/>
      <c r="AK182" s="31"/>
      <c r="AL182" s="32"/>
      <c r="AM182" s="33"/>
      <c r="AN182" s="32"/>
      <c r="AO182" s="33"/>
      <c r="AP182" s="32"/>
      <c r="AQ182" s="32"/>
      <c r="AR182" s="201"/>
      <c r="AS182" s="201"/>
      <c r="AT182" s="201"/>
      <c r="AU182" s="201"/>
      <c r="AV182" s="201"/>
      <c r="AW182" s="201"/>
      <c r="AX182" s="201"/>
      <c r="AY182" s="201"/>
      <c r="AZ182" s="201"/>
      <c r="BA182" s="201"/>
      <c r="BB182" s="201"/>
      <c r="BC182" s="201"/>
      <c r="BD182" s="465"/>
      <c r="BE182" s="465"/>
      <c r="BF182" s="465"/>
      <c r="BG182" s="465"/>
      <c r="BH182" s="465"/>
      <c r="BI182" s="465"/>
      <c r="BJ182" s="465"/>
      <c r="BK182" s="465"/>
      <c r="BL182" s="465"/>
      <c r="BM182" s="465"/>
      <c r="BN182" s="465"/>
      <c r="BO182" s="465"/>
      <c r="BP182" s="465"/>
      <c r="BQ182" s="465"/>
      <c r="BR182" s="465"/>
      <c r="BS182" s="465"/>
      <c r="BT182" s="465"/>
      <c r="BU182" s="465"/>
      <c r="BV182" s="465"/>
      <c r="BW182" s="465"/>
      <c r="BX182" s="465"/>
      <c r="BY182" s="465"/>
    </row>
    <row r="183" spans="2:77" s="28" customFormat="1">
      <c r="B183" s="201"/>
      <c r="D183" s="418"/>
      <c r="E183" s="29"/>
      <c r="G183" s="421"/>
      <c r="H183" s="422"/>
      <c r="I183" s="422"/>
      <c r="J183" s="422"/>
      <c r="K183" s="422"/>
      <c r="L183" s="422"/>
      <c r="P183" s="466"/>
      <c r="AJ183" s="31"/>
      <c r="AK183" s="31"/>
      <c r="AL183" s="32"/>
      <c r="AM183" s="33"/>
      <c r="AN183" s="32"/>
      <c r="AO183" s="33"/>
      <c r="AP183" s="32"/>
      <c r="AQ183" s="32"/>
      <c r="AR183" s="201"/>
      <c r="AS183" s="201"/>
      <c r="AT183" s="201"/>
      <c r="AU183" s="201"/>
      <c r="AV183" s="201"/>
      <c r="AW183" s="201"/>
      <c r="AX183" s="201"/>
      <c r="AY183" s="201"/>
      <c r="AZ183" s="201"/>
      <c r="BA183" s="201"/>
      <c r="BB183" s="201"/>
      <c r="BC183" s="201"/>
      <c r="BD183" s="465"/>
      <c r="BE183" s="465"/>
      <c r="BF183" s="465"/>
      <c r="BG183" s="465"/>
      <c r="BH183" s="465"/>
      <c r="BI183" s="465"/>
      <c r="BJ183" s="465"/>
      <c r="BK183" s="465"/>
      <c r="BL183" s="465"/>
      <c r="BM183" s="465"/>
      <c r="BN183" s="465"/>
      <c r="BO183" s="465"/>
      <c r="BP183" s="465"/>
      <c r="BQ183" s="465"/>
      <c r="BR183" s="465"/>
      <c r="BS183" s="465"/>
      <c r="BT183" s="465"/>
      <c r="BU183" s="465"/>
      <c r="BV183" s="465"/>
      <c r="BW183" s="465"/>
      <c r="BX183" s="465"/>
      <c r="BY183" s="465"/>
    </row>
    <row r="184" spans="2:77" s="28" customFormat="1">
      <c r="B184" s="201"/>
      <c r="D184" s="418"/>
      <c r="E184" s="29"/>
      <c r="G184" s="421"/>
      <c r="H184" s="422"/>
      <c r="I184" s="422"/>
      <c r="J184" s="422"/>
      <c r="K184" s="422"/>
      <c r="L184" s="422"/>
      <c r="P184" s="466"/>
      <c r="AJ184" s="31"/>
      <c r="AK184" s="31"/>
      <c r="AL184" s="32"/>
      <c r="AM184" s="33"/>
      <c r="AN184" s="32"/>
      <c r="AO184" s="33"/>
      <c r="AP184" s="32"/>
      <c r="AQ184" s="32"/>
      <c r="AR184" s="201"/>
      <c r="AS184" s="201"/>
      <c r="AT184" s="201"/>
      <c r="AU184" s="201"/>
      <c r="AV184" s="201"/>
      <c r="AW184" s="201"/>
      <c r="AX184" s="201"/>
      <c r="AY184" s="201"/>
      <c r="AZ184" s="201"/>
      <c r="BA184" s="201"/>
      <c r="BB184" s="201"/>
      <c r="BC184" s="201"/>
      <c r="BD184" s="465"/>
      <c r="BE184" s="465"/>
      <c r="BF184" s="465"/>
      <c r="BG184" s="465"/>
      <c r="BH184" s="465"/>
      <c r="BI184" s="465"/>
      <c r="BJ184" s="465"/>
      <c r="BK184" s="465"/>
      <c r="BL184" s="465"/>
      <c r="BM184" s="465"/>
      <c r="BN184" s="465"/>
      <c r="BO184" s="465"/>
      <c r="BP184" s="465"/>
      <c r="BQ184" s="465"/>
      <c r="BR184" s="465"/>
      <c r="BS184" s="465"/>
      <c r="BT184" s="465"/>
      <c r="BU184" s="465"/>
      <c r="BV184" s="465"/>
      <c r="BW184" s="465"/>
      <c r="BX184" s="465"/>
      <c r="BY184" s="465"/>
    </row>
    <row r="185" spans="2:77" s="28" customFormat="1">
      <c r="B185" s="201"/>
      <c r="D185" s="418"/>
      <c r="E185" s="29"/>
      <c r="G185" s="421"/>
      <c r="H185" s="422"/>
      <c r="I185" s="422"/>
      <c r="J185" s="422"/>
      <c r="K185" s="422"/>
      <c r="L185" s="422"/>
      <c r="P185" s="466"/>
      <c r="AJ185" s="31"/>
      <c r="AK185" s="31"/>
      <c r="AL185" s="32"/>
      <c r="AM185" s="33"/>
      <c r="AN185" s="32"/>
      <c r="AO185" s="33"/>
      <c r="AP185" s="32"/>
      <c r="AQ185" s="32"/>
      <c r="AR185" s="201"/>
      <c r="AS185" s="201"/>
      <c r="AT185" s="201"/>
      <c r="AU185" s="201"/>
      <c r="AV185" s="201"/>
      <c r="AW185" s="201"/>
      <c r="AX185" s="201"/>
      <c r="AY185" s="201"/>
      <c r="AZ185" s="201"/>
      <c r="BA185" s="201"/>
      <c r="BB185" s="201"/>
      <c r="BC185" s="201"/>
      <c r="BD185" s="465"/>
      <c r="BE185" s="465"/>
      <c r="BF185" s="465"/>
      <c r="BG185" s="465"/>
      <c r="BH185" s="465"/>
      <c r="BI185" s="465"/>
      <c r="BJ185" s="465"/>
      <c r="BK185" s="465"/>
      <c r="BL185" s="465"/>
      <c r="BM185" s="465"/>
      <c r="BN185" s="465"/>
      <c r="BO185" s="465"/>
      <c r="BP185" s="465"/>
      <c r="BQ185" s="465"/>
      <c r="BR185" s="465"/>
      <c r="BS185" s="465"/>
      <c r="BT185" s="465"/>
      <c r="BU185" s="465"/>
      <c r="BV185" s="465"/>
      <c r="BW185" s="465"/>
      <c r="BX185" s="465"/>
      <c r="BY185" s="465"/>
    </row>
    <row r="186" spans="2:77" s="28" customFormat="1">
      <c r="B186" s="201"/>
      <c r="D186" s="418"/>
      <c r="E186" s="29"/>
      <c r="G186" s="421"/>
      <c r="H186" s="422"/>
      <c r="I186" s="422"/>
      <c r="J186" s="422"/>
      <c r="K186" s="422"/>
      <c r="L186" s="422"/>
      <c r="P186" s="466"/>
      <c r="AJ186" s="31"/>
      <c r="AK186" s="31"/>
      <c r="AL186" s="32"/>
      <c r="AM186" s="33"/>
      <c r="AN186" s="32"/>
      <c r="AO186" s="33"/>
      <c r="AP186" s="32"/>
      <c r="AQ186" s="32"/>
      <c r="AR186" s="201"/>
      <c r="AS186" s="201"/>
      <c r="AT186" s="201"/>
      <c r="AU186" s="201"/>
      <c r="AV186" s="201"/>
      <c r="AW186" s="201"/>
      <c r="AX186" s="201"/>
      <c r="AY186" s="201"/>
      <c r="AZ186" s="201"/>
      <c r="BA186" s="201"/>
      <c r="BB186" s="201"/>
      <c r="BC186" s="201"/>
      <c r="BD186" s="465"/>
      <c r="BE186" s="465"/>
      <c r="BF186" s="465"/>
      <c r="BG186" s="465"/>
      <c r="BH186" s="465"/>
      <c r="BI186" s="465"/>
      <c r="BJ186" s="465"/>
      <c r="BK186" s="465"/>
      <c r="BL186" s="465"/>
      <c r="BM186" s="465"/>
      <c r="BN186" s="465"/>
      <c r="BO186" s="465"/>
      <c r="BP186" s="465"/>
      <c r="BQ186" s="465"/>
      <c r="BR186" s="465"/>
      <c r="BS186" s="465"/>
      <c r="BT186" s="465"/>
      <c r="BU186" s="465"/>
      <c r="BV186" s="465"/>
      <c r="BW186" s="465"/>
      <c r="BX186" s="465"/>
      <c r="BY186" s="465"/>
    </row>
    <row r="187" spans="2:77" s="28" customFormat="1">
      <c r="B187" s="201"/>
      <c r="D187" s="418"/>
      <c r="E187" s="29"/>
      <c r="G187" s="421"/>
      <c r="H187" s="422"/>
      <c r="I187" s="422"/>
      <c r="J187" s="422"/>
      <c r="K187" s="422"/>
      <c r="L187" s="422"/>
      <c r="P187" s="466"/>
      <c r="AJ187" s="31"/>
      <c r="AK187" s="31"/>
      <c r="AL187" s="32"/>
      <c r="AM187" s="33"/>
      <c r="AN187" s="32"/>
      <c r="AO187" s="33"/>
      <c r="AP187" s="32"/>
      <c r="AQ187" s="32"/>
      <c r="AR187" s="201"/>
      <c r="AS187" s="201"/>
      <c r="AT187" s="201"/>
      <c r="AU187" s="201"/>
      <c r="AV187" s="201"/>
      <c r="AW187" s="201"/>
      <c r="AX187" s="201"/>
      <c r="AY187" s="201"/>
      <c r="AZ187" s="201"/>
      <c r="BA187" s="201"/>
      <c r="BB187" s="201"/>
      <c r="BC187" s="201"/>
      <c r="BD187" s="465"/>
      <c r="BE187" s="465"/>
      <c r="BF187" s="465"/>
      <c r="BG187" s="465"/>
      <c r="BH187" s="465"/>
      <c r="BI187" s="465"/>
      <c r="BJ187" s="465"/>
      <c r="BK187" s="465"/>
      <c r="BL187" s="465"/>
      <c r="BM187" s="465"/>
      <c r="BN187" s="465"/>
      <c r="BO187" s="465"/>
      <c r="BP187" s="465"/>
      <c r="BQ187" s="465"/>
      <c r="BR187" s="465"/>
      <c r="BS187" s="465"/>
      <c r="BT187" s="465"/>
      <c r="BU187" s="465"/>
      <c r="BV187" s="465"/>
      <c r="BW187" s="465"/>
      <c r="BX187" s="465"/>
      <c r="BY187" s="465"/>
    </row>
    <row r="188" spans="2:77" s="28" customFormat="1">
      <c r="B188" s="201"/>
      <c r="D188" s="418"/>
      <c r="E188" s="29"/>
      <c r="G188" s="421"/>
      <c r="H188" s="422"/>
      <c r="I188" s="422"/>
      <c r="J188" s="422"/>
      <c r="K188" s="422"/>
      <c r="L188" s="422"/>
      <c r="P188" s="466"/>
      <c r="AJ188" s="31"/>
      <c r="AK188" s="31"/>
      <c r="AL188" s="32"/>
      <c r="AM188" s="33"/>
      <c r="AN188" s="32"/>
      <c r="AO188" s="33"/>
      <c r="AP188" s="32"/>
      <c r="AQ188" s="32"/>
      <c r="AR188" s="201"/>
      <c r="AS188" s="201"/>
      <c r="AT188" s="201"/>
      <c r="AU188" s="201"/>
      <c r="AV188" s="201"/>
      <c r="AW188" s="201"/>
      <c r="AX188" s="201"/>
      <c r="AY188" s="201"/>
      <c r="AZ188" s="201"/>
      <c r="BA188" s="201"/>
      <c r="BB188" s="201"/>
      <c r="BC188" s="201"/>
      <c r="BD188" s="465"/>
      <c r="BE188" s="465"/>
      <c r="BF188" s="465"/>
      <c r="BG188" s="465"/>
      <c r="BH188" s="465"/>
      <c r="BI188" s="465"/>
      <c r="BJ188" s="465"/>
      <c r="BK188" s="465"/>
      <c r="BL188" s="465"/>
      <c r="BM188" s="465"/>
      <c r="BN188" s="465"/>
      <c r="BO188" s="465"/>
      <c r="BP188" s="465"/>
      <c r="BQ188" s="465"/>
      <c r="BR188" s="465"/>
      <c r="BS188" s="465"/>
      <c r="BT188" s="465"/>
      <c r="BU188" s="465"/>
      <c r="BV188" s="465"/>
      <c r="BW188" s="465"/>
      <c r="BX188" s="465"/>
      <c r="BY188" s="465"/>
    </row>
    <row r="189" spans="2:77" s="28" customFormat="1">
      <c r="B189" s="201"/>
      <c r="D189" s="418"/>
      <c r="E189" s="29"/>
      <c r="G189" s="421"/>
      <c r="H189" s="422"/>
      <c r="I189" s="422"/>
      <c r="J189" s="422"/>
      <c r="K189" s="422"/>
      <c r="L189" s="422"/>
      <c r="P189" s="466"/>
      <c r="AJ189" s="31"/>
      <c r="AK189" s="31"/>
      <c r="AL189" s="32"/>
      <c r="AM189" s="33"/>
      <c r="AN189" s="32"/>
      <c r="AO189" s="33"/>
      <c r="AP189" s="32"/>
      <c r="AQ189" s="32"/>
      <c r="AR189" s="201"/>
      <c r="AS189" s="201"/>
      <c r="AT189" s="201"/>
      <c r="AU189" s="201"/>
      <c r="AV189" s="201"/>
      <c r="AW189" s="201"/>
      <c r="AX189" s="201"/>
      <c r="AY189" s="201"/>
      <c r="AZ189" s="201"/>
      <c r="BA189" s="201"/>
      <c r="BB189" s="201"/>
      <c r="BC189" s="201"/>
      <c r="BD189" s="465"/>
      <c r="BE189" s="465"/>
      <c r="BF189" s="465"/>
      <c r="BG189" s="465"/>
      <c r="BH189" s="465"/>
      <c r="BI189" s="465"/>
      <c r="BJ189" s="465"/>
      <c r="BK189" s="465"/>
      <c r="BL189" s="465"/>
      <c r="BM189" s="465"/>
      <c r="BN189" s="465"/>
      <c r="BO189" s="465"/>
      <c r="BP189" s="465"/>
      <c r="BQ189" s="465"/>
      <c r="BR189" s="465"/>
      <c r="BS189" s="465"/>
      <c r="BT189" s="465"/>
      <c r="BU189" s="465"/>
      <c r="BV189" s="465"/>
      <c r="BW189" s="465"/>
      <c r="BX189" s="465"/>
      <c r="BY189" s="465"/>
    </row>
    <row r="190" spans="2:77" s="28" customFormat="1">
      <c r="B190" s="201"/>
      <c r="D190" s="418"/>
      <c r="E190" s="29"/>
      <c r="G190" s="421"/>
      <c r="H190" s="422"/>
      <c r="I190" s="422"/>
      <c r="J190" s="422"/>
      <c r="K190" s="422"/>
      <c r="L190" s="422"/>
      <c r="P190" s="466"/>
      <c r="AJ190" s="31"/>
      <c r="AK190" s="31"/>
      <c r="AL190" s="32"/>
      <c r="AM190" s="33"/>
      <c r="AN190" s="32"/>
      <c r="AO190" s="33"/>
      <c r="AP190" s="32"/>
      <c r="AQ190" s="32"/>
      <c r="AR190" s="201"/>
      <c r="AS190" s="201"/>
      <c r="AT190" s="201"/>
      <c r="AU190" s="201"/>
      <c r="AV190" s="201"/>
      <c r="AW190" s="201"/>
      <c r="AX190" s="201"/>
      <c r="AY190" s="201"/>
      <c r="AZ190" s="201"/>
      <c r="BA190" s="201"/>
      <c r="BB190" s="201"/>
      <c r="BC190" s="201"/>
      <c r="BD190" s="465"/>
      <c r="BE190" s="465"/>
      <c r="BF190" s="465"/>
      <c r="BG190" s="465"/>
      <c r="BH190" s="465"/>
      <c r="BI190" s="465"/>
      <c r="BJ190" s="465"/>
      <c r="BK190" s="465"/>
      <c r="BL190" s="465"/>
      <c r="BM190" s="465"/>
      <c r="BN190" s="465"/>
      <c r="BO190" s="465"/>
      <c r="BP190" s="465"/>
      <c r="BQ190" s="465"/>
      <c r="BR190" s="465"/>
      <c r="BS190" s="465"/>
      <c r="BT190" s="465"/>
      <c r="BU190" s="465"/>
      <c r="BV190" s="465"/>
      <c r="BW190" s="465"/>
      <c r="BX190" s="465"/>
      <c r="BY190" s="465"/>
    </row>
    <row r="191" spans="2:77" s="28" customFormat="1">
      <c r="B191" s="201"/>
      <c r="D191" s="418"/>
      <c r="E191" s="29"/>
      <c r="G191" s="421"/>
      <c r="H191" s="422"/>
      <c r="I191" s="422"/>
      <c r="J191" s="422"/>
      <c r="K191" s="422"/>
      <c r="L191" s="422"/>
      <c r="P191" s="466"/>
      <c r="AJ191" s="31"/>
      <c r="AK191" s="31"/>
      <c r="AL191" s="32"/>
      <c r="AM191" s="33"/>
      <c r="AN191" s="32"/>
      <c r="AO191" s="33"/>
      <c r="AP191" s="32"/>
      <c r="AQ191" s="32"/>
      <c r="AR191" s="201"/>
      <c r="AS191" s="201"/>
      <c r="AT191" s="201"/>
      <c r="AU191" s="201"/>
      <c r="AV191" s="201"/>
      <c r="AW191" s="201"/>
      <c r="AX191" s="201"/>
      <c r="AY191" s="201"/>
      <c r="AZ191" s="201"/>
      <c r="BA191" s="201"/>
      <c r="BB191" s="201"/>
      <c r="BC191" s="201"/>
      <c r="BD191" s="465"/>
      <c r="BE191" s="465"/>
      <c r="BF191" s="465"/>
      <c r="BG191" s="465"/>
      <c r="BH191" s="465"/>
      <c r="BI191" s="465"/>
      <c r="BJ191" s="465"/>
      <c r="BK191" s="465"/>
      <c r="BL191" s="465"/>
      <c r="BM191" s="465"/>
      <c r="BN191" s="465"/>
      <c r="BO191" s="465"/>
      <c r="BP191" s="465"/>
      <c r="BQ191" s="465"/>
      <c r="BR191" s="465"/>
      <c r="BS191" s="465"/>
      <c r="BT191" s="465"/>
      <c r="BU191" s="465"/>
      <c r="BV191" s="465"/>
      <c r="BW191" s="465"/>
      <c r="BX191" s="465"/>
      <c r="BY191" s="465"/>
    </row>
    <row r="192" spans="2:77" s="28" customFormat="1">
      <c r="B192" s="201"/>
      <c r="D192" s="418"/>
      <c r="E192" s="29"/>
      <c r="G192" s="421"/>
      <c r="H192" s="422"/>
      <c r="I192" s="422"/>
      <c r="J192" s="422"/>
      <c r="K192" s="422"/>
      <c r="L192" s="422"/>
      <c r="P192" s="467"/>
      <c r="AJ192" s="31"/>
      <c r="AK192" s="31"/>
      <c r="AL192" s="32"/>
      <c r="AM192" s="33"/>
      <c r="AN192" s="32"/>
      <c r="AO192" s="33"/>
      <c r="AP192" s="32"/>
      <c r="AQ192" s="32"/>
      <c r="AR192" s="201"/>
      <c r="AS192" s="201"/>
      <c r="AT192" s="201"/>
      <c r="AU192" s="201"/>
      <c r="AV192" s="201"/>
      <c r="AW192" s="201"/>
      <c r="AX192" s="201"/>
      <c r="AY192" s="201"/>
      <c r="AZ192" s="201"/>
      <c r="BA192" s="201"/>
      <c r="BB192" s="201"/>
      <c r="BC192" s="201"/>
      <c r="BD192" s="465"/>
      <c r="BE192" s="465"/>
      <c r="BF192" s="465"/>
      <c r="BG192" s="465"/>
      <c r="BH192" s="465"/>
      <c r="BI192" s="465"/>
      <c r="BJ192" s="465"/>
      <c r="BK192" s="465"/>
      <c r="BL192" s="465"/>
      <c r="BM192" s="465"/>
      <c r="BN192" s="465"/>
      <c r="BO192" s="465"/>
      <c r="BP192" s="465"/>
      <c r="BQ192" s="465"/>
      <c r="BR192" s="465"/>
      <c r="BS192" s="465"/>
      <c r="BT192" s="465"/>
      <c r="BU192" s="465"/>
      <c r="BV192" s="465"/>
      <c r="BW192" s="465"/>
      <c r="BX192" s="465"/>
      <c r="BY192" s="465"/>
    </row>
    <row r="193" spans="2:77" s="28" customFormat="1">
      <c r="B193" s="201"/>
      <c r="D193" s="418"/>
      <c r="E193" s="29"/>
      <c r="G193" s="421"/>
      <c r="H193" s="422"/>
      <c r="I193" s="422"/>
      <c r="J193" s="422"/>
      <c r="K193" s="422"/>
      <c r="L193" s="422"/>
      <c r="P193" s="466"/>
      <c r="AJ193" s="31"/>
      <c r="AK193" s="31"/>
      <c r="AL193" s="32"/>
      <c r="AM193" s="33"/>
      <c r="AN193" s="32"/>
      <c r="AO193" s="33"/>
      <c r="AP193" s="32"/>
      <c r="AQ193" s="32"/>
      <c r="AR193" s="201"/>
      <c r="AS193" s="201"/>
      <c r="AT193" s="201"/>
      <c r="AU193" s="201"/>
      <c r="AV193" s="201"/>
      <c r="AW193" s="201"/>
      <c r="AX193" s="201"/>
      <c r="AY193" s="201"/>
      <c r="AZ193" s="201"/>
      <c r="BA193" s="201"/>
      <c r="BB193" s="201"/>
      <c r="BC193" s="201"/>
      <c r="BD193" s="465"/>
      <c r="BE193" s="465"/>
      <c r="BF193" s="465"/>
      <c r="BG193" s="465"/>
      <c r="BH193" s="465"/>
      <c r="BI193" s="465"/>
      <c r="BJ193" s="465"/>
      <c r="BK193" s="465"/>
      <c r="BL193" s="465"/>
      <c r="BM193" s="465"/>
      <c r="BN193" s="465"/>
      <c r="BO193" s="465"/>
      <c r="BP193" s="465"/>
      <c r="BQ193" s="465"/>
      <c r="BR193" s="465"/>
      <c r="BS193" s="465"/>
      <c r="BT193" s="465"/>
      <c r="BU193" s="465"/>
      <c r="BV193" s="465"/>
      <c r="BW193" s="465"/>
      <c r="BX193" s="465"/>
      <c r="BY193" s="465"/>
    </row>
    <row r="194" spans="2:77" s="28" customFormat="1">
      <c r="B194" s="201"/>
      <c r="D194" s="418"/>
      <c r="E194" s="29"/>
      <c r="G194" s="421"/>
      <c r="H194" s="422"/>
      <c r="I194" s="422"/>
      <c r="J194" s="422"/>
      <c r="K194" s="422"/>
      <c r="L194" s="422"/>
      <c r="P194" s="466"/>
      <c r="AJ194" s="31"/>
      <c r="AK194" s="31"/>
      <c r="AL194" s="32"/>
      <c r="AM194" s="33"/>
      <c r="AN194" s="32"/>
      <c r="AO194" s="33"/>
      <c r="AP194" s="32"/>
      <c r="AQ194" s="32"/>
      <c r="AR194" s="201"/>
      <c r="AS194" s="201"/>
      <c r="AT194" s="201"/>
      <c r="AU194" s="201"/>
      <c r="AV194" s="201"/>
      <c r="AW194" s="201"/>
      <c r="AX194" s="201"/>
      <c r="AY194" s="201"/>
      <c r="AZ194" s="201"/>
      <c r="BA194" s="201"/>
      <c r="BB194" s="201"/>
      <c r="BC194" s="201"/>
      <c r="BD194" s="465"/>
      <c r="BE194" s="465"/>
      <c r="BF194" s="465"/>
      <c r="BG194" s="465"/>
      <c r="BH194" s="465"/>
      <c r="BI194" s="465"/>
      <c r="BJ194" s="465"/>
      <c r="BK194" s="465"/>
      <c r="BL194" s="465"/>
      <c r="BM194" s="465"/>
      <c r="BN194" s="465"/>
      <c r="BO194" s="465"/>
      <c r="BP194" s="465"/>
      <c r="BQ194" s="465"/>
      <c r="BR194" s="465"/>
      <c r="BS194" s="465"/>
      <c r="BT194" s="465"/>
      <c r="BU194" s="465"/>
      <c r="BV194" s="465"/>
      <c r="BW194" s="465"/>
      <c r="BX194" s="465"/>
      <c r="BY194" s="465"/>
    </row>
    <row r="195" spans="2:77" s="28" customFormat="1">
      <c r="B195" s="201"/>
      <c r="D195" s="418"/>
      <c r="E195" s="29"/>
      <c r="G195" s="421"/>
      <c r="H195" s="422"/>
      <c r="I195" s="422"/>
      <c r="J195" s="422"/>
      <c r="K195" s="422"/>
      <c r="L195" s="422"/>
      <c r="P195" s="466"/>
      <c r="AJ195" s="31"/>
      <c r="AK195" s="31"/>
      <c r="AL195" s="32"/>
      <c r="AM195" s="33"/>
      <c r="AN195" s="32"/>
      <c r="AO195" s="33"/>
      <c r="AP195" s="32"/>
      <c r="AQ195" s="32"/>
      <c r="AR195" s="201"/>
      <c r="AS195" s="201"/>
      <c r="AT195" s="201"/>
      <c r="AU195" s="201"/>
      <c r="AV195" s="201"/>
      <c r="AW195" s="201"/>
      <c r="AX195" s="201"/>
      <c r="AY195" s="201"/>
      <c r="AZ195" s="201"/>
      <c r="BA195" s="201"/>
      <c r="BB195" s="201"/>
      <c r="BC195" s="201"/>
      <c r="BD195" s="465"/>
      <c r="BE195" s="465"/>
      <c r="BF195" s="465"/>
      <c r="BG195" s="465"/>
      <c r="BH195" s="465"/>
      <c r="BI195" s="465"/>
      <c r="BJ195" s="465"/>
      <c r="BK195" s="465"/>
      <c r="BL195" s="465"/>
      <c r="BM195" s="465"/>
      <c r="BN195" s="465"/>
      <c r="BO195" s="465"/>
      <c r="BP195" s="465"/>
      <c r="BQ195" s="465"/>
      <c r="BR195" s="465"/>
      <c r="BS195" s="465"/>
      <c r="BT195" s="465"/>
      <c r="BU195" s="465"/>
      <c r="BV195" s="465"/>
      <c r="BW195" s="465"/>
      <c r="BX195" s="465"/>
      <c r="BY195" s="465"/>
    </row>
    <row r="196" spans="2:77" s="28" customFormat="1">
      <c r="B196" s="201"/>
      <c r="D196" s="418"/>
      <c r="E196" s="29"/>
      <c r="G196" s="421"/>
      <c r="H196" s="422"/>
      <c r="I196" s="422"/>
      <c r="J196" s="422"/>
      <c r="K196" s="422"/>
      <c r="L196" s="422"/>
      <c r="P196" s="466"/>
      <c r="AJ196" s="31"/>
      <c r="AK196" s="31"/>
      <c r="AL196" s="32"/>
      <c r="AM196" s="33"/>
      <c r="AN196" s="32"/>
      <c r="AO196" s="33"/>
      <c r="AP196" s="32"/>
      <c r="AQ196" s="32"/>
      <c r="AR196" s="201"/>
      <c r="AS196" s="201"/>
      <c r="AT196" s="201"/>
      <c r="AU196" s="201"/>
      <c r="AV196" s="201"/>
      <c r="AW196" s="201"/>
      <c r="AX196" s="201"/>
      <c r="AY196" s="201"/>
      <c r="AZ196" s="201"/>
      <c r="BA196" s="201"/>
      <c r="BB196" s="201"/>
      <c r="BC196" s="201"/>
      <c r="BD196" s="465"/>
      <c r="BE196" s="465"/>
      <c r="BF196" s="465"/>
      <c r="BG196" s="465"/>
      <c r="BH196" s="465"/>
      <c r="BI196" s="465"/>
      <c r="BJ196" s="465"/>
      <c r="BK196" s="465"/>
      <c r="BL196" s="465"/>
      <c r="BM196" s="465"/>
      <c r="BN196" s="465"/>
      <c r="BO196" s="465"/>
      <c r="BP196" s="465"/>
      <c r="BQ196" s="465"/>
      <c r="BR196" s="465"/>
      <c r="BS196" s="465"/>
      <c r="BT196" s="465"/>
      <c r="BU196" s="465"/>
      <c r="BV196" s="465"/>
      <c r="BW196" s="465"/>
      <c r="BX196" s="465"/>
      <c r="BY196" s="465"/>
    </row>
    <row r="197" spans="2:77" s="28" customFormat="1">
      <c r="B197" s="201"/>
      <c r="D197" s="418"/>
      <c r="E197" s="29"/>
      <c r="G197" s="421"/>
      <c r="H197" s="422"/>
      <c r="I197" s="422"/>
      <c r="J197" s="422"/>
      <c r="K197" s="422"/>
      <c r="L197" s="422"/>
      <c r="P197" s="466"/>
      <c r="AJ197" s="31"/>
      <c r="AK197" s="31"/>
      <c r="AL197" s="32"/>
      <c r="AM197" s="33"/>
      <c r="AN197" s="32"/>
      <c r="AO197" s="33"/>
      <c r="AP197" s="32"/>
      <c r="AQ197" s="32"/>
      <c r="AR197" s="201"/>
      <c r="AS197" s="201"/>
      <c r="AT197" s="201"/>
      <c r="AU197" s="201"/>
      <c r="AV197" s="201"/>
      <c r="AW197" s="201"/>
      <c r="AX197" s="201"/>
      <c r="AY197" s="201"/>
      <c r="AZ197" s="201"/>
      <c r="BA197" s="201"/>
      <c r="BB197" s="201"/>
      <c r="BC197" s="201"/>
      <c r="BD197" s="465"/>
      <c r="BE197" s="465"/>
      <c r="BF197" s="465"/>
      <c r="BG197" s="465"/>
      <c r="BH197" s="465"/>
      <c r="BI197" s="465"/>
      <c r="BJ197" s="465"/>
      <c r="BK197" s="465"/>
      <c r="BL197" s="465"/>
      <c r="BM197" s="465"/>
      <c r="BN197" s="465"/>
      <c r="BO197" s="465"/>
      <c r="BP197" s="465"/>
      <c r="BQ197" s="465"/>
      <c r="BR197" s="465"/>
      <c r="BS197" s="465"/>
      <c r="BT197" s="465"/>
      <c r="BU197" s="465"/>
      <c r="BV197" s="465"/>
      <c r="BW197" s="465"/>
      <c r="BX197" s="465"/>
      <c r="BY197" s="465"/>
    </row>
    <row r="198" spans="2:77" s="28" customFormat="1">
      <c r="B198" s="201"/>
      <c r="D198" s="418"/>
      <c r="E198" s="29"/>
      <c r="G198" s="421"/>
      <c r="H198" s="422"/>
      <c r="I198" s="422"/>
      <c r="J198" s="422"/>
      <c r="K198" s="422"/>
      <c r="L198" s="422"/>
      <c r="P198" s="468"/>
      <c r="AJ198" s="31"/>
      <c r="AK198" s="31"/>
      <c r="AL198" s="32"/>
      <c r="AM198" s="33"/>
      <c r="AN198" s="32"/>
      <c r="AO198" s="33"/>
      <c r="AP198" s="32"/>
      <c r="AQ198" s="32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465"/>
      <c r="BE198" s="465"/>
      <c r="BF198" s="465"/>
      <c r="BG198" s="465"/>
      <c r="BH198" s="465"/>
      <c r="BI198" s="465"/>
      <c r="BJ198" s="465"/>
      <c r="BK198" s="465"/>
      <c r="BL198" s="465"/>
      <c r="BM198" s="465"/>
      <c r="BN198" s="465"/>
      <c r="BO198" s="465"/>
      <c r="BP198" s="465"/>
      <c r="BQ198" s="465"/>
      <c r="BR198" s="465"/>
      <c r="BS198" s="465"/>
      <c r="BT198" s="465"/>
      <c r="BU198" s="465"/>
      <c r="BV198" s="465"/>
      <c r="BW198" s="465"/>
      <c r="BX198" s="465"/>
      <c r="BY198" s="465"/>
    </row>
    <row r="199" spans="2:77" s="28" customFormat="1">
      <c r="B199" s="201"/>
      <c r="D199" s="418"/>
      <c r="E199" s="29"/>
      <c r="G199" s="421"/>
      <c r="H199" s="422"/>
      <c r="I199" s="422"/>
      <c r="J199" s="422"/>
      <c r="K199" s="422"/>
      <c r="L199" s="422"/>
      <c r="P199" s="466"/>
      <c r="AJ199" s="31"/>
      <c r="AK199" s="31"/>
      <c r="AL199" s="32"/>
      <c r="AM199" s="33"/>
      <c r="AN199" s="32"/>
      <c r="AO199" s="33"/>
      <c r="AP199" s="32"/>
      <c r="AQ199" s="32"/>
      <c r="AR199" s="201"/>
      <c r="AS199" s="201"/>
      <c r="AT199" s="201"/>
      <c r="AU199" s="201"/>
      <c r="AV199" s="201"/>
      <c r="AW199" s="201"/>
      <c r="AX199" s="201"/>
      <c r="AY199" s="201"/>
      <c r="AZ199" s="201"/>
      <c r="BA199" s="201"/>
      <c r="BB199" s="201"/>
      <c r="BC199" s="201"/>
      <c r="BD199" s="465"/>
      <c r="BE199" s="465"/>
      <c r="BF199" s="465"/>
      <c r="BG199" s="465"/>
      <c r="BH199" s="465"/>
      <c r="BI199" s="465"/>
      <c r="BJ199" s="465"/>
      <c r="BK199" s="465"/>
      <c r="BL199" s="465"/>
      <c r="BM199" s="465"/>
      <c r="BN199" s="465"/>
      <c r="BO199" s="465"/>
      <c r="BP199" s="465"/>
      <c r="BQ199" s="465"/>
      <c r="BR199" s="465"/>
      <c r="BS199" s="465"/>
      <c r="BT199" s="465"/>
      <c r="BU199" s="465"/>
      <c r="BV199" s="465"/>
      <c r="BW199" s="465"/>
      <c r="BX199" s="465"/>
      <c r="BY199" s="465"/>
    </row>
    <row r="200" spans="2:77" s="28" customFormat="1">
      <c r="B200" s="201"/>
      <c r="D200" s="418"/>
      <c r="E200" s="29"/>
      <c r="G200" s="421"/>
      <c r="H200" s="422"/>
      <c r="I200" s="422"/>
      <c r="J200" s="422"/>
      <c r="K200" s="422"/>
      <c r="L200" s="422"/>
      <c r="P200" s="466"/>
      <c r="AJ200" s="31"/>
      <c r="AK200" s="31"/>
      <c r="AL200" s="32"/>
      <c r="AM200" s="33"/>
      <c r="AN200" s="32"/>
      <c r="AO200" s="33"/>
      <c r="AP200" s="32"/>
      <c r="AQ200" s="32"/>
      <c r="AR200" s="201"/>
      <c r="AS200" s="201"/>
      <c r="AT200" s="201"/>
      <c r="AU200" s="201"/>
      <c r="AV200" s="201"/>
      <c r="AW200" s="201"/>
      <c r="AX200" s="201"/>
      <c r="AY200" s="201"/>
      <c r="AZ200" s="201"/>
      <c r="BA200" s="201"/>
      <c r="BB200" s="201"/>
      <c r="BC200" s="201"/>
      <c r="BD200" s="465"/>
      <c r="BE200" s="465"/>
      <c r="BF200" s="465"/>
      <c r="BG200" s="465"/>
      <c r="BH200" s="465"/>
      <c r="BI200" s="465"/>
      <c r="BJ200" s="465"/>
      <c r="BK200" s="465"/>
      <c r="BL200" s="465"/>
      <c r="BM200" s="465"/>
      <c r="BN200" s="465"/>
      <c r="BO200" s="465"/>
      <c r="BP200" s="465"/>
      <c r="BQ200" s="465"/>
      <c r="BR200" s="465"/>
      <c r="BS200" s="465"/>
      <c r="BT200" s="465"/>
      <c r="BU200" s="465"/>
      <c r="BV200" s="465"/>
      <c r="BW200" s="465"/>
      <c r="BX200" s="465"/>
      <c r="BY200" s="465"/>
    </row>
    <row r="201" spans="2:77" s="28" customFormat="1">
      <c r="B201" s="201"/>
      <c r="D201" s="418"/>
      <c r="E201" s="29"/>
      <c r="G201" s="421"/>
      <c r="H201" s="422"/>
      <c r="I201" s="422"/>
      <c r="J201" s="422"/>
      <c r="K201" s="422"/>
      <c r="L201" s="422"/>
      <c r="P201" s="466"/>
      <c r="AJ201" s="31"/>
      <c r="AK201" s="31"/>
      <c r="AL201" s="32"/>
      <c r="AM201" s="33"/>
      <c r="AN201" s="32"/>
      <c r="AO201" s="33"/>
      <c r="AP201" s="32"/>
      <c r="AQ201" s="32"/>
      <c r="AR201" s="201"/>
      <c r="AS201" s="201"/>
      <c r="AT201" s="201"/>
      <c r="AU201" s="201"/>
      <c r="AV201" s="201"/>
      <c r="AW201" s="201"/>
      <c r="AX201" s="201"/>
      <c r="AY201" s="201"/>
      <c r="AZ201" s="201"/>
      <c r="BA201" s="201"/>
      <c r="BB201" s="201"/>
      <c r="BC201" s="201"/>
      <c r="BD201" s="465"/>
      <c r="BE201" s="465"/>
      <c r="BF201" s="465"/>
      <c r="BG201" s="465"/>
      <c r="BH201" s="465"/>
      <c r="BI201" s="465"/>
      <c r="BJ201" s="465"/>
      <c r="BK201" s="465"/>
      <c r="BL201" s="465"/>
      <c r="BM201" s="465"/>
      <c r="BN201" s="465"/>
      <c r="BO201" s="465"/>
      <c r="BP201" s="465"/>
      <c r="BQ201" s="465"/>
      <c r="BR201" s="465"/>
      <c r="BS201" s="465"/>
      <c r="BT201" s="465"/>
      <c r="BU201" s="465"/>
      <c r="BV201" s="465"/>
      <c r="BW201" s="465"/>
      <c r="BX201" s="465"/>
      <c r="BY201" s="465"/>
    </row>
    <row r="202" spans="2:77" s="28" customFormat="1">
      <c r="B202" s="201"/>
      <c r="D202" s="418"/>
      <c r="E202" s="29"/>
      <c r="G202" s="421"/>
      <c r="H202" s="422"/>
      <c r="I202" s="422"/>
      <c r="J202" s="422"/>
      <c r="K202" s="422"/>
      <c r="L202" s="422"/>
      <c r="P202" s="466"/>
      <c r="AJ202" s="31"/>
      <c r="AK202" s="31"/>
      <c r="AL202" s="32"/>
      <c r="AM202" s="33"/>
      <c r="AN202" s="32"/>
      <c r="AO202" s="33"/>
      <c r="AP202" s="32"/>
      <c r="AQ202" s="32"/>
      <c r="AR202" s="201"/>
      <c r="AS202" s="201"/>
      <c r="AT202" s="201"/>
      <c r="AU202" s="201"/>
      <c r="AV202" s="201"/>
      <c r="AW202" s="201"/>
      <c r="AX202" s="201"/>
      <c r="AY202" s="201"/>
      <c r="AZ202" s="201"/>
      <c r="BA202" s="201"/>
      <c r="BB202" s="201"/>
      <c r="BC202" s="201"/>
      <c r="BD202" s="465"/>
      <c r="BE202" s="465"/>
      <c r="BF202" s="465"/>
      <c r="BG202" s="465"/>
      <c r="BH202" s="465"/>
      <c r="BI202" s="465"/>
      <c r="BJ202" s="465"/>
      <c r="BK202" s="465"/>
      <c r="BL202" s="465"/>
      <c r="BM202" s="465"/>
      <c r="BN202" s="465"/>
      <c r="BO202" s="465"/>
      <c r="BP202" s="465"/>
      <c r="BQ202" s="465"/>
      <c r="BR202" s="465"/>
      <c r="BS202" s="465"/>
      <c r="BT202" s="465"/>
      <c r="BU202" s="465"/>
      <c r="BV202" s="465"/>
      <c r="BW202" s="465"/>
      <c r="BX202" s="465"/>
      <c r="BY202" s="465"/>
    </row>
    <row r="203" spans="2:77" s="28" customFormat="1">
      <c r="B203" s="201"/>
      <c r="D203" s="418"/>
      <c r="E203" s="29"/>
      <c r="G203" s="421"/>
      <c r="H203" s="422"/>
      <c r="I203" s="422"/>
      <c r="J203" s="422"/>
      <c r="K203" s="422"/>
      <c r="L203" s="422"/>
      <c r="P203" s="466"/>
      <c r="AJ203" s="31"/>
      <c r="AK203" s="31"/>
      <c r="AL203" s="32"/>
      <c r="AM203" s="33"/>
      <c r="AN203" s="32"/>
      <c r="AO203" s="33"/>
      <c r="AP203" s="32"/>
      <c r="AQ203" s="32"/>
      <c r="AR203" s="201"/>
      <c r="AS203" s="201"/>
      <c r="AT203" s="201"/>
      <c r="AU203" s="201"/>
      <c r="AV203" s="201"/>
      <c r="AW203" s="201"/>
      <c r="AX203" s="201"/>
      <c r="AY203" s="201"/>
      <c r="AZ203" s="201"/>
      <c r="BA203" s="201"/>
      <c r="BB203" s="201"/>
      <c r="BC203" s="201"/>
      <c r="BD203" s="465"/>
      <c r="BE203" s="465"/>
      <c r="BF203" s="465"/>
      <c r="BG203" s="465"/>
      <c r="BH203" s="465"/>
      <c r="BI203" s="465"/>
      <c r="BJ203" s="465"/>
      <c r="BK203" s="465"/>
      <c r="BL203" s="465"/>
      <c r="BM203" s="465"/>
      <c r="BN203" s="465"/>
      <c r="BO203" s="465"/>
      <c r="BP203" s="465"/>
      <c r="BQ203" s="465"/>
      <c r="BR203" s="465"/>
      <c r="BS203" s="465"/>
      <c r="BT203" s="465"/>
      <c r="BU203" s="465"/>
      <c r="BV203" s="465"/>
      <c r="BW203" s="465"/>
      <c r="BX203" s="465"/>
      <c r="BY203" s="465"/>
    </row>
    <row r="204" spans="2:77" s="28" customFormat="1">
      <c r="B204" s="201"/>
      <c r="D204" s="418"/>
      <c r="E204" s="29"/>
      <c r="G204" s="421"/>
      <c r="H204" s="422"/>
      <c r="I204" s="422"/>
      <c r="J204" s="422"/>
      <c r="K204" s="422"/>
      <c r="L204" s="422"/>
      <c r="P204" s="467"/>
      <c r="AJ204" s="31"/>
      <c r="AK204" s="31"/>
      <c r="AL204" s="32"/>
      <c r="AM204" s="33"/>
      <c r="AN204" s="32"/>
      <c r="AO204" s="33"/>
      <c r="AP204" s="32"/>
      <c r="AQ204" s="32"/>
      <c r="AR204" s="201"/>
      <c r="AS204" s="201"/>
      <c r="AT204" s="201"/>
      <c r="AU204" s="201"/>
      <c r="AV204" s="201"/>
      <c r="AW204" s="201"/>
      <c r="AX204" s="201"/>
      <c r="AY204" s="201"/>
      <c r="AZ204" s="201"/>
      <c r="BA204" s="201"/>
      <c r="BB204" s="201"/>
      <c r="BC204" s="201"/>
      <c r="BD204" s="465"/>
      <c r="BE204" s="465"/>
      <c r="BF204" s="465"/>
      <c r="BG204" s="465"/>
      <c r="BH204" s="465"/>
      <c r="BI204" s="465"/>
      <c r="BJ204" s="465"/>
      <c r="BK204" s="465"/>
      <c r="BL204" s="465"/>
      <c r="BM204" s="465"/>
      <c r="BN204" s="465"/>
      <c r="BO204" s="465"/>
      <c r="BP204" s="465"/>
      <c r="BQ204" s="465"/>
      <c r="BR204" s="465"/>
      <c r="BS204" s="465"/>
      <c r="BT204" s="465"/>
      <c r="BU204" s="465"/>
      <c r="BV204" s="465"/>
      <c r="BW204" s="465"/>
      <c r="BX204" s="465"/>
      <c r="BY204" s="465"/>
    </row>
    <row r="205" spans="2:77" s="28" customFormat="1">
      <c r="B205" s="201"/>
      <c r="D205" s="418"/>
      <c r="E205" s="29"/>
      <c r="G205" s="421"/>
      <c r="H205" s="422"/>
      <c r="I205" s="422"/>
      <c r="J205" s="422"/>
      <c r="K205" s="422"/>
      <c r="L205" s="422"/>
      <c r="P205" s="466"/>
      <c r="AJ205" s="31"/>
      <c r="AK205" s="31"/>
      <c r="AL205" s="32"/>
      <c r="AM205" s="33"/>
      <c r="AN205" s="32"/>
      <c r="AO205" s="33"/>
      <c r="AP205" s="32"/>
      <c r="AQ205" s="32"/>
      <c r="AR205" s="201"/>
      <c r="AS205" s="201"/>
      <c r="AT205" s="201"/>
      <c r="AU205" s="201"/>
      <c r="AV205" s="201"/>
      <c r="AW205" s="201"/>
      <c r="AX205" s="201"/>
      <c r="AY205" s="201"/>
      <c r="AZ205" s="201"/>
      <c r="BA205" s="201"/>
      <c r="BB205" s="201"/>
      <c r="BC205" s="201"/>
      <c r="BD205" s="465"/>
      <c r="BE205" s="465"/>
      <c r="BF205" s="465"/>
      <c r="BG205" s="465"/>
      <c r="BH205" s="465"/>
      <c r="BI205" s="465"/>
      <c r="BJ205" s="465"/>
      <c r="BK205" s="465"/>
      <c r="BL205" s="465"/>
      <c r="BM205" s="465"/>
      <c r="BN205" s="465"/>
      <c r="BO205" s="465"/>
      <c r="BP205" s="465"/>
      <c r="BQ205" s="465"/>
      <c r="BR205" s="465"/>
      <c r="BS205" s="465"/>
      <c r="BT205" s="465"/>
      <c r="BU205" s="465"/>
      <c r="BV205" s="465"/>
      <c r="BW205" s="465"/>
      <c r="BX205" s="465"/>
      <c r="BY205" s="465"/>
    </row>
    <row r="206" spans="2:77" s="28" customFormat="1">
      <c r="B206" s="201"/>
      <c r="D206" s="418"/>
      <c r="E206" s="29"/>
      <c r="G206" s="421"/>
      <c r="H206" s="422"/>
      <c r="I206" s="422"/>
      <c r="J206" s="422"/>
      <c r="K206" s="422"/>
      <c r="L206" s="422"/>
      <c r="P206" s="466"/>
      <c r="AJ206" s="31"/>
      <c r="AK206" s="31"/>
      <c r="AL206" s="32"/>
      <c r="AM206" s="33"/>
      <c r="AN206" s="32"/>
      <c r="AO206" s="33"/>
      <c r="AP206" s="32"/>
      <c r="AQ206" s="32"/>
      <c r="AR206" s="201"/>
      <c r="AS206" s="201"/>
      <c r="AT206" s="201"/>
      <c r="AU206" s="201"/>
      <c r="AV206" s="201"/>
      <c r="AW206" s="201"/>
      <c r="AX206" s="201"/>
      <c r="AY206" s="201"/>
      <c r="AZ206" s="201"/>
      <c r="BA206" s="201"/>
      <c r="BB206" s="201"/>
      <c r="BC206" s="201"/>
      <c r="BD206" s="465"/>
      <c r="BE206" s="465"/>
      <c r="BF206" s="465"/>
      <c r="BG206" s="465"/>
      <c r="BH206" s="465"/>
      <c r="BI206" s="465"/>
      <c r="BJ206" s="465"/>
      <c r="BK206" s="465"/>
      <c r="BL206" s="465"/>
      <c r="BM206" s="465"/>
      <c r="BN206" s="465"/>
      <c r="BO206" s="465"/>
      <c r="BP206" s="465"/>
      <c r="BQ206" s="465"/>
      <c r="BR206" s="465"/>
      <c r="BS206" s="465"/>
      <c r="BT206" s="465"/>
      <c r="BU206" s="465"/>
      <c r="BV206" s="465"/>
      <c r="BW206" s="465"/>
      <c r="BX206" s="465"/>
      <c r="BY206" s="465"/>
    </row>
    <row r="207" spans="2:77" s="28" customFormat="1">
      <c r="B207" s="201"/>
      <c r="D207" s="418"/>
      <c r="E207" s="29"/>
      <c r="G207" s="421"/>
      <c r="H207" s="422"/>
      <c r="I207" s="422"/>
      <c r="J207" s="422"/>
      <c r="K207" s="422"/>
      <c r="L207" s="422"/>
      <c r="P207" s="466"/>
      <c r="AJ207" s="31"/>
      <c r="AK207" s="31"/>
      <c r="AL207" s="32"/>
      <c r="AM207" s="33"/>
      <c r="AN207" s="32"/>
      <c r="AO207" s="33"/>
      <c r="AP207" s="32"/>
      <c r="AQ207" s="32"/>
      <c r="AR207" s="201"/>
      <c r="AS207" s="201"/>
      <c r="AT207" s="201"/>
      <c r="AU207" s="201"/>
      <c r="AV207" s="201"/>
      <c r="AW207" s="201"/>
      <c r="AX207" s="201"/>
      <c r="AY207" s="201"/>
      <c r="AZ207" s="201"/>
      <c r="BA207" s="201"/>
      <c r="BB207" s="201"/>
      <c r="BC207" s="201"/>
      <c r="BD207" s="465"/>
      <c r="BE207" s="465"/>
      <c r="BF207" s="465"/>
      <c r="BG207" s="465"/>
      <c r="BH207" s="465"/>
      <c r="BI207" s="465"/>
      <c r="BJ207" s="465"/>
      <c r="BK207" s="465"/>
      <c r="BL207" s="465"/>
      <c r="BM207" s="465"/>
      <c r="BN207" s="465"/>
      <c r="BO207" s="465"/>
      <c r="BP207" s="465"/>
      <c r="BQ207" s="465"/>
      <c r="BR207" s="465"/>
      <c r="BS207" s="465"/>
      <c r="BT207" s="465"/>
      <c r="BU207" s="465"/>
      <c r="BV207" s="465"/>
      <c r="BW207" s="465"/>
      <c r="BX207" s="465"/>
      <c r="BY207" s="465"/>
    </row>
    <row r="208" spans="2:77" s="28" customFormat="1">
      <c r="B208" s="201"/>
      <c r="D208" s="418"/>
      <c r="E208" s="29"/>
      <c r="G208" s="421"/>
      <c r="H208" s="422"/>
      <c r="I208" s="422"/>
      <c r="J208" s="422"/>
      <c r="K208" s="422"/>
      <c r="L208" s="422"/>
      <c r="P208" s="466"/>
      <c r="AJ208" s="31"/>
      <c r="AK208" s="31"/>
      <c r="AL208" s="32"/>
      <c r="AM208" s="33"/>
      <c r="AN208" s="32"/>
      <c r="AO208" s="33"/>
      <c r="AP208" s="32"/>
      <c r="AQ208" s="32"/>
      <c r="AR208" s="201"/>
      <c r="AS208" s="201"/>
      <c r="AT208" s="201"/>
      <c r="AU208" s="201"/>
      <c r="AV208" s="201"/>
      <c r="AW208" s="201"/>
      <c r="AX208" s="201"/>
      <c r="AY208" s="201"/>
      <c r="AZ208" s="201"/>
      <c r="BA208" s="201"/>
      <c r="BB208" s="201"/>
      <c r="BC208" s="201"/>
      <c r="BD208" s="465"/>
      <c r="BE208" s="465"/>
      <c r="BF208" s="465"/>
      <c r="BG208" s="465"/>
      <c r="BH208" s="465"/>
      <c r="BI208" s="465"/>
      <c r="BJ208" s="465"/>
      <c r="BK208" s="465"/>
      <c r="BL208" s="465"/>
      <c r="BM208" s="465"/>
      <c r="BN208" s="465"/>
      <c r="BO208" s="465"/>
      <c r="BP208" s="465"/>
      <c r="BQ208" s="465"/>
      <c r="BR208" s="465"/>
      <c r="BS208" s="465"/>
      <c r="BT208" s="465"/>
      <c r="BU208" s="465"/>
      <c r="BV208" s="465"/>
      <c r="BW208" s="465"/>
      <c r="BX208" s="465"/>
      <c r="BY208" s="465"/>
    </row>
    <row r="209" spans="2:77" s="28" customFormat="1">
      <c r="B209" s="201"/>
      <c r="D209" s="418"/>
      <c r="E209" s="29"/>
      <c r="G209" s="421"/>
      <c r="H209" s="422"/>
      <c r="I209" s="422"/>
      <c r="J209" s="422"/>
      <c r="K209" s="422"/>
      <c r="L209" s="422"/>
      <c r="P209" s="466"/>
      <c r="AJ209" s="31"/>
      <c r="AK209" s="31"/>
      <c r="AL209" s="32"/>
      <c r="AM209" s="33"/>
      <c r="AN209" s="32"/>
      <c r="AO209" s="33"/>
      <c r="AP209" s="32"/>
      <c r="AQ209" s="32"/>
      <c r="AR209" s="201"/>
      <c r="AS209" s="201"/>
      <c r="AT209" s="201"/>
      <c r="AU209" s="201"/>
      <c r="AV209" s="201"/>
      <c r="AW209" s="201"/>
      <c r="AX209" s="201"/>
      <c r="AY209" s="201"/>
      <c r="AZ209" s="201"/>
      <c r="BA209" s="201"/>
      <c r="BB209" s="201"/>
      <c r="BC209" s="201"/>
      <c r="BD209" s="465"/>
      <c r="BE209" s="465"/>
      <c r="BF209" s="465"/>
      <c r="BG209" s="465"/>
      <c r="BH209" s="465"/>
      <c r="BI209" s="465"/>
      <c r="BJ209" s="465"/>
      <c r="BK209" s="465"/>
      <c r="BL209" s="465"/>
      <c r="BM209" s="465"/>
      <c r="BN209" s="465"/>
      <c r="BO209" s="465"/>
      <c r="BP209" s="465"/>
      <c r="BQ209" s="465"/>
      <c r="BR209" s="465"/>
      <c r="BS209" s="465"/>
      <c r="BT209" s="465"/>
      <c r="BU209" s="465"/>
      <c r="BV209" s="465"/>
      <c r="BW209" s="465"/>
      <c r="BX209" s="465"/>
      <c r="BY209" s="465"/>
    </row>
    <row r="210" spans="2:77" s="28" customFormat="1">
      <c r="B210" s="201"/>
      <c r="D210" s="418"/>
      <c r="E210" s="29"/>
      <c r="G210" s="421"/>
      <c r="H210" s="422"/>
      <c r="I210" s="422"/>
      <c r="J210" s="422"/>
      <c r="K210" s="422"/>
      <c r="L210" s="422"/>
      <c r="P210" s="466"/>
      <c r="AJ210" s="31"/>
      <c r="AK210" s="31"/>
      <c r="AL210" s="32"/>
      <c r="AM210" s="33"/>
      <c r="AN210" s="32"/>
      <c r="AO210" s="33"/>
      <c r="AP210" s="32"/>
      <c r="AQ210" s="32"/>
      <c r="AR210" s="201"/>
      <c r="AS210" s="201"/>
      <c r="AT210" s="201"/>
      <c r="AU210" s="201"/>
      <c r="AV210" s="201"/>
      <c r="AW210" s="201"/>
      <c r="AX210" s="201"/>
      <c r="AY210" s="201"/>
      <c r="AZ210" s="201"/>
      <c r="BA210" s="201"/>
      <c r="BB210" s="201"/>
      <c r="BC210" s="201"/>
      <c r="BD210" s="465"/>
      <c r="BE210" s="465"/>
      <c r="BF210" s="465"/>
      <c r="BG210" s="465"/>
      <c r="BH210" s="465"/>
      <c r="BI210" s="465"/>
      <c r="BJ210" s="465"/>
      <c r="BK210" s="465"/>
      <c r="BL210" s="465"/>
      <c r="BM210" s="465"/>
      <c r="BN210" s="465"/>
      <c r="BO210" s="465"/>
      <c r="BP210" s="465"/>
      <c r="BQ210" s="465"/>
      <c r="BR210" s="465"/>
      <c r="BS210" s="465"/>
      <c r="BT210" s="465"/>
      <c r="BU210" s="465"/>
      <c r="BV210" s="465"/>
      <c r="BW210" s="465"/>
      <c r="BX210" s="465"/>
      <c r="BY210" s="465"/>
    </row>
    <row r="211" spans="2:77" s="28" customFormat="1">
      <c r="B211" s="201"/>
      <c r="D211" s="418"/>
      <c r="E211" s="29"/>
      <c r="G211" s="421"/>
      <c r="H211" s="422"/>
      <c r="I211" s="422"/>
      <c r="J211" s="422"/>
      <c r="K211" s="422"/>
      <c r="L211" s="422"/>
      <c r="P211" s="466"/>
      <c r="AJ211" s="31"/>
      <c r="AK211" s="31"/>
      <c r="AL211" s="32"/>
      <c r="AM211" s="33"/>
      <c r="AN211" s="32"/>
      <c r="AO211" s="33"/>
      <c r="AP211" s="32"/>
      <c r="AQ211" s="32"/>
      <c r="AR211" s="201"/>
      <c r="AS211" s="201"/>
      <c r="AT211" s="201"/>
      <c r="AU211" s="201"/>
      <c r="AV211" s="201"/>
      <c r="AW211" s="201"/>
      <c r="AX211" s="201"/>
      <c r="AY211" s="201"/>
      <c r="AZ211" s="201"/>
      <c r="BA211" s="201"/>
      <c r="BB211" s="201"/>
      <c r="BC211" s="201"/>
      <c r="BD211" s="465"/>
      <c r="BE211" s="465"/>
      <c r="BF211" s="465"/>
      <c r="BG211" s="465"/>
      <c r="BH211" s="465"/>
      <c r="BI211" s="465"/>
      <c r="BJ211" s="465"/>
      <c r="BK211" s="465"/>
      <c r="BL211" s="465"/>
      <c r="BM211" s="465"/>
      <c r="BN211" s="465"/>
      <c r="BO211" s="465"/>
      <c r="BP211" s="465"/>
      <c r="BQ211" s="465"/>
      <c r="BR211" s="465"/>
      <c r="BS211" s="465"/>
      <c r="BT211" s="465"/>
      <c r="BU211" s="465"/>
      <c r="BV211" s="465"/>
      <c r="BW211" s="465"/>
      <c r="BX211" s="465"/>
      <c r="BY211" s="465"/>
    </row>
    <row r="212" spans="2:77" s="28" customFormat="1">
      <c r="B212" s="201"/>
      <c r="D212" s="418"/>
      <c r="E212" s="29"/>
      <c r="G212" s="421"/>
      <c r="H212" s="422"/>
      <c r="I212" s="422"/>
      <c r="J212" s="422"/>
      <c r="K212" s="422"/>
      <c r="L212" s="422"/>
      <c r="P212" s="466"/>
      <c r="AJ212" s="31"/>
      <c r="AK212" s="31"/>
      <c r="AL212" s="32"/>
      <c r="AM212" s="33"/>
      <c r="AN212" s="32"/>
      <c r="AO212" s="33"/>
      <c r="AP212" s="32"/>
      <c r="AQ212" s="32"/>
      <c r="AR212" s="201"/>
      <c r="AS212" s="201"/>
      <c r="AT212" s="201"/>
      <c r="AU212" s="201"/>
      <c r="AV212" s="201"/>
      <c r="AW212" s="201"/>
      <c r="AX212" s="201"/>
      <c r="AY212" s="201"/>
      <c r="AZ212" s="201"/>
      <c r="BA212" s="201"/>
      <c r="BB212" s="201"/>
      <c r="BC212" s="201"/>
      <c r="BD212" s="465"/>
      <c r="BE212" s="465"/>
      <c r="BF212" s="465"/>
      <c r="BG212" s="465"/>
      <c r="BH212" s="465"/>
      <c r="BI212" s="465"/>
      <c r="BJ212" s="465"/>
      <c r="BK212" s="465"/>
      <c r="BL212" s="465"/>
      <c r="BM212" s="465"/>
      <c r="BN212" s="465"/>
      <c r="BO212" s="465"/>
      <c r="BP212" s="465"/>
      <c r="BQ212" s="465"/>
      <c r="BR212" s="465"/>
      <c r="BS212" s="465"/>
      <c r="BT212" s="465"/>
      <c r="BU212" s="465"/>
      <c r="BV212" s="465"/>
      <c r="BW212" s="465"/>
      <c r="BX212" s="465"/>
      <c r="BY212" s="465"/>
    </row>
    <row r="213" spans="2:77" s="28" customFormat="1">
      <c r="B213" s="201"/>
      <c r="D213" s="418"/>
      <c r="E213" s="29"/>
      <c r="G213" s="421"/>
      <c r="H213" s="422"/>
      <c r="I213" s="422"/>
      <c r="J213" s="422"/>
      <c r="K213" s="422"/>
      <c r="L213" s="422"/>
      <c r="P213" s="466"/>
      <c r="AJ213" s="31"/>
      <c r="AK213" s="31"/>
      <c r="AL213" s="32"/>
      <c r="AM213" s="33"/>
      <c r="AN213" s="32"/>
      <c r="AO213" s="33"/>
      <c r="AP213" s="32"/>
      <c r="AQ213" s="32"/>
      <c r="AR213" s="201"/>
      <c r="AS213" s="201"/>
      <c r="AT213" s="201"/>
      <c r="AU213" s="201"/>
      <c r="AV213" s="201"/>
      <c r="AW213" s="201"/>
      <c r="AX213" s="201"/>
      <c r="AY213" s="201"/>
      <c r="AZ213" s="201"/>
      <c r="BA213" s="201"/>
      <c r="BB213" s="201"/>
      <c r="BC213" s="201"/>
      <c r="BD213" s="465"/>
      <c r="BE213" s="465"/>
      <c r="BF213" s="465"/>
      <c r="BG213" s="465"/>
      <c r="BH213" s="465"/>
      <c r="BI213" s="465"/>
      <c r="BJ213" s="465"/>
      <c r="BK213" s="465"/>
      <c r="BL213" s="465"/>
      <c r="BM213" s="465"/>
      <c r="BN213" s="465"/>
      <c r="BO213" s="465"/>
      <c r="BP213" s="465"/>
      <c r="BQ213" s="465"/>
      <c r="BR213" s="465"/>
      <c r="BS213" s="465"/>
      <c r="BT213" s="465"/>
      <c r="BU213" s="465"/>
      <c r="BV213" s="465"/>
      <c r="BW213" s="465"/>
      <c r="BX213" s="465"/>
      <c r="BY213" s="465"/>
    </row>
    <row r="214" spans="2:77" s="28" customFormat="1">
      <c r="B214" s="201"/>
      <c r="D214" s="418"/>
      <c r="E214" s="29"/>
      <c r="G214" s="421"/>
      <c r="H214" s="422"/>
      <c r="I214" s="422"/>
      <c r="J214" s="422"/>
      <c r="K214" s="422"/>
      <c r="L214" s="422"/>
      <c r="P214" s="466"/>
      <c r="AJ214" s="31"/>
      <c r="AK214" s="31"/>
      <c r="AL214" s="32"/>
      <c r="AM214" s="33"/>
      <c r="AN214" s="32"/>
      <c r="AO214" s="33"/>
      <c r="AP214" s="32"/>
      <c r="AQ214" s="32"/>
      <c r="AR214" s="201"/>
      <c r="AS214" s="201"/>
      <c r="AT214" s="201"/>
      <c r="AU214" s="201"/>
      <c r="AV214" s="201"/>
      <c r="AW214" s="201"/>
      <c r="AX214" s="201"/>
      <c r="AY214" s="201"/>
      <c r="AZ214" s="201"/>
      <c r="BA214" s="201"/>
      <c r="BB214" s="201"/>
      <c r="BC214" s="201"/>
      <c r="BD214" s="465"/>
      <c r="BE214" s="465"/>
      <c r="BF214" s="465"/>
      <c r="BG214" s="465"/>
      <c r="BH214" s="465"/>
      <c r="BI214" s="465"/>
      <c r="BJ214" s="465"/>
      <c r="BK214" s="465"/>
      <c r="BL214" s="465"/>
      <c r="BM214" s="465"/>
      <c r="BN214" s="465"/>
      <c r="BO214" s="465"/>
      <c r="BP214" s="465"/>
      <c r="BQ214" s="465"/>
      <c r="BR214" s="465"/>
      <c r="BS214" s="465"/>
      <c r="BT214" s="465"/>
      <c r="BU214" s="465"/>
      <c r="BV214" s="465"/>
      <c r="BW214" s="465"/>
      <c r="BX214" s="465"/>
      <c r="BY214" s="465"/>
    </row>
    <row r="215" spans="2:77" s="28" customFormat="1">
      <c r="B215" s="201"/>
      <c r="D215" s="418"/>
      <c r="E215" s="29"/>
      <c r="G215" s="421"/>
      <c r="H215" s="422"/>
      <c r="I215" s="422"/>
      <c r="J215" s="422"/>
      <c r="K215" s="422"/>
      <c r="L215" s="422"/>
      <c r="P215" s="466"/>
      <c r="AJ215" s="31"/>
      <c r="AK215" s="31"/>
      <c r="AL215" s="32"/>
      <c r="AM215" s="33"/>
      <c r="AN215" s="32"/>
      <c r="AO215" s="33"/>
      <c r="AP215" s="32"/>
      <c r="AQ215" s="32"/>
      <c r="AR215" s="201"/>
      <c r="AS215" s="201"/>
      <c r="AT215" s="201"/>
      <c r="AU215" s="201"/>
      <c r="AV215" s="201"/>
      <c r="AW215" s="201"/>
      <c r="AX215" s="201"/>
      <c r="AY215" s="201"/>
      <c r="AZ215" s="201"/>
      <c r="BA215" s="201"/>
      <c r="BB215" s="201"/>
      <c r="BC215" s="201"/>
      <c r="BD215" s="465"/>
      <c r="BE215" s="465"/>
      <c r="BF215" s="465"/>
      <c r="BG215" s="465"/>
      <c r="BH215" s="465"/>
      <c r="BI215" s="465"/>
      <c r="BJ215" s="465"/>
      <c r="BK215" s="465"/>
      <c r="BL215" s="465"/>
      <c r="BM215" s="465"/>
      <c r="BN215" s="465"/>
      <c r="BO215" s="465"/>
      <c r="BP215" s="465"/>
      <c r="BQ215" s="465"/>
      <c r="BR215" s="465"/>
      <c r="BS215" s="465"/>
      <c r="BT215" s="465"/>
      <c r="BU215" s="465"/>
      <c r="BV215" s="465"/>
      <c r="BW215" s="465"/>
      <c r="BX215" s="465"/>
      <c r="BY215" s="465"/>
    </row>
    <row r="216" spans="2:77" s="28" customFormat="1">
      <c r="B216" s="201"/>
      <c r="D216" s="418"/>
      <c r="E216" s="29"/>
      <c r="G216" s="421"/>
      <c r="H216" s="422"/>
      <c r="I216" s="422"/>
      <c r="J216" s="422"/>
      <c r="K216" s="422"/>
      <c r="L216" s="422"/>
      <c r="P216" s="466"/>
      <c r="AJ216" s="31"/>
      <c r="AK216" s="31"/>
      <c r="AL216" s="32"/>
      <c r="AM216" s="33"/>
      <c r="AN216" s="32"/>
      <c r="AO216" s="33"/>
      <c r="AP216" s="32"/>
      <c r="AQ216" s="32"/>
      <c r="AR216" s="201"/>
      <c r="AS216" s="201"/>
      <c r="AT216" s="201"/>
      <c r="AU216" s="201"/>
      <c r="AV216" s="201"/>
      <c r="AW216" s="201"/>
      <c r="AX216" s="201"/>
      <c r="AY216" s="201"/>
      <c r="AZ216" s="201"/>
      <c r="BA216" s="201"/>
      <c r="BB216" s="201"/>
      <c r="BC216" s="201"/>
      <c r="BD216" s="465"/>
      <c r="BE216" s="465"/>
      <c r="BF216" s="465"/>
      <c r="BG216" s="465"/>
      <c r="BH216" s="465"/>
      <c r="BI216" s="465"/>
      <c r="BJ216" s="465"/>
      <c r="BK216" s="465"/>
      <c r="BL216" s="465"/>
      <c r="BM216" s="465"/>
      <c r="BN216" s="465"/>
      <c r="BO216" s="465"/>
      <c r="BP216" s="465"/>
      <c r="BQ216" s="465"/>
      <c r="BR216" s="465"/>
      <c r="BS216" s="465"/>
      <c r="BT216" s="465"/>
      <c r="BU216" s="465"/>
      <c r="BV216" s="465"/>
      <c r="BW216" s="465"/>
      <c r="BX216" s="465"/>
      <c r="BY216" s="465"/>
    </row>
    <row r="217" spans="2:77" s="28" customFormat="1">
      <c r="B217" s="201"/>
      <c r="D217" s="418"/>
      <c r="E217" s="29"/>
      <c r="G217" s="421"/>
      <c r="H217" s="422"/>
      <c r="I217" s="422"/>
      <c r="J217" s="422"/>
      <c r="K217" s="422"/>
      <c r="L217" s="422"/>
      <c r="P217" s="466"/>
      <c r="AJ217" s="31"/>
      <c r="AK217" s="31"/>
      <c r="AL217" s="32"/>
      <c r="AM217" s="33"/>
      <c r="AN217" s="32"/>
      <c r="AO217" s="33"/>
      <c r="AP217" s="32"/>
      <c r="AQ217" s="32"/>
      <c r="AR217" s="201"/>
      <c r="AS217" s="201"/>
      <c r="AT217" s="201"/>
      <c r="AU217" s="201"/>
      <c r="AV217" s="201"/>
      <c r="AW217" s="201"/>
      <c r="AX217" s="201"/>
      <c r="AY217" s="201"/>
      <c r="AZ217" s="201"/>
      <c r="BA217" s="201"/>
      <c r="BB217" s="201"/>
      <c r="BC217" s="201"/>
      <c r="BD217" s="465"/>
      <c r="BE217" s="465"/>
      <c r="BF217" s="465"/>
      <c r="BG217" s="465"/>
      <c r="BH217" s="465"/>
      <c r="BI217" s="465"/>
      <c r="BJ217" s="465"/>
      <c r="BK217" s="465"/>
      <c r="BL217" s="465"/>
      <c r="BM217" s="465"/>
      <c r="BN217" s="465"/>
      <c r="BO217" s="465"/>
      <c r="BP217" s="465"/>
      <c r="BQ217" s="465"/>
      <c r="BR217" s="465"/>
      <c r="BS217" s="465"/>
      <c r="BT217" s="465"/>
      <c r="BU217" s="465"/>
      <c r="BV217" s="465"/>
      <c r="BW217" s="465"/>
      <c r="BX217" s="465"/>
      <c r="BY217" s="465"/>
    </row>
    <row r="218" spans="2:77" s="28" customFormat="1">
      <c r="B218" s="201"/>
      <c r="D218" s="418"/>
      <c r="E218" s="29"/>
      <c r="G218" s="421"/>
      <c r="H218" s="422"/>
      <c r="I218" s="422"/>
      <c r="J218" s="422"/>
      <c r="K218" s="422"/>
      <c r="L218" s="422"/>
      <c r="P218" s="466"/>
      <c r="AJ218" s="31"/>
      <c r="AK218" s="31"/>
      <c r="AL218" s="32"/>
      <c r="AM218" s="33"/>
      <c r="AN218" s="32"/>
      <c r="AO218" s="33"/>
      <c r="AP218" s="32"/>
      <c r="AQ218" s="32"/>
      <c r="AR218" s="201"/>
      <c r="AS218" s="201"/>
      <c r="AT218" s="201"/>
      <c r="AU218" s="201"/>
      <c r="AV218" s="201"/>
      <c r="AW218" s="201"/>
      <c r="AX218" s="201"/>
      <c r="AY218" s="201"/>
      <c r="AZ218" s="201"/>
      <c r="BA218" s="201"/>
      <c r="BB218" s="201"/>
      <c r="BC218" s="201"/>
      <c r="BD218" s="465"/>
      <c r="BE218" s="465"/>
      <c r="BF218" s="465"/>
      <c r="BG218" s="465"/>
      <c r="BH218" s="465"/>
      <c r="BI218" s="465"/>
      <c r="BJ218" s="465"/>
      <c r="BK218" s="465"/>
      <c r="BL218" s="465"/>
      <c r="BM218" s="465"/>
      <c r="BN218" s="465"/>
      <c r="BO218" s="465"/>
      <c r="BP218" s="465"/>
      <c r="BQ218" s="465"/>
      <c r="BR218" s="465"/>
      <c r="BS218" s="465"/>
      <c r="BT218" s="465"/>
      <c r="BU218" s="465"/>
      <c r="BV218" s="465"/>
      <c r="BW218" s="465"/>
      <c r="BX218" s="465"/>
      <c r="BY218" s="465"/>
    </row>
    <row r="219" spans="2:77" s="28" customFormat="1">
      <c r="B219" s="201"/>
      <c r="D219" s="418"/>
      <c r="E219" s="29"/>
      <c r="G219" s="421"/>
      <c r="H219" s="422"/>
      <c r="I219" s="422"/>
      <c r="J219" s="422"/>
      <c r="K219" s="422"/>
      <c r="L219" s="422"/>
      <c r="P219" s="466"/>
      <c r="AJ219" s="31"/>
      <c r="AK219" s="31"/>
      <c r="AL219" s="32"/>
      <c r="AM219" s="33"/>
      <c r="AN219" s="32"/>
      <c r="AO219" s="33"/>
      <c r="AP219" s="32"/>
      <c r="AQ219" s="32"/>
      <c r="AR219" s="201"/>
      <c r="AS219" s="201"/>
      <c r="AT219" s="201"/>
      <c r="AU219" s="201"/>
      <c r="AV219" s="201"/>
      <c r="AW219" s="201"/>
      <c r="AX219" s="201"/>
      <c r="AY219" s="201"/>
      <c r="AZ219" s="201"/>
      <c r="BA219" s="201"/>
      <c r="BB219" s="201"/>
      <c r="BC219" s="201"/>
      <c r="BD219" s="465"/>
      <c r="BE219" s="465"/>
      <c r="BF219" s="465"/>
      <c r="BG219" s="465"/>
      <c r="BH219" s="465"/>
      <c r="BI219" s="465"/>
      <c r="BJ219" s="465"/>
      <c r="BK219" s="465"/>
      <c r="BL219" s="465"/>
      <c r="BM219" s="465"/>
      <c r="BN219" s="465"/>
      <c r="BO219" s="465"/>
      <c r="BP219" s="465"/>
      <c r="BQ219" s="465"/>
      <c r="BR219" s="465"/>
      <c r="BS219" s="465"/>
      <c r="BT219" s="465"/>
      <c r="BU219" s="465"/>
      <c r="BV219" s="465"/>
      <c r="BW219" s="465"/>
      <c r="BX219" s="465"/>
      <c r="BY219" s="465"/>
    </row>
    <row r="220" spans="2:77" s="28" customFormat="1">
      <c r="B220" s="201"/>
      <c r="D220" s="418"/>
      <c r="E220" s="29"/>
      <c r="G220" s="421"/>
      <c r="H220" s="422"/>
      <c r="I220" s="422"/>
      <c r="J220" s="422"/>
      <c r="K220" s="422"/>
      <c r="L220" s="422"/>
      <c r="P220" s="466"/>
      <c r="AJ220" s="31"/>
      <c r="AK220" s="31"/>
      <c r="AL220" s="32"/>
      <c r="AM220" s="33"/>
      <c r="AN220" s="32"/>
      <c r="AO220" s="33"/>
      <c r="AP220" s="32"/>
      <c r="AQ220" s="32"/>
      <c r="AR220" s="201"/>
      <c r="AS220" s="201"/>
      <c r="AT220" s="201"/>
      <c r="AU220" s="201"/>
      <c r="AV220" s="201"/>
      <c r="AW220" s="201"/>
      <c r="AX220" s="201"/>
      <c r="AY220" s="201"/>
      <c r="AZ220" s="201"/>
      <c r="BA220" s="201"/>
      <c r="BB220" s="201"/>
      <c r="BC220" s="201"/>
      <c r="BD220" s="465"/>
      <c r="BE220" s="465"/>
      <c r="BF220" s="465"/>
      <c r="BG220" s="465"/>
      <c r="BH220" s="465"/>
      <c r="BI220" s="465"/>
      <c r="BJ220" s="465"/>
      <c r="BK220" s="465"/>
      <c r="BL220" s="465"/>
      <c r="BM220" s="465"/>
      <c r="BN220" s="465"/>
      <c r="BO220" s="465"/>
      <c r="BP220" s="465"/>
      <c r="BQ220" s="465"/>
      <c r="BR220" s="465"/>
      <c r="BS220" s="465"/>
      <c r="BT220" s="465"/>
      <c r="BU220" s="465"/>
      <c r="BV220" s="465"/>
      <c r="BW220" s="465"/>
      <c r="BX220" s="465"/>
      <c r="BY220" s="465"/>
    </row>
    <row r="221" spans="2:77" s="28" customFormat="1">
      <c r="B221" s="201"/>
      <c r="D221" s="418"/>
      <c r="E221" s="29"/>
      <c r="G221" s="421"/>
      <c r="H221" s="422"/>
      <c r="I221" s="422"/>
      <c r="J221" s="422"/>
      <c r="K221" s="422"/>
      <c r="L221" s="422"/>
      <c r="P221" s="466"/>
      <c r="AJ221" s="31"/>
      <c r="AK221" s="31"/>
      <c r="AL221" s="32"/>
      <c r="AM221" s="33"/>
      <c r="AN221" s="32"/>
      <c r="AO221" s="33"/>
      <c r="AP221" s="32"/>
      <c r="AQ221" s="32"/>
      <c r="AR221" s="201"/>
      <c r="AS221" s="201"/>
      <c r="AT221" s="201"/>
      <c r="AU221" s="201"/>
      <c r="AV221" s="201"/>
      <c r="AW221" s="201"/>
      <c r="AX221" s="201"/>
      <c r="AY221" s="201"/>
      <c r="AZ221" s="201"/>
      <c r="BA221" s="201"/>
      <c r="BB221" s="201"/>
      <c r="BC221" s="201"/>
      <c r="BD221" s="465"/>
      <c r="BE221" s="465"/>
      <c r="BF221" s="465"/>
      <c r="BG221" s="465"/>
      <c r="BH221" s="465"/>
      <c r="BI221" s="465"/>
      <c r="BJ221" s="465"/>
      <c r="BK221" s="465"/>
      <c r="BL221" s="465"/>
      <c r="BM221" s="465"/>
      <c r="BN221" s="465"/>
      <c r="BO221" s="465"/>
      <c r="BP221" s="465"/>
      <c r="BQ221" s="465"/>
      <c r="BR221" s="465"/>
      <c r="BS221" s="465"/>
      <c r="BT221" s="465"/>
      <c r="BU221" s="465"/>
      <c r="BV221" s="465"/>
      <c r="BW221" s="465"/>
      <c r="BX221" s="465"/>
      <c r="BY221" s="465"/>
    </row>
    <row r="222" spans="2:77" s="28" customFormat="1">
      <c r="B222" s="201"/>
      <c r="D222" s="418"/>
      <c r="E222" s="29"/>
      <c r="G222" s="421"/>
      <c r="H222" s="422"/>
      <c r="I222" s="422"/>
      <c r="J222" s="422"/>
      <c r="K222" s="422"/>
      <c r="L222" s="422"/>
      <c r="P222" s="466"/>
      <c r="AJ222" s="31"/>
      <c r="AK222" s="31"/>
      <c r="AL222" s="32"/>
      <c r="AM222" s="33"/>
      <c r="AN222" s="32"/>
      <c r="AO222" s="33"/>
      <c r="AP222" s="32"/>
      <c r="AQ222" s="32"/>
      <c r="AR222" s="201"/>
      <c r="AS222" s="201"/>
      <c r="AT222" s="201"/>
      <c r="AU222" s="201"/>
      <c r="AV222" s="201"/>
      <c r="AW222" s="201"/>
      <c r="AX222" s="201"/>
      <c r="AY222" s="201"/>
      <c r="AZ222" s="201"/>
      <c r="BA222" s="201"/>
      <c r="BB222" s="201"/>
      <c r="BC222" s="201"/>
      <c r="BD222" s="465"/>
      <c r="BE222" s="465"/>
      <c r="BF222" s="465"/>
      <c r="BG222" s="465"/>
      <c r="BH222" s="465"/>
      <c r="BI222" s="465"/>
      <c r="BJ222" s="465"/>
      <c r="BK222" s="465"/>
      <c r="BL222" s="465"/>
      <c r="BM222" s="465"/>
      <c r="BN222" s="465"/>
      <c r="BO222" s="465"/>
      <c r="BP222" s="465"/>
      <c r="BQ222" s="465"/>
      <c r="BR222" s="465"/>
      <c r="BS222" s="465"/>
      <c r="BT222" s="465"/>
      <c r="BU222" s="465"/>
      <c r="BV222" s="465"/>
      <c r="BW222" s="465"/>
      <c r="BX222" s="465"/>
      <c r="BY222" s="465"/>
    </row>
    <row r="223" spans="2:77" s="28" customFormat="1">
      <c r="B223" s="201"/>
      <c r="D223" s="418"/>
      <c r="E223" s="29"/>
      <c r="G223" s="421"/>
      <c r="H223" s="422"/>
      <c r="I223" s="422"/>
      <c r="J223" s="422"/>
      <c r="K223" s="422"/>
      <c r="L223" s="422"/>
      <c r="P223" s="466"/>
      <c r="AJ223" s="31"/>
      <c r="AK223" s="31"/>
      <c r="AL223" s="32"/>
      <c r="AM223" s="33"/>
      <c r="AN223" s="32"/>
      <c r="AO223" s="33"/>
      <c r="AP223" s="32"/>
      <c r="AQ223" s="32"/>
      <c r="AR223" s="201"/>
      <c r="AS223" s="201"/>
      <c r="AT223" s="201"/>
      <c r="AU223" s="201"/>
      <c r="AV223" s="201"/>
      <c r="AW223" s="201"/>
      <c r="AX223" s="201"/>
      <c r="AY223" s="201"/>
      <c r="AZ223" s="201"/>
      <c r="BA223" s="201"/>
      <c r="BB223" s="201"/>
      <c r="BC223" s="201"/>
      <c r="BD223" s="465"/>
      <c r="BE223" s="465"/>
      <c r="BF223" s="465"/>
      <c r="BG223" s="465"/>
      <c r="BH223" s="465"/>
      <c r="BI223" s="465"/>
      <c r="BJ223" s="465"/>
      <c r="BK223" s="465"/>
      <c r="BL223" s="465"/>
      <c r="BM223" s="465"/>
      <c r="BN223" s="465"/>
      <c r="BO223" s="465"/>
      <c r="BP223" s="465"/>
      <c r="BQ223" s="465"/>
      <c r="BR223" s="465"/>
      <c r="BS223" s="465"/>
      <c r="BT223" s="465"/>
      <c r="BU223" s="465"/>
      <c r="BV223" s="465"/>
      <c r="BW223" s="465"/>
      <c r="BX223" s="465"/>
      <c r="BY223" s="465"/>
    </row>
    <row r="224" spans="2:77" s="28" customFormat="1">
      <c r="B224" s="201"/>
      <c r="D224" s="418"/>
      <c r="E224" s="29"/>
      <c r="G224" s="421"/>
      <c r="H224" s="422"/>
      <c r="I224" s="422"/>
      <c r="J224" s="422"/>
      <c r="K224" s="422"/>
      <c r="L224" s="422"/>
      <c r="P224" s="466"/>
      <c r="AJ224" s="31"/>
      <c r="AK224" s="31"/>
      <c r="AL224" s="32"/>
      <c r="AM224" s="33"/>
      <c r="AN224" s="32"/>
      <c r="AO224" s="33"/>
      <c r="AP224" s="32"/>
      <c r="AQ224" s="32"/>
      <c r="AR224" s="201"/>
      <c r="AS224" s="201"/>
      <c r="AT224" s="201"/>
      <c r="AU224" s="201"/>
      <c r="AV224" s="201"/>
      <c r="AW224" s="201"/>
      <c r="AX224" s="201"/>
      <c r="AY224" s="201"/>
      <c r="AZ224" s="201"/>
      <c r="BA224" s="201"/>
      <c r="BB224" s="201"/>
      <c r="BC224" s="201"/>
      <c r="BD224" s="465"/>
      <c r="BE224" s="465"/>
      <c r="BF224" s="465"/>
      <c r="BG224" s="465"/>
      <c r="BH224" s="465"/>
      <c r="BI224" s="465"/>
      <c r="BJ224" s="465"/>
      <c r="BK224" s="465"/>
      <c r="BL224" s="465"/>
      <c r="BM224" s="465"/>
      <c r="BN224" s="465"/>
      <c r="BO224" s="465"/>
      <c r="BP224" s="465"/>
      <c r="BQ224" s="465"/>
      <c r="BR224" s="465"/>
      <c r="BS224" s="465"/>
      <c r="BT224" s="465"/>
      <c r="BU224" s="465"/>
      <c r="BV224" s="465"/>
      <c r="BW224" s="465"/>
      <c r="BX224" s="465"/>
      <c r="BY224" s="465"/>
    </row>
    <row r="225" spans="2:77" s="28" customFormat="1">
      <c r="B225" s="201"/>
      <c r="D225" s="418"/>
      <c r="E225" s="29"/>
      <c r="G225" s="421"/>
      <c r="H225" s="422"/>
      <c r="I225" s="422"/>
      <c r="J225" s="422"/>
      <c r="K225" s="422"/>
      <c r="L225" s="422"/>
      <c r="P225" s="466"/>
      <c r="AJ225" s="31"/>
      <c r="AK225" s="31"/>
      <c r="AL225" s="32"/>
      <c r="AM225" s="33"/>
      <c r="AN225" s="32"/>
      <c r="AO225" s="33"/>
      <c r="AP225" s="32"/>
      <c r="AQ225" s="32"/>
      <c r="AR225" s="201"/>
      <c r="AS225" s="201"/>
      <c r="AT225" s="201"/>
      <c r="AU225" s="201"/>
      <c r="AV225" s="201"/>
      <c r="AW225" s="201"/>
      <c r="AX225" s="201"/>
      <c r="AY225" s="201"/>
      <c r="AZ225" s="201"/>
      <c r="BA225" s="201"/>
      <c r="BB225" s="201"/>
      <c r="BC225" s="201"/>
      <c r="BD225" s="465"/>
      <c r="BE225" s="465"/>
      <c r="BF225" s="465"/>
      <c r="BG225" s="465"/>
      <c r="BH225" s="465"/>
      <c r="BI225" s="465"/>
      <c r="BJ225" s="465"/>
      <c r="BK225" s="465"/>
      <c r="BL225" s="465"/>
      <c r="BM225" s="465"/>
      <c r="BN225" s="465"/>
      <c r="BO225" s="465"/>
      <c r="BP225" s="465"/>
      <c r="BQ225" s="465"/>
      <c r="BR225" s="465"/>
      <c r="BS225" s="465"/>
      <c r="BT225" s="465"/>
      <c r="BU225" s="465"/>
      <c r="BV225" s="465"/>
      <c r="BW225" s="465"/>
      <c r="BX225" s="465"/>
      <c r="BY225" s="465"/>
    </row>
    <row r="226" spans="2:77" s="28" customFormat="1">
      <c r="B226" s="201"/>
      <c r="D226" s="418"/>
      <c r="E226" s="29"/>
      <c r="G226" s="421"/>
      <c r="H226" s="422"/>
      <c r="I226" s="422"/>
      <c r="J226" s="422"/>
      <c r="K226" s="422"/>
      <c r="L226" s="422"/>
      <c r="P226" s="466"/>
      <c r="AJ226" s="31"/>
      <c r="AK226" s="31"/>
      <c r="AL226" s="32"/>
      <c r="AM226" s="33"/>
      <c r="AN226" s="32"/>
      <c r="AO226" s="33"/>
      <c r="AP226" s="32"/>
      <c r="AQ226" s="32"/>
      <c r="AR226" s="201"/>
      <c r="AS226" s="201"/>
      <c r="AT226" s="201"/>
      <c r="AU226" s="201"/>
      <c r="AV226" s="201"/>
      <c r="AW226" s="201"/>
      <c r="AX226" s="201"/>
      <c r="AY226" s="201"/>
      <c r="AZ226" s="201"/>
      <c r="BA226" s="201"/>
      <c r="BB226" s="201"/>
      <c r="BC226" s="201"/>
      <c r="BD226" s="465"/>
      <c r="BE226" s="465"/>
      <c r="BF226" s="465"/>
      <c r="BG226" s="465"/>
      <c r="BH226" s="465"/>
      <c r="BI226" s="465"/>
      <c r="BJ226" s="465"/>
      <c r="BK226" s="465"/>
      <c r="BL226" s="465"/>
      <c r="BM226" s="465"/>
      <c r="BN226" s="465"/>
      <c r="BO226" s="465"/>
      <c r="BP226" s="465"/>
      <c r="BQ226" s="465"/>
      <c r="BR226" s="465"/>
      <c r="BS226" s="465"/>
      <c r="BT226" s="465"/>
      <c r="BU226" s="465"/>
      <c r="BV226" s="465"/>
      <c r="BW226" s="465"/>
      <c r="BX226" s="465"/>
      <c r="BY226" s="465"/>
    </row>
    <row r="227" spans="2:77" s="28" customFormat="1">
      <c r="B227" s="201"/>
      <c r="D227" s="418"/>
      <c r="E227" s="29"/>
      <c r="G227" s="421"/>
      <c r="H227" s="422"/>
      <c r="I227" s="422"/>
      <c r="J227" s="422"/>
      <c r="K227" s="422"/>
      <c r="L227" s="422"/>
      <c r="P227" s="466"/>
      <c r="AJ227" s="31"/>
      <c r="AK227" s="31"/>
      <c r="AL227" s="32"/>
      <c r="AM227" s="33"/>
      <c r="AN227" s="32"/>
      <c r="AO227" s="33"/>
      <c r="AP227" s="32"/>
      <c r="AQ227" s="32"/>
      <c r="AR227" s="201"/>
      <c r="AS227" s="201"/>
      <c r="AT227" s="201"/>
      <c r="AU227" s="201"/>
      <c r="AV227" s="201"/>
      <c r="AW227" s="201"/>
      <c r="AX227" s="201"/>
      <c r="AY227" s="201"/>
      <c r="AZ227" s="201"/>
      <c r="BA227" s="201"/>
      <c r="BB227" s="201"/>
      <c r="BC227" s="201"/>
      <c r="BD227" s="465"/>
      <c r="BE227" s="465"/>
      <c r="BF227" s="465"/>
      <c r="BG227" s="465"/>
      <c r="BH227" s="465"/>
      <c r="BI227" s="465"/>
      <c r="BJ227" s="465"/>
      <c r="BK227" s="465"/>
      <c r="BL227" s="465"/>
      <c r="BM227" s="465"/>
      <c r="BN227" s="465"/>
      <c r="BO227" s="465"/>
      <c r="BP227" s="465"/>
      <c r="BQ227" s="465"/>
      <c r="BR227" s="465"/>
      <c r="BS227" s="465"/>
      <c r="BT227" s="465"/>
      <c r="BU227" s="465"/>
      <c r="BV227" s="465"/>
      <c r="BW227" s="465"/>
      <c r="BX227" s="465"/>
      <c r="BY227" s="465"/>
    </row>
    <row r="228" spans="2:77" s="28" customFormat="1">
      <c r="B228" s="201"/>
      <c r="D228" s="418"/>
      <c r="E228" s="29"/>
      <c r="G228" s="421"/>
      <c r="H228" s="422"/>
      <c r="I228" s="422"/>
      <c r="J228" s="422"/>
      <c r="K228" s="422"/>
      <c r="L228" s="422"/>
      <c r="P228" s="466"/>
      <c r="AJ228" s="31"/>
      <c r="AK228" s="31"/>
      <c r="AL228" s="32"/>
      <c r="AM228" s="33"/>
      <c r="AN228" s="32"/>
      <c r="AO228" s="33"/>
      <c r="AP228" s="32"/>
      <c r="AQ228" s="32"/>
      <c r="AR228" s="201"/>
      <c r="AS228" s="201"/>
      <c r="AT228" s="201"/>
      <c r="AU228" s="201"/>
      <c r="AV228" s="201"/>
      <c r="AW228" s="201"/>
      <c r="AX228" s="201"/>
      <c r="AY228" s="201"/>
      <c r="AZ228" s="201"/>
      <c r="BA228" s="201"/>
      <c r="BB228" s="201"/>
      <c r="BC228" s="201"/>
      <c r="BD228" s="465"/>
      <c r="BE228" s="465"/>
      <c r="BF228" s="465"/>
      <c r="BG228" s="465"/>
      <c r="BH228" s="465"/>
      <c r="BI228" s="465"/>
      <c r="BJ228" s="465"/>
      <c r="BK228" s="465"/>
      <c r="BL228" s="465"/>
      <c r="BM228" s="465"/>
      <c r="BN228" s="465"/>
      <c r="BO228" s="465"/>
      <c r="BP228" s="465"/>
      <c r="BQ228" s="465"/>
      <c r="BR228" s="465"/>
      <c r="BS228" s="465"/>
      <c r="BT228" s="465"/>
      <c r="BU228" s="465"/>
      <c r="BV228" s="465"/>
      <c r="BW228" s="465"/>
      <c r="BX228" s="465"/>
      <c r="BY228" s="465"/>
    </row>
    <row r="229" spans="2:77" s="28" customFormat="1">
      <c r="B229" s="201"/>
      <c r="D229" s="418"/>
      <c r="E229" s="29"/>
      <c r="G229" s="421"/>
      <c r="H229" s="422"/>
      <c r="I229" s="422"/>
      <c r="J229" s="422"/>
      <c r="K229" s="422"/>
      <c r="L229" s="422"/>
      <c r="P229" s="466"/>
      <c r="AJ229" s="31"/>
      <c r="AK229" s="31"/>
      <c r="AL229" s="32"/>
      <c r="AM229" s="33"/>
      <c r="AN229" s="32"/>
      <c r="AO229" s="33"/>
      <c r="AP229" s="32"/>
      <c r="AQ229" s="32"/>
      <c r="AR229" s="201"/>
      <c r="AS229" s="201"/>
      <c r="AT229" s="201"/>
      <c r="AU229" s="201"/>
      <c r="AV229" s="201"/>
      <c r="AW229" s="201"/>
      <c r="AX229" s="201"/>
      <c r="AY229" s="201"/>
      <c r="AZ229" s="201"/>
      <c r="BA229" s="201"/>
      <c r="BB229" s="201"/>
      <c r="BC229" s="201"/>
      <c r="BD229" s="465"/>
      <c r="BE229" s="465"/>
      <c r="BF229" s="465"/>
      <c r="BG229" s="465"/>
      <c r="BH229" s="465"/>
      <c r="BI229" s="465"/>
      <c r="BJ229" s="465"/>
      <c r="BK229" s="465"/>
      <c r="BL229" s="465"/>
      <c r="BM229" s="465"/>
      <c r="BN229" s="465"/>
      <c r="BO229" s="465"/>
      <c r="BP229" s="465"/>
      <c r="BQ229" s="465"/>
      <c r="BR229" s="465"/>
      <c r="BS229" s="465"/>
      <c r="BT229" s="465"/>
      <c r="BU229" s="465"/>
      <c r="BV229" s="465"/>
      <c r="BW229" s="465"/>
      <c r="BX229" s="465"/>
      <c r="BY229" s="465"/>
    </row>
    <row r="230" spans="2:77" s="28" customFormat="1">
      <c r="B230" s="201"/>
      <c r="D230" s="418"/>
      <c r="E230" s="29"/>
      <c r="G230" s="421"/>
      <c r="H230" s="422"/>
      <c r="I230" s="422"/>
      <c r="J230" s="422"/>
      <c r="K230" s="422"/>
      <c r="L230" s="422"/>
      <c r="P230" s="466"/>
      <c r="AJ230" s="31"/>
      <c r="AK230" s="31"/>
      <c r="AL230" s="32"/>
      <c r="AM230" s="33"/>
      <c r="AN230" s="32"/>
      <c r="AO230" s="33"/>
      <c r="AP230" s="32"/>
      <c r="AQ230" s="32"/>
      <c r="AR230" s="201"/>
      <c r="AS230" s="201"/>
      <c r="AT230" s="201"/>
      <c r="AU230" s="201"/>
      <c r="AV230" s="201"/>
      <c r="AW230" s="201"/>
      <c r="AX230" s="201"/>
      <c r="AY230" s="201"/>
      <c r="AZ230" s="201"/>
      <c r="BA230" s="201"/>
      <c r="BB230" s="201"/>
      <c r="BC230" s="201"/>
      <c r="BD230" s="465"/>
      <c r="BE230" s="465"/>
      <c r="BF230" s="465"/>
      <c r="BG230" s="465"/>
      <c r="BH230" s="465"/>
      <c r="BI230" s="465"/>
      <c r="BJ230" s="465"/>
      <c r="BK230" s="465"/>
      <c r="BL230" s="465"/>
      <c r="BM230" s="465"/>
      <c r="BN230" s="465"/>
      <c r="BO230" s="465"/>
      <c r="BP230" s="465"/>
      <c r="BQ230" s="465"/>
      <c r="BR230" s="465"/>
      <c r="BS230" s="465"/>
      <c r="BT230" s="465"/>
      <c r="BU230" s="465"/>
      <c r="BV230" s="465"/>
      <c r="BW230" s="465"/>
      <c r="BX230" s="465"/>
      <c r="BY230" s="465"/>
    </row>
    <row r="231" spans="2:77" s="28" customFormat="1">
      <c r="B231" s="201"/>
      <c r="D231" s="418"/>
      <c r="E231" s="29"/>
      <c r="G231" s="421"/>
      <c r="H231" s="422"/>
      <c r="I231" s="422"/>
      <c r="J231" s="422"/>
      <c r="K231" s="422"/>
      <c r="L231" s="422"/>
      <c r="P231" s="466"/>
      <c r="AJ231" s="31"/>
      <c r="AK231" s="31"/>
      <c r="AL231" s="32"/>
      <c r="AM231" s="33"/>
      <c r="AN231" s="32"/>
      <c r="AO231" s="33"/>
      <c r="AP231" s="32"/>
      <c r="AQ231" s="32"/>
      <c r="AR231" s="201"/>
      <c r="AS231" s="201"/>
      <c r="AT231" s="201"/>
      <c r="AU231" s="201"/>
      <c r="AV231" s="201"/>
      <c r="AW231" s="201"/>
      <c r="AX231" s="201"/>
      <c r="AY231" s="201"/>
      <c r="AZ231" s="201"/>
      <c r="BA231" s="201"/>
      <c r="BB231" s="201"/>
      <c r="BC231" s="201"/>
      <c r="BD231" s="465"/>
      <c r="BE231" s="465"/>
      <c r="BF231" s="465"/>
      <c r="BG231" s="465"/>
      <c r="BH231" s="465"/>
      <c r="BI231" s="465"/>
      <c r="BJ231" s="465"/>
      <c r="BK231" s="465"/>
      <c r="BL231" s="465"/>
      <c r="BM231" s="465"/>
      <c r="BN231" s="465"/>
      <c r="BO231" s="465"/>
      <c r="BP231" s="465"/>
      <c r="BQ231" s="465"/>
      <c r="BR231" s="465"/>
      <c r="BS231" s="465"/>
      <c r="BT231" s="465"/>
      <c r="BU231" s="465"/>
      <c r="BV231" s="465"/>
      <c r="BW231" s="465"/>
      <c r="BX231" s="465"/>
      <c r="BY231" s="465"/>
    </row>
    <row r="232" spans="2:77" s="28" customFormat="1">
      <c r="B232" s="201"/>
      <c r="D232" s="418"/>
      <c r="E232" s="29"/>
      <c r="G232" s="421"/>
      <c r="H232" s="422"/>
      <c r="I232" s="422"/>
      <c r="J232" s="422"/>
      <c r="K232" s="422"/>
      <c r="L232" s="422"/>
      <c r="P232" s="469"/>
      <c r="AJ232" s="31"/>
      <c r="AK232" s="31"/>
      <c r="AL232" s="32"/>
      <c r="AM232" s="33"/>
      <c r="AN232" s="32"/>
      <c r="AO232" s="33"/>
      <c r="AP232" s="32"/>
      <c r="AQ232" s="32"/>
      <c r="AR232" s="201"/>
      <c r="AS232" s="201"/>
      <c r="AT232" s="201"/>
      <c r="AU232" s="201"/>
      <c r="AV232" s="201"/>
      <c r="AW232" s="201"/>
      <c r="AX232" s="201"/>
      <c r="AY232" s="201"/>
      <c r="AZ232" s="201"/>
      <c r="BA232" s="201"/>
      <c r="BB232" s="201"/>
      <c r="BC232" s="201"/>
      <c r="BD232" s="465"/>
      <c r="BE232" s="465"/>
      <c r="BF232" s="465"/>
      <c r="BG232" s="465"/>
      <c r="BH232" s="465"/>
      <c r="BI232" s="465"/>
      <c r="BJ232" s="465"/>
      <c r="BK232" s="465"/>
      <c r="BL232" s="465"/>
      <c r="BM232" s="465"/>
      <c r="BN232" s="465"/>
      <c r="BO232" s="465"/>
      <c r="BP232" s="465"/>
      <c r="BQ232" s="465"/>
      <c r="BR232" s="465"/>
      <c r="BS232" s="465"/>
      <c r="BT232" s="465"/>
      <c r="BU232" s="465"/>
      <c r="BV232" s="465"/>
      <c r="BW232" s="465"/>
      <c r="BX232" s="465"/>
      <c r="BY232" s="465"/>
    </row>
    <row r="233" spans="2:77" s="28" customFormat="1">
      <c r="B233" s="201"/>
      <c r="D233" s="418"/>
      <c r="E233" s="29"/>
      <c r="G233" s="421"/>
      <c r="H233" s="422"/>
      <c r="I233" s="422"/>
      <c r="J233" s="422"/>
      <c r="K233" s="422"/>
      <c r="L233" s="422"/>
      <c r="P233" s="470"/>
      <c r="AJ233" s="31"/>
      <c r="AK233" s="31"/>
      <c r="AL233" s="32"/>
      <c r="AM233" s="33"/>
      <c r="AN233" s="32"/>
      <c r="AO233" s="33"/>
      <c r="AP233" s="32"/>
      <c r="AQ233" s="32"/>
      <c r="AR233" s="201"/>
      <c r="AS233" s="201"/>
      <c r="AT233" s="201"/>
      <c r="AU233" s="201"/>
      <c r="AV233" s="201"/>
      <c r="AW233" s="201"/>
      <c r="AX233" s="201"/>
      <c r="AY233" s="201"/>
      <c r="AZ233" s="201"/>
      <c r="BA233" s="201"/>
      <c r="BB233" s="201"/>
      <c r="BC233" s="201"/>
      <c r="BD233" s="465"/>
      <c r="BE233" s="465"/>
      <c r="BF233" s="465"/>
      <c r="BG233" s="465"/>
      <c r="BH233" s="465"/>
      <c r="BI233" s="465"/>
      <c r="BJ233" s="465"/>
      <c r="BK233" s="465"/>
      <c r="BL233" s="465"/>
      <c r="BM233" s="465"/>
      <c r="BN233" s="465"/>
      <c r="BO233" s="465"/>
      <c r="BP233" s="465"/>
      <c r="BQ233" s="465"/>
      <c r="BR233" s="465"/>
      <c r="BS233" s="465"/>
      <c r="BT233" s="465"/>
      <c r="BU233" s="465"/>
      <c r="BV233" s="465"/>
      <c r="BW233" s="465"/>
      <c r="BX233" s="465"/>
      <c r="BY233" s="465"/>
    </row>
    <row r="234" spans="2:77" s="28" customFormat="1">
      <c r="B234" s="201"/>
      <c r="D234" s="418"/>
      <c r="E234" s="29"/>
      <c r="G234" s="421"/>
      <c r="H234" s="422"/>
      <c r="I234" s="422"/>
      <c r="J234" s="422"/>
      <c r="K234" s="422"/>
      <c r="L234" s="422"/>
      <c r="P234" s="470"/>
      <c r="AJ234" s="31"/>
      <c r="AK234" s="31"/>
      <c r="AL234" s="32"/>
      <c r="AM234" s="33"/>
      <c r="AN234" s="32"/>
      <c r="AO234" s="33"/>
      <c r="AP234" s="32"/>
      <c r="AQ234" s="32"/>
      <c r="AR234" s="201"/>
      <c r="AS234" s="201"/>
      <c r="AT234" s="201"/>
      <c r="AU234" s="201"/>
      <c r="AV234" s="201"/>
      <c r="AW234" s="201"/>
      <c r="AX234" s="201"/>
      <c r="AY234" s="201"/>
      <c r="AZ234" s="201"/>
      <c r="BA234" s="201"/>
      <c r="BB234" s="201"/>
      <c r="BC234" s="201"/>
      <c r="BD234" s="465"/>
      <c r="BE234" s="465"/>
      <c r="BF234" s="465"/>
      <c r="BG234" s="465"/>
      <c r="BH234" s="465"/>
      <c r="BI234" s="465"/>
      <c r="BJ234" s="465"/>
      <c r="BK234" s="465"/>
      <c r="BL234" s="465"/>
      <c r="BM234" s="465"/>
      <c r="BN234" s="465"/>
      <c r="BO234" s="465"/>
      <c r="BP234" s="465"/>
      <c r="BQ234" s="465"/>
      <c r="BR234" s="465"/>
      <c r="BS234" s="465"/>
      <c r="BT234" s="465"/>
      <c r="BU234" s="465"/>
      <c r="BV234" s="465"/>
      <c r="BW234" s="465"/>
      <c r="BX234" s="465"/>
      <c r="BY234" s="465"/>
    </row>
    <row r="235" spans="2:77" s="28" customFormat="1">
      <c r="B235" s="201"/>
      <c r="D235" s="418"/>
      <c r="E235" s="29"/>
      <c r="G235" s="421"/>
      <c r="H235" s="422"/>
      <c r="I235" s="422"/>
      <c r="J235" s="422"/>
      <c r="K235" s="422"/>
      <c r="L235" s="422"/>
      <c r="P235" s="470"/>
      <c r="AJ235" s="31"/>
      <c r="AK235" s="31"/>
      <c r="AL235" s="32"/>
      <c r="AM235" s="33"/>
      <c r="AN235" s="32"/>
      <c r="AO235" s="33"/>
      <c r="AP235" s="32"/>
      <c r="AQ235" s="32"/>
      <c r="AR235" s="201"/>
      <c r="AS235" s="201"/>
      <c r="AT235" s="201"/>
      <c r="AU235" s="201"/>
      <c r="AV235" s="201"/>
      <c r="AW235" s="201"/>
      <c r="AX235" s="201"/>
      <c r="AY235" s="201"/>
      <c r="AZ235" s="201"/>
      <c r="BA235" s="201"/>
      <c r="BB235" s="201"/>
      <c r="BC235" s="201"/>
      <c r="BD235" s="465"/>
      <c r="BE235" s="465"/>
      <c r="BF235" s="465"/>
      <c r="BG235" s="465"/>
      <c r="BH235" s="465"/>
      <c r="BI235" s="465"/>
      <c r="BJ235" s="465"/>
      <c r="BK235" s="465"/>
      <c r="BL235" s="465"/>
      <c r="BM235" s="465"/>
      <c r="BN235" s="465"/>
      <c r="BO235" s="465"/>
      <c r="BP235" s="465"/>
      <c r="BQ235" s="465"/>
      <c r="BR235" s="465"/>
      <c r="BS235" s="465"/>
      <c r="BT235" s="465"/>
      <c r="BU235" s="465"/>
      <c r="BV235" s="465"/>
      <c r="BW235" s="465"/>
      <c r="BX235" s="465"/>
      <c r="BY235" s="465"/>
    </row>
    <row r="236" spans="2:77" s="28" customFormat="1">
      <c r="B236" s="201"/>
      <c r="D236" s="418"/>
      <c r="E236" s="29"/>
      <c r="G236" s="421"/>
      <c r="H236" s="422"/>
      <c r="I236" s="422"/>
      <c r="J236" s="422"/>
      <c r="K236" s="422"/>
      <c r="L236" s="422"/>
      <c r="P236" s="470"/>
      <c r="AJ236" s="31"/>
      <c r="AK236" s="31"/>
      <c r="AL236" s="32"/>
      <c r="AM236" s="33"/>
      <c r="AN236" s="32"/>
      <c r="AO236" s="33"/>
      <c r="AP236" s="32"/>
      <c r="AQ236" s="32"/>
      <c r="AR236" s="201"/>
      <c r="AS236" s="201"/>
      <c r="AT236" s="201"/>
      <c r="AU236" s="201"/>
      <c r="AV236" s="201"/>
      <c r="AW236" s="201"/>
      <c r="AX236" s="201"/>
      <c r="AY236" s="201"/>
      <c r="AZ236" s="201"/>
      <c r="BA236" s="201"/>
      <c r="BB236" s="201"/>
      <c r="BC236" s="201"/>
      <c r="BD236" s="465"/>
      <c r="BE236" s="465"/>
      <c r="BF236" s="465"/>
      <c r="BG236" s="465"/>
      <c r="BH236" s="465"/>
      <c r="BI236" s="465"/>
      <c r="BJ236" s="465"/>
      <c r="BK236" s="465"/>
      <c r="BL236" s="465"/>
      <c r="BM236" s="465"/>
      <c r="BN236" s="465"/>
      <c r="BO236" s="465"/>
      <c r="BP236" s="465"/>
      <c r="BQ236" s="465"/>
      <c r="BR236" s="465"/>
      <c r="BS236" s="465"/>
      <c r="BT236" s="465"/>
      <c r="BU236" s="465"/>
      <c r="BV236" s="465"/>
      <c r="BW236" s="465"/>
      <c r="BX236" s="465"/>
      <c r="BY236" s="465"/>
    </row>
    <row r="237" spans="2:77" s="28" customFormat="1">
      <c r="B237" s="201"/>
      <c r="D237" s="418"/>
      <c r="E237" s="29"/>
      <c r="G237" s="421"/>
      <c r="H237" s="422"/>
      <c r="I237" s="422"/>
      <c r="J237" s="422"/>
      <c r="K237" s="422"/>
      <c r="L237" s="422"/>
      <c r="P237" s="471"/>
      <c r="AJ237" s="31"/>
      <c r="AK237" s="31"/>
      <c r="AL237" s="32"/>
      <c r="AM237" s="33"/>
      <c r="AN237" s="32"/>
      <c r="AO237" s="33"/>
      <c r="AP237" s="32"/>
      <c r="AQ237" s="32"/>
      <c r="AR237" s="201"/>
      <c r="AS237" s="201"/>
      <c r="AT237" s="201"/>
      <c r="AU237" s="201"/>
      <c r="AV237" s="201"/>
      <c r="AW237" s="201"/>
      <c r="AX237" s="201"/>
      <c r="AY237" s="201"/>
      <c r="AZ237" s="201"/>
      <c r="BA237" s="201"/>
      <c r="BB237" s="201"/>
      <c r="BC237" s="201"/>
      <c r="BD237" s="465"/>
      <c r="BE237" s="465"/>
      <c r="BF237" s="465"/>
      <c r="BG237" s="465"/>
      <c r="BH237" s="465"/>
      <c r="BI237" s="465"/>
      <c r="BJ237" s="465"/>
      <c r="BK237" s="465"/>
      <c r="BL237" s="465"/>
      <c r="BM237" s="465"/>
      <c r="BN237" s="465"/>
      <c r="BO237" s="465"/>
      <c r="BP237" s="465"/>
      <c r="BQ237" s="465"/>
      <c r="BR237" s="465"/>
      <c r="BS237" s="465"/>
      <c r="BT237" s="465"/>
      <c r="BU237" s="465"/>
      <c r="BV237" s="465"/>
      <c r="BW237" s="465"/>
      <c r="BX237" s="465"/>
      <c r="BY237" s="465"/>
    </row>
    <row r="238" spans="2:77" s="28" customFormat="1">
      <c r="B238" s="201"/>
      <c r="D238" s="418"/>
      <c r="E238" s="29"/>
      <c r="G238" s="421"/>
      <c r="H238" s="422"/>
      <c r="I238" s="422"/>
      <c r="J238" s="422"/>
      <c r="K238" s="422"/>
      <c r="L238" s="422"/>
      <c r="P238" s="472"/>
      <c r="AJ238" s="31"/>
      <c r="AK238" s="31"/>
      <c r="AL238" s="32"/>
      <c r="AM238" s="33"/>
      <c r="AN238" s="32"/>
      <c r="AO238" s="33"/>
      <c r="AP238" s="32"/>
      <c r="AQ238" s="32"/>
      <c r="AR238" s="201"/>
      <c r="AS238" s="201"/>
      <c r="AT238" s="201"/>
      <c r="AU238" s="201"/>
      <c r="AV238" s="201"/>
      <c r="AW238" s="201"/>
      <c r="AX238" s="201"/>
      <c r="AY238" s="201"/>
      <c r="AZ238" s="201"/>
      <c r="BA238" s="201"/>
      <c r="BB238" s="201"/>
      <c r="BC238" s="201"/>
      <c r="BD238" s="465"/>
      <c r="BE238" s="465"/>
      <c r="BF238" s="465"/>
      <c r="BG238" s="465"/>
      <c r="BH238" s="465"/>
      <c r="BI238" s="465"/>
      <c r="BJ238" s="465"/>
      <c r="BK238" s="465"/>
      <c r="BL238" s="465"/>
      <c r="BM238" s="465"/>
      <c r="BN238" s="465"/>
      <c r="BO238" s="465"/>
      <c r="BP238" s="465"/>
      <c r="BQ238" s="465"/>
      <c r="BR238" s="465"/>
      <c r="BS238" s="465"/>
      <c r="BT238" s="465"/>
      <c r="BU238" s="465"/>
      <c r="BV238" s="465"/>
      <c r="BW238" s="465"/>
      <c r="BX238" s="465"/>
      <c r="BY238" s="465"/>
    </row>
    <row r="239" spans="2:77" s="28" customFormat="1">
      <c r="B239" s="201"/>
      <c r="D239" s="418"/>
      <c r="E239" s="29"/>
      <c r="G239" s="421"/>
      <c r="H239" s="422"/>
      <c r="I239" s="422"/>
      <c r="J239" s="422"/>
      <c r="K239" s="422"/>
      <c r="L239" s="422"/>
      <c r="P239" s="470"/>
      <c r="AJ239" s="31"/>
      <c r="AK239" s="31"/>
      <c r="AL239" s="32"/>
      <c r="AM239" s="33"/>
      <c r="AN239" s="32"/>
      <c r="AO239" s="33"/>
      <c r="AP239" s="32"/>
      <c r="AQ239" s="32"/>
      <c r="AR239" s="201"/>
      <c r="AS239" s="201"/>
      <c r="AT239" s="201"/>
      <c r="AU239" s="201"/>
      <c r="AV239" s="201"/>
      <c r="AW239" s="201"/>
      <c r="AX239" s="201"/>
      <c r="AY239" s="201"/>
      <c r="AZ239" s="201"/>
      <c r="BA239" s="201"/>
      <c r="BB239" s="201"/>
      <c r="BC239" s="201"/>
      <c r="BD239" s="465"/>
      <c r="BE239" s="465"/>
      <c r="BF239" s="465"/>
      <c r="BG239" s="465"/>
      <c r="BH239" s="465"/>
      <c r="BI239" s="465"/>
      <c r="BJ239" s="465"/>
      <c r="BK239" s="465"/>
      <c r="BL239" s="465"/>
      <c r="BM239" s="465"/>
      <c r="BN239" s="465"/>
      <c r="BO239" s="465"/>
      <c r="BP239" s="465"/>
      <c r="BQ239" s="465"/>
      <c r="BR239" s="465"/>
      <c r="BS239" s="465"/>
      <c r="BT239" s="465"/>
      <c r="BU239" s="465"/>
      <c r="BV239" s="465"/>
      <c r="BW239" s="465"/>
      <c r="BX239" s="465"/>
      <c r="BY239" s="465"/>
    </row>
    <row r="240" spans="2:77" s="28" customFormat="1">
      <c r="B240" s="201"/>
      <c r="D240" s="418"/>
      <c r="E240" s="29"/>
      <c r="G240" s="421"/>
      <c r="H240" s="422"/>
      <c r="I240" s="422"/>
      <c r="J240" s="422"/>
      <c r="K240" s="422"/>
      <c r="L240" s="422"/>
      <c r="P240" s="471"/>
      <c r="AJ240" s="31"/>
      <c r="AK240" s="31"/>
      <c r="AL240" s="32"/>
      <c r="AM240" s="33"/>
      <c r="AN240" s="32"/>
      <c r="AO240" s="33"/>
      <c r="AP240" s="32"/>
      <c r="AQ240" s="32"/>
      <c r="AR240" s="201"/>
      <c r="AS240" s="201"/>
      <c r="AT240" s="201"/>
      <c r="AU240" s="201"/>
      <c r="AV240" s="201"/>
      <c r="AW240" s="201"/>
      <c r="AX240" s="201"/>
      <c r="AY240" s="201"/>
      <c r="AZ240" s="201"/>
      <c r="BA240" s="201"/>
      <c r="BB240" s="201"/>
      <c r="BC240" s="201"/>
      <c r="BD240" s="465"/>
      <c r="BE240" s="465"/>
      <c r="BF240" s="465"/>
      <c r="BG240" s="465"/>
      <c r="BH240" s="465"/>
      <c r="BI240" s="465"/>
      <c r="BJ240" s="465"/>
      <c r="BK240" s="465"/>
      <c r="BL240" s="465"/>
      <c r="BM240" s="465"/>
      <c r="BN240" s="465"/>
      <c r="BO240" s="465"/>
      <c r="BP240" s="465"/>
      <c r="BQ240" s="465"/>
      <c r="BR240" s="465"/>
      <c r="BS240" s="465"/>
      <c r="BT240" s="465"/>
      <c r="BU240" s="465"/>
      <c r="BV240" s="465"/>
      <c r="BW240" s="465"/>
      <c r="BX240" s="465"/>
      <c r="BY240" s="465"/>
    </row>
    <row r="241" spans="2:77" s="28" customFormat="1">
      <c r="B241" s="201"/>
      <c r="D241" s="418"/>
      <c r="E241" s="29"/>
      <c r="G241" s="421"/>
      <c r="H241" s="422"/>
      <c r="I241" s="422"/>
      <c r="J241" s="422"/>
      <c r="K241" s="422"/>
      <c r="L241" s="422"/>
      <c r="P241" s="473"/>
      <c r="AJ241" s="31"/>
      <c r="AK241" s="31"/>
      <c r="AL241" s="32"/>
      <c r="AM241" s="33"/>
      <c r="AN241" s="32"/>
      <c r="AO241" s="33"/>
      <c r="AP241" s="32"/>
      <c r="AQ241" s="32"/>
      <c r="AR241" s="201"/>
      <c r="AS241" s="201"/>
      <c r="AT241" s="201"/>
      <c r="AU241" s="201"/>
      <c r="AV241" s="201"/>
      <c r="AW241" s="201"/>
      <c r="AX241" s="201"/>
      <c r="AY241" s="201"/>
      <c r="AZ241" s="201"/>
      <c r="BA241" s="201"/>
      <c r="BB241" s="201"/>
      <c r="BC241" s="201"/>
      <c r="BD241" s="465"/>
      <c r="BE241" s="465"/>
      <c r="BF241" s="465"/>
      <c r="BG241" s="465"/>
      <c r="BH241" s="465"/>
      <c r="BI241" s="465"/>
      <c r="BJ241" s="465"/>
      <c r="BK241" s="465"/>
      <c r="BL241" s="465"/>
      <c r="BM241" s="465"/>
      <c r="BN241" s="465"/>
      <c r="BO241" s="465"/>
      <c r="BP241" s="465"/>
      <c r="BQ241" s="465"/>
      <c r="BR241" s="465"/>
      <c r="BS241" s="465"/>
      <c r="BT241" s="465"/>
      <c r="BU241" s="465"/>
      <c r="BV241" s="465"/>
      <c r="BW241" s="465"/>
      <c r="BX241" s="465"/>
      <c r="BY241" s="465"/>
    </row>
    <row r="242" spans="2:77" s="28" customFormat="1">
      <c r="B242" s="201"/>
      <c r="D242" s="418"/>
      <c r="E242" s="29"/>
      <c r="G242" s="421"/>
      <c r="H242" s="422"/>
      <c r="I242" s="422"/>
      <c r="J242" s="422"/>
      <c r="K242" s="422"/>
      <c r="L242" s="422"/>
      <c r="P242" s="470"/>
      <c r="AJ242" s="31"/>
      <c r="AK242" s="31"/>
      <c r="AL242" s="32"/>
      <c r="AM242" s="33"/>
      <c r="AN242" s="32"/>
      <c r="AO242" s="33"/>
      <c r="AP242" s="32"/>
      <c r="AQ242" s="32"/>
      <c r="AR242" s="201"/>
      <c r="AS242" s="201"/>
      <c r="AT242" s="201"/>
      <c r="AU242" s="201"/>
      <c r="AV242" s="201"/>
      <c r="AW242" s="201"/>
      <c r="AX242" s="201"/>
      <c r="AY242" s="201"/>
      <c r="AZ242" s="201"/>
      <c r="BA242" s="201"/>
      <c r="BB242" s="201"/>
      <c r="BC242" s="201"/>
      <c r="BD242" s="465"/>
      <c r="BE242" s="465"/>
      <c r="BF242" s="465"/>
      <c r="BG242" s="465"/>
      <c r="BH242" s="465"/>
      <c r="BI242" s="465"/>
      <c r="BJ242" s="465"/>
      <c r="BK242" s="465"/>
      <c r="BL242" s="465"/>
      <c r="BM242" s="465"/>
      <c r="BN242" s="465"/>
      <c r="BO242" s="465"/>
      <c r="BP242" s="465"/>
      <c r="BQ242" s="465"/>
      <c r="BR242" s="465"/>
      <c r="BS242" s="465"/>
      <c r="BT242" s="465"/>
      <c r="BU242" s="465"/>
      <c r="BV242" s="465"/>
      <c r="BW242" s="465"/>
      <c r="BX242" s="465"/>
      <c r="BY242" s="465"/>
    </row>
    <row r="243" spans="2:77" s="28" customFormat="1">
      <c r="B243" s="201"/>
      <c r="D243" s="418"/>
      <c r="E243" s="29"/>
      <c r="G243" s="421"/>
      <c r="H243" s="422"/>
      <c r="I243" s="422"/>
      <c r="J243" s="422"/>
      <c r="K243" s="422"/>
      <c r="L243" s="422"/>
      <c r="P243" s="470"/>
      <c r="AJ243" s="31"/>
      <c r="AK243" s="31"/>
      <c r="AL243" s="32"/>
      <c r="AM243" s="33"/>
      <c r="AN243" s="32"/>
      <c r="AO243" s="33"/>
      <c r="AP243" s="32"/>
      <c r="AQ243" s="32"/>
      <c r="AR243" s="201"/>
      <c r="AS243" s="201"/>
      <c r="AT243" s="201"/>
      <c r="AU243" s="201"/>
      <c r="AV243" s="201"/>
      <c r="AW243" s="201"/>
      <c r="AX243" s="201"/>
      <c r="AY243" s="201"/>
      <c r="AZ243" s="201"/>
      <c r="BA243" s="201"/>
      <c r="BB243" s="201"/>
      <c r="BC243" s="201"/>
      <c r="BD243" s="465"/>
      <c r="BE243" s="465"/>
      <c r="BF243" s="465"/>
      <c r="BG243" s="465"/>
      <c r="BH243" s="465"/>
      <c r="BI243" s="465"/>
      <c r="BJ243" s="465"/>
      <c r="BK243" s="465"/>
      <c r="BL243" s="465"/>
      <c r="BM243" s="465"/>
      <c r="BN243" s="465"/>
      <c r="BO243" s="465"/>
      <c r="BP243" s="465"/>
      <c r="BQ243" s="465"/>
      <c r="BR243" s="465"/>
      <c r="BS243" s="465"/>
      <c r="BT243" s="465"/>
      <c r="BU243" s="465"/>
      <c r="BV243" s="465"/>
      <c r="BW243" s="465"/>
      <c r="BX243" s="465"/>
      <c r="BY243" s="465"/>
    </row>
    <row r="244" spans="2:77" s="28" customFormat="1">
      <c r="B244" s="201"/>
      <c r="D244" s="418"/>
      <c r="E244" s="29"/>
      <c r="G244" s="421"/>
      <c r="H244" s="422"/>
      <c r="I244" s="422"/>
      <c r="J244" s="422"/>
      <c r="K244" s="422"/>
      <c r="L244" s="422"/>
      <c r="P244" s="470"/>
      <c r="AJ244" s="31"/>
      <c r="AK244" s="31"/>
      <c r="AL244" s="32"/>
      <c r="AM244" s="33"/>
      <c r="AN244" s="32"/>
      <c r="AO244" s="33"/>
      <c r="AP244" s="32"/>
      <c r="AQ244" s="32"/>
      <c r="AR244" s="201"/>
      <c r="AS244" s="201"/>
      <c r="AT244" s="201"/>
      <c r="AU244" s="201"/>
      <c r="AV244" s="201"/>
      <c r="AW244" s="201"/>
      <c r="AX244" s="201"/>
      <c r="AY244" s="201"/>
      <c r="AZ244" s="201"/>
      <c r="BA244" s="201"/>
      <c r="BB244" s="201"/>
      <c r="BC244" s="201"/>
      <c r="BD244" s="465"/>
      <c r="BE244" s="465"/>
      <c r="BF244" s="465"/>
      <c r="BG244" s="465"/>
      <c r="BH244" s="465"/>
      <c r="BI244" s="465"/>
      <c r="BJ244" s="465"/>
      <c r="BK244" s="465"/>
      <c r="BL244" s="465"/>
      <c r="BM244" s="465"/>
      <c r="BN244" s="465"/>
      <c r="BO244" s="465"/>
      <c r="BP244" s="465"/>
      <c r="BQ244" s="465"/>
      <c r="BR244" s="465"/>
      <c r="BS244" s="465"/>
      <c r="BT244" s="465"/>
      <c r="BU244" s="465"/>
      <c r="BV244" s="465"/>
      <c r="BW244" s="465"/>
      <c r="BX244" s="465"/>
      <c r="BY244" s="465"/>
    </row>
    <row r="245" spans="2:77" s="28" customFormat="1">
      <c r="B245" s="201"/>
      <c r="D245" s="418"/>
      <c r="E245" s="29"/>
      <c r="G245" s="421"/>
      <c r="H245" s="422"/>
      <c r="I245" s="422"/>
      <c r="J245" s="422"/>
      <c r="K245" s="422"/>
      <c r="L245" s="422"/>
      <c r="P245" s="473"/>
      <c r="AJ245" s="31"/>
      <c r="AK245" s="31"/>
      <c r="AL245" s="32"/>
      <c r="AM245" s="33"/>
      <c r="AN245" s="32"/>
      <c r="AO245" s="33"/>
      <c r="AP245" s="32"/>
      <c r="AQ245" s="32"/>
      <c r="AR245" s="201"/>
      <c r="AS245" s="201"/>
      <c r="AT245" s="201"/>
      <c r="AU245" s="201"/>
      <c r="AV245" s="201"/>
      <c r="AW245" s="201"/>
      <c r="AX245" s="201"/>
      <c r="AY245" s="201"/>
      <c r="AZ245" s="201"/>
      <c r="BA245" s="201"/>
      <c r="BB245" s="201"/>
      <c r="BC245" s="201"/>
      <c r="BD245" s="465"/>
      <c r="BE245" s="465"/>
      <c r="BF245" s="465"/>
      <c r="BG245" s="465"/>
      <c r="BH245" s="465"/>
      <c r="BI245" s="465"/>
      <c r="BJ245" s="465"/>
      <c r="BK245" s="465"/>
      <c r="BL245" s="465"/>
      <c r="BM245" s="465"/>
      <c r="BN245" s="465"/>
      <c r="BO245" s="465"/>
      <c r="BP245" s="465"/>
      <c r="BQ245" s="465"/>
      <c r="BR245" s="465"/>
      <c r="BS245" s="465"/>
      <c r="BT245" s="465"/>
      <c r="BU245" s="465"/>
      <c r="BV245" s="465"/>
      <c r="BW245" s="465"/>
      <c r="BX245" s="465"/>
      <c r="BY245" s="465"/>
    </row>
    <row r="246" spans="2:77" s="28" customFormat="1">
      <c r="B246" s="201"/>
      <c r="D246" s="418"/>
      <c r="E246" s="29"/>
      <c r="G246" s="421"/>
      <c r="H246" s="422"/>
      <c r="I246" s="422"/>
      <c r="J246" s="422"/>
      <c r="K246" s="422"/>
      <c r="L246" s="422"/>
      <c r="P246" s="469"/>
      <c r="AJ246" s="31"/>
      <c r="AK246" s="31"/>
      <c r="AL246" s="32"/>
      <c r="AM246" s="33"/>
      <c r="AN246" s="32"/>
      <c r="AO246" s="33"/>
      <c r="AP246" s="32"/>
      <c r="AQ246" s="32"/>
      <c r="AR246" s="201"/>
      <c r="AS246" s="201"/>
      <c r="AT246" s="201"/>
      <c r="AU246" s="201"/>
      <c r="AV246" s="201"/>
      <c r="AW246" s="201"/>
      <c r="AX246" s="201"/>
      <c r="AY246" s="201"/>
      <c r="AZ246" s="201"/>
      <c r="BA246" s="201"/>
      <c r="BB246" s="201"/>
      <c r="BC246" s="201"/>
      <c r="BD246" s="465"/>
      <c r="BE246" s="465"/>
      <c r="BF246" s="465"/>
      <c r="BG246" s="465"/>
      <c r="BH246" s="465"/>
      <c r="BI246" s="465"/>
      <c r="BJ246" s="465"/>
      <c r="BK246" s="465"/>
      <c r="BL246" s="465"/>
      <c r="BM246" s="465"/>
      <c r="BN246" s="465"/>
      <c r="BO246" s="465"/>
      <c r="BP246" s="465"/>
      <c r="BQ246" s="465"/>
      <c r="BR246" s="465"/>
      <c r="BS246" s="465"/>
      <c r="BT246" s="465"/>
      <c r="BU246" s="465"/>
      <c r="BV246" s="465"/>
      <c r="BW246" s="465"/>
      <c r="BX246" s="465"/>
      <c r="BY246" s="465"/>
    </row>
    <row r="247" spans="2:77" s="28" customFormat="1">
      <c r="B247" s="201"/>
      <c r="D247" s="418"/>
      <c r="E247" s="29"/>
      <c r="G247" s="421"/>
      <c r="H247" s="422"/>
      <c r="I247" s="422"/>
      <c r="J247" s="422"/>
      <c r="K247" s="422"/>
      <c r="L247" s="422"/>
      <c r="P247" s="471"/>
      <c r="AJ247" s="31"/>
      <c r="AK247" s="31"/>
      <c r="AL247" s="32"/>
      <c r="AM247" s="33"/>
      <c r="AN247" s="32"/>
      <c r="AO247" s="33"/>
      <c r="AP247" s="32"/>
      <c r="AQ247" s="32"/>
      <c r="AR247" s="201"/>
      <c r="AS247" s="201"/>
      <c r="AT247" s="201"/>
      <c r="AU247" s="201"/>
      <c r="AV247" s="201"/>
      <c r="AW247" s="201"/>
      <c r="AX247" s="201"/>
      <c r="AY247" s="201"/>
      <c r="AZ247" s="201"/>
      <c r="BA247" s="201"/>
      <c r="BB247" s="201"/>
      <c r="BC247" s="201"/>
      <c r="BD247" s="465"/>
      <c r="BE247" s="465"/>
      <c r="BF247" s="465"/>
      <c r="BG247" s="465"/>
      <c r="BH247" s="465"/>
      <c r="BI247" s="465"/>
      <c r="BJ247" s="465"/>
      <c r="BK247" s="465"/>
      <c r="BL247" s="465"/>
      <c r="BM247" s="465"/>
      <c r="BN247" s="465"/>
      <c r="BO247" s="465"/>
      <c r="BP247" s="465"/>
      <c r="BQ247" s="465"/>
      <c r="BR247" s="465"/>
      <c r="BS247" s="465"/>
      <c r="BT247" s="465"/>
      <c r="BU247" s="465"/>
      <c r="BV247" s="465"/>
      <c r="BW247" s="465"/>
      <c r="BX247" s="465"/>
      <c r="BY247" s="465"/>
    </row>
    <row r="248" spans="2:77" s="28" customFormat="1">
      <c r="B248" s="201"/>
      <c r="D248" s="418"/>
      <c r="E248" s="29"/>
      <c r="G248" s="421"/>
      <c r="H248" s="422"/>
      <c r="I248" s="422"/>
      <c r="J248" s="422"/>
      <c r="K248" s="422"/>
      <c r="L248" s="422"/>
      <c r="P248" s="470"/>
      <c r="AJ248" s="31"/>
      <c r="AK248" s="31"/>
      <c r="AL248" s="32"/>
      <c r="AM248" s="33"/>
      <c r="AN248" s="32"/>
      <c r="AO248" s="33"/>
      <c r="AP248" s="32"/>
      <c r="AQ248" s="32"/>
      <c r="AR248" s="201"/>
      <c r="AS248" s="201"/>
      <c r="AT248" s="201"/>
      <c r="AU248" s="201"/>
      <c r="AV248" s="201"/>
      <c r="AW248" s="201"/>
      <c r="AX248" s="201"/>
      <c r="AY248" s="201"/>
      <c r="AZ248" s="201"/>
      <c r="BA248" s="201"/>
      <c r="BB248" s="201"/>
      <c r="BC248" s="201"/>
      <c r="BD248" s="465"/>
      <c r="BE248" s="465"/>
      <c r="BF248" s="465"/>
      <c r="BG248" s="465"/>
      <c r="BH248" s="465"/>
      <c r="BI248" s="465"/>
      <c r="BJ248" s="465"/>
      <c r="BK248" s="465"/>
      <c r="BL248" s="465"/>
      <c r="BM248" s="465"/>
      <c r="BN248" s="465"/>
      <c r="BO248" s="465"/>
      <c r="BP248" s="465"/>
      <c r="BQ248" s="465"/>
      <c r="BR248" s="465"/>
      <c r="BS248" s="465"/>
      <c r="BT248" s="465"/>
      <c r="BU248" s="465"/>
      <c r="BV248" s="465"/>
      <c r="BW248" s="465"/>
      <c r="BX248" s="465"/>
      <c r="BY248" s="465"/>
    </row>
    <row r="249" spans="2:77" s="28" customFormat="1">
      <c r="B249" s="201"/>
      <c r="D249" s="418"/>
      <c r="E249" s="29"/>
      <c r="G249" s="421"/>
      <c r="H249" s="422"/>
      <c r="I249" s="422"/>
      <c r="J249" s="422"/>
      <c r="K249" s="422"/>
      <c r="L249" s="422"/>
      <c r="P249" s="470"/>
      <c r="AJ249" s="31"/>
      <c r="AK249" s="31"/>
      <c r="AL249" s="32"/>
      <c r="AM249" s="33"/>
      <c r="AN249" s="32"/>
      <c r="AO249" s="33"/>
      <c r="AP249" s="32"/>
      <c r="AQ249" s="32"/>
      <c r="AR249" s="201"/>
      <c r="AS249" s="201"/>
      <c r="AT249" s="201"/>
      <c r="AU249" s="201"/>
      <c r="AV249" s="201"/>
      <c r="AW249" s="201"/>
      <c r="AX249" s="201"/>
      <c r="AY249" s="201"/>
      <c r="AZ249" s="201"/>
      <c r="BA249" s="201"/>
      <c r="BB249" s="201"/>
      <c r="BC249" s="201"/>
      <c r="BD249" s="465"/>
      <c r="BE249" s="465"/>
      <c r="BF249" s="465"/>
      <c r="BG249" s="465"/>
      <c r="BH249" s="465"/>
      <c r="BI249" s="465"/>
      <c r="BJ249" s="465"/>
      <c r="BK249" s="465"/>
      <c r="BL249" s="465"/>
      <c r="BM249" s="465"/>
      <c r="BN249" s="465"/>
      <c r="BO249" s="465"/>
      <c r="BP249" s="465"/>
      <c r="BQ249" s="465"/>
      <c r="BR249" s="465"/>
      <c r="BS249" s="465"/>
      <c r="BT249" s="465"/>
      <c r="BU249" s="465"/>
      <c r="BV249" s="465"/>
      <c r="BW249" s="465"/>
      <c r="BX249" s="465"/>
      <c r="BY249" s="465"/>
    </row>
    <row r="250" spans="2:77" s="28" customFormat="1">
      <c r="B250" s="201"/>
      <c r="D250" s="418"/>
      <c r="E250" s="29"/>
      <c r="G250" s="421"/>
      <c r="H250" s="422"/>
      <c r="I250" s="422"/>
      <c r="J250" s="422"/>
      <c r="K250" s="422"/>
      <c r="L250" s="422"/>
      <c r="P250" s="470"/>
      <c r="AJ250" s="31"/>
      <c r="AK250" s="31"/>
      <c r="AL250" s="32"/>
      <c r="AM250" s="33"/>
      <c r="AN250" s="32"/>
      <c r="AO250" s="33"/>
      <c r="AP250" s="32"/>
      <c r="AQ250" s="32"/>
      <c r="AR250" s="201"/>
      <c r="AS250" s="201"/>
      <c r="AT250" s="201"/>
      <c r="AU250" s="201"/>
      <c r="AV250" s="201"/>
      <c r="AW250" s="201"/>
      <c r="AX250" s="201"/>
      <c r="AY250" s="201"/>
      <c r="AZ250" s="201"/>
      <c r="BA250" s="201"/>
      <c r="BB250" s="201"/>
      <c r="BC250" s="201"/>
      <c r="BD250" s="465"/>
      <c r="BE250" s="465"/>
      <c r="BF250" s="465"/>
      <c r="BG250" s="465"/>
      <c r="BH250" s="465"/>
      <c r="BI250" s="465"/>
      <c r="BJ250" s="465"/>
      <c r="BK250" s="465"/>
      <c r="BL250" s="465"/>
      <c r="BM250" s="465"/>
      <c r="BN250" s="465"/>
      <c r="BO250" s="465"/>
      <c r="BP250" s="465"/>
      <c r="BQ250" s="465"/>
      <c r="BR250" s="465"/>
      <c r="BS250" s="465"/>
      <c r="BT250" s="465"/>
      <c r="BU250" s="465"/>
      <c r="BV250" s="465"/>
      <c r="BW250" s="465"/>
      <c r="BX250" s="465"/>
      <c r="BY250" s="465"/>
    </row>
    <row r="251" spans="2:77" s="28" customFormat="1">
      <c r="B251" s="201"/>
      <c r="D251" s="418"/>
      <c r="E251" s="29"/>
      <c r="G251" s="421"/>
      <c r="H251" s="422"/>
      <c r="I251" s="422"/>
      <c r="J251" s="422"/>
      <c r="K251" s="422"/>
      <c r="L251" s="422"/>
      <c r="P251" s="470"/>
      <c r="AJ251" s="31"/>
      <c r="AK251" s="31"/>
      <c r="AL251" s="32"/>
      <c r="AM251" s="33"/>
      <c r="AN251" s="32"/>
      <c r="AO251" s="33"/>
      <c r="AP251" s="32"/>
      <c r="AQ251" s="32"/>
      <c r="AR251" s="201"/>
      <c r="AS251" s="201"/>
      <c r="AT251" s="201"/>
      <c r="AU251" s="201"/>
      <c r="AV251" s="201"/>
      <c r="AW251" s="201"/>
      <c r="AX251" s="201"/>
      <c r="AY251" s="201"/>
      <c r="AZ251" s="201"/>
      <c r="BA251" s="201"/>
      <c r="BB251" s="201"/>
      <c r="BC251" s="201"/>
      <c r="BD251" s="465"/>
      <c r="BE251" s="465"/>
      <c r="BF251" s="465"/>
      <c r="BG251" s="465"/>
      <c r="BH251" s="465"/>
      <c r="BI251" s="465"/>
      <c r="BJ251" s="465"/>
      <c r="BK251" s="465"/>
      <c r="BL251" s="465"/>
      <c r="BM251" s="465"/>
      <c r="BN251" s="465"/>
      <c r="BO251" s="465"/>
      <c r="BP251" s="465"/>
      <c r="BQ251" s="465"/>
      <c r="BR251" s="465"/>
      <c r="BS251" s="465"/>
      <c r="BT251" s="465"/>
      <c r="BU251" s="465"/>
      <c r="BV251" s="465"/>
      <c r="BW251" s="465"/>
      <c r="BX251" s="465"/>
      <c r="BY251" s="465"/>
    </row>
    <row r="252" spans="2:77" s="28" customFormat="1">
      <c r="B252" s="201"/>
      <c r="D252" s="418"/>
      <c r="E252" s="29"/>
      <c r="G252" s="421"/>
      <c r="H252" s="422"/>
      <c r="I252" s="422"/>
      <c r="J252" s="422"/>
      <c r="K252" s="422"/>
      <c r="L252" s="422"/>
      <c r="P252" s="470"/>
      <c r="AJ252" s="31"/>
      <c r="AK252" s="31"/>
      <c r="AL252" s="32"/>
      <c r="AM252" s="33"/>
      <c r="AN252" s="32"/>
      <c r="AO252" s="33"/>
      <c r="AP252" s="32"/>
      <c r="AQ252" s="32"/>
      <c r="AR252" s="201"/>
      <c r="AS252" s="201"/>
      <c r="AT252" s="201"/>
      <c r="AU252" s="201"/>
      <c r="AV252" s="201"/>
      <c r="AW252" s="201"/>
      <c r="AX252" s="201"/>
      <c r="AY252" s="201"/>
      <c r="AZ252" s="201"/>
      <c r="BA252" s="201"/>
      <c r="BB252" s="201"/>
      <c r="BC252" s="201"/>
      <c r="BD252" s="465"/>
      <c r="BE252" s="465"/>
      <c r="BF252" s="465"/>
      <c r="BG252" s="465"/>
      <c r="BH252" s="465"/>
      <c r="BI252" s="465"/>
      <c r="BJ252" s="465"/>
      <c r="BK252" s="465"/>
      <c r="BL252" s="465"/>
      <c r="BM252" s="465"/>
      <c r="BN252" s="465"/>
      <c r="BO252" s="465"/>
      <c r="BP252" s="465"/>
      <c r="BQ252" s="465"/>
      <c r="BR252" s="465"/>
      <c r="BS252" s="465"/>
      <c r="BT252" s="465"/>
      <c r="BU252" s="465"/>
      <c r="BV252" s="465"/>
      <c r="BW252" s="465"/>
      <c r="BX252" s="465"/>
      <c r="BY252" s="465"/>
    </row>
    <row r="253" spans="2:77" s="28" customFormat="1">
      <c r="B253" s="201"/>
      <c r="D253" s="418"/>
      <c r="E253" s="29"/>
      <c r="G253" s="421"/>
      <c r="H253" s="422"/>
      <c r="I253" s="422"/>
      <c r="J253" s="422"/>
      <c r="K253" s="422"/>
      <c r="L253" s="422"/>
      <c r="P253" s="470"/>
      <c r="AJ253" s="31"/>
      <c r="AK253" s="31"/>
      <c r="AL253" s="32"/>
      <c r="AM253" s="33"/>
      <c r="AN253" s="32"/>
      <c r="AO253" s="33"/>
      <c r="AP253" s="32"/>
      <c r="AQ253" s="32"/>
      <c r="AR253" s="201"/>
      <c r="AS253" s="201"/>
      <c r="AT253" s="201"/>
      <c r="AU253" s="201"/>
      <c r="AV253" s="201"/>
      <c r="AW253" s="201"/>
      <c r="AX253" s="201"/>
      <c r="AY253" s="201"/>
      <c r="AZ253" s="201"/>
      <c r="BA253" s="201"/>
      <c r="BB253" s="201"/>
      <c r="BC253" s="201"/>
      <c r="BD253" s="465"/>
      <c r="BE253" s="465"/>
      <c r="BF253" s="465"/>
      <c r="BG253" s="465"/>
      <c r="BH253" s="465"/>
      <c r="BI253" s="465"/>
      <c r="BJ253" s="465"/>
      <c r="BK253" s="465"/>
      <c r="BL253" s="465"/>
      <c r="BM253" s="465"/>
      <c r="BN253" s="465"/>
      <c r="BO253" s="465"/>
      <c r="BP253" s="465"/>
      <c r="BQ253" s="465"/>
      <c r="BR253" s="465"/>
      <c r="BS253" s="465"/>
      <c r="BT253" s="465"/>
      <c r="BU253" s="465"/>
      <c r="BV253" s="465"/>
      <c r="BW253" s="465"/>
      <c r="BX253" s="465"/>
      <c r="BY253" s="465"/>
    </row>
    <row r="254" spans="2:77" s="28" customFormat="1">
      <c r="B254" s="201"/>
      <c r="D254" s="418"/>
      <c r="E254" s="29"/>
      <c r="G254" s="421"/>
      <c r="H254" s="422"/>
      <c r="I254" s="422"/>
      <c r="J254" s="422"/>
      <c r="K254" s="422"/>
      <c r="L254" s="422"/>
      <c r="P254" s="470"/>
      <c r="AJ254" s="31"/>
      <c r="AK254" s="31"/>
      <c r="AL254" s="32"/>
      <c r="AM254" s="33"/>
      <c r="AN254" s="32"/>
      <c r="AO254" s="33"/>
      <c r="AP254" s="32"/>
      <c r="AQ254" s="32"/>
      <c r="AR254" s="201"/>
      <c r="AS254" s="201"/>
      <c r="AT254" s="201"/>
      <c r="AU254" s="201"/>
      <c r="AV254" s="201"/>
      <c r="AW254" s="201"/>
      <c r="AX254" s="201"/>
      <c r="AY254" s="201"/>
      <c r="AZ254" s="201"/>
      <c r="BA254" s="201"/>
      <c r="BB254" s="201"/>
      <c r="BC254" s="201"/>
      <c r="BD254" s="465"/>
      <c r="BE254" s="465"/>
      <c r="BF254" s="465"/>
      <c r="BG254" s="465"/>
      <c r="BH254" s="465"/>
      <c r="BI254" s="465"/>
      <c r="BJ254" s="465"/>
      <c r="BK254" s="465"/>
      <c r="BL254" s="465"/>
      <c r="BM254" s="465"/>
      <c r="BN254" s="465"/>
      <c r="BO254" s="465"/>
      <c r="BP254" s="465"/>
      <c r="BQ254" s="465"/>
      <c r="BR254" s="465"/>
      <c r="BS254" s="465"/>
      <c r="BT254" s="465"/>
      <c r="BU254" s="465"/>
      <c r="BV254" s="465"/>
      <c r="BW254" s="465"/>
      <c r="BX254" s="465"/>
      <c r="BY254" s="465"/>
    </row>
    <row r="255" spans="2:77" s="28" customFormat="1">
      <c r="B255" s="201"/>
      <c r="D255" s="418"/>
      <c r="E255" s="29"/>
      <c r="G255" s="421"/>
      <c r="H255" s="422"/>
      <c r="I255" s="422"/>
      <c r="J255" s="422"/>
      <c r="K255" s="422"/>
      <c r="L255" s="422"/>
      <c r="P255" s="470"/>
      <c r="AJ255" s="31"/>
      <c r="AK255" s="31"/>
      <c r="AL255" s="32"/>
      <c r="AM255" s="33"/>
      <c r="AN255" s="32"/>
      <c r="AO255" s="33"/>
      <c r="AP255" s="32"/>
      <c r="AQ255" s="32"/>
      <c r="AR255" s="201"/>
      <c r="AS255" s="201"/>
      <c r="AT255" s="201"/>
      <c r="AU255" s="201"/>
      <c r="AV255" s="201"/>
      <c r="AW255" s="201"/>
      <c r="AX255" s="201"/>
      <c r="AY255" s="201"/>
      <c r="AZ255" s="201"/>
      <c r="BA255" s="201"/>
      <c r="BB255" s="201"/>
      <c r="BC255" s="201"/>
      <c r="BD255" s="465"/>
      <c r="BE255" s="465"/>
      <c r="BF255" s="465"/>
      <c r="BG255" s="465"/>
      <c r="BH255" s="465"/>
      <c r="BI255" s="465"/>
      <c r="BJ255" s="465"/>
      <c r="BK255" s="465"/>
      <c r="BL255" s="465"/>
      <c r="BM255" s="465"/>
      <c r="BN255" s="465"/>
      <c r="BO255" s="465"/>
      <c r="BP255" s="465"/>
      <c r="BQ255" s="465"/>
      <c r="BR255" s="465"/>
      <c r="BS255" s="465"/>
      <c r="BT255" s="465"/>
      <c r="BU255" s="465"/>
      <c r="BV255" s="465"/>
      <c r="BW255" s="465"/>
      <c r="BX255" s="465"/>
      <c r="BY255" s="465"/>
    </row>
    <row r="256" spans="2:77" s="28" customFormat="1">
      <c r="B256" s="201"/>
      <c r="D256" s="418"/>
      <c r="E256" s="29"/>
      <c r="G256" s="421"/>
      <c r="H256" s="422"/>
      <c r="I256" s="422"/>
      <c r="J256" s="422"/>
      <c r="K256" s="422"/>
      <c r="L256" s="422"/>
      <c r="P256" s="474"/>
      <c r="AJ256" s="31"/>
      <c r="AK256" s="31"/>
      <c r="AL256" s="32"/>
      <c r="AM256" s="33"/>
      <c r="AN256" s="32"/>
      <c r="AO256" s="33"/>
      <c r="AP256" s="32"/>
      <c r="AQ256" s="32"/>
      <c r="AR256" s="201"/>
      <c r="AS256" s="201"/>
      <c r="AT256" s="201"/>
      <c r="AU256" s="201"/>
      <c r="AV256" s="201"/>
      <c r="AW256" s="201"/>
      <c r="AX256" s="201"/>
      <c r="AY256" s="201"/>
      <c r="AZ256" s="201"/>
      <c r="BA256" s="201"/>
      <c r="BB256" s="201"/>
      <c r="BC256" s="201"/>
      <c r="BD256" s="465"/>
      <c r="BE256" s="465"/>
      <c r="BF256" s="465"/>
      <c r="BG256" s="465"/>
      <c r="BH256" s="465"/>
      <c r="BI256" s="465"/>
      <c r="BJ256" s="465"/>
      <c r="BK256" s="465"/>
      <c r="BL256" s="465"/>
      <c r="BM256" s="465"/>
      <c r="BN256" s="465"/>
      <c r="BO256" s="465"/>
      <c r="BP256" s="465"/>
      <c r="BQ256" s="465"/>
      <c r="BR256" s="465"/>
      <c r="BS256" s="465"/>
      <c r="BT256" s="465"/>
      <c r="BU256" s="465"/>
      <c r="BV256" s="465"/>
      <c r="BW256" s="465"/>
      <c r="BX256" s="465"/>
      <c r="BY256" s="465"/>
    </row>
    <row r="257" spans="2:77" s="28" customFormat="1">
      <c r="B257" s="201"/>
      <c r="D257" s="418"/>
      <c r="E257" s="29"/>
      <c r="G257" s="421"/>
      <c r="H257" s="422"/>
      <c r="I257" s="422"/>
      <c r="J257" s="422"/>
      <c r="K257" s="422"/>
      <c r="L257" s="422"/>
      <c r="P257" s="469"/>
      <c r="AJ257" s="31"/>
      <c r="AK257" s="31"/>
      <c r="AL257" s="32"/>
      <c r="AM257" s="33"/>
      <c r="AN257" s="32"/>
      <c r="AO257" s="33"/>
      <c r="AP257" s="32"/>
      <c r="AQ257" s="32"/>
      <c r="AR257" s="201"/>
      <c r="AS257" s="201"/>
      <c r="AT257" s="201"/>
      <c r="AU257" s="201"/>
      <c r="AV257" s="201"/>
      <c r="AW257" s="201"/>
      <c r="AX257" s="201"/>
      <c r="AY257" s="201"/>
      <c r="AZ257" s="201"/>
      <c r="BA257" s="201"/>
      <c r="BB257" s="201"/>
      <c r="BC257" s="201"/>
      <c r="BD257" s="465"/>
      <c r="BE257" s="465"/>
      <c r="BF257" s="465"/>
      <c r="BG257" s="465"/>
      <c r="BH257" s="465"/>
      <c r="BI257" s="465"/>
      <c r="BJ257" s="465"/>
      <c r="BK257" s="465"/>
      <c r="BL257" s="465"/>
      <c r="BM257" s="465"/>
      <c r="BN257" s="465"/>
      <c r="BO257" s="465"/>
      <c r="BP257" s="465"/>
      <c r="BQ257" s="465"/>
      <c r="BR257" s="465"/>
      <c r="BS257" s="465"/>
      <c r="BT257" s="465"/>
      <c r="BU257" s="465"/>
      <c r="BV257" s="465"/>
      <c r="BW257" s="465"/>
      <c r="BX257" s="465"/>
      <c r="BY257" s="465"/>
    </row>
    <row r="258" spans="2:77" s="28" customFormat="1">
      <c r="B258" s="201"/>
      <c r="D258" s="418"/>
      <c r="E258" s="29"/>
      <c r="G258" s="421"/>
      <c r="H258" s="422"/>
      <c r="I258" s="422"/>
      <c r="J258" s="422"/>
      <c r="K258" s="422"/>
      <c r="L258" s="422"/>
      <c r="P258" s="473"/>
      <c r="AJ258" s="31"/>
      <c r="AK258" s="31"/>
      <c r="AL258" s="32"/>
      <c r="AM258" s="33"/>
      <c r="AN258" s="32"/>
      <c r="AO258" s="33"/>
      <c r="AP258" s="32"/>
      <c r="AQ258" s="32"/>
      <c r="AR258" s="201"/>
      <c r="AS258" s="201"/>
      <c r="AT258" s="201"/>
      <c r="AU258" s="201"/>
      <c r="AV258" s="201"/>
      <c r="AW258" s="201"/>
      <c r="AX258" s="201"/>
      <c r="AY258" s="201"/>
      <c r="AZ258" s="201"/>
      <c r="BA258" s="201"/>
      <c r="BB258" s="201"/>
      <c r="BC258" s="201"/>
      <c r="BD258" s="465"/>
      <c r="BE258" s="465"/>
      <c r="BF258" s="465"/>
      <c r="BG258" s="465"/>
      <c r="BH258" s="465"/>
      <c r="BI258" s="465"/>
      <c r="BJ258" s="465"/>
      <c r="BK258" s="465"/>
      <c r="BL258" s="465"/>
      <c r="BM258" s="465"/>
      <c r="BN258" s="465"/>
      <c r="BO258" s="465"/>
      <c r="BP258" s="465"/>
      <c r="BQ258" s="465"/>
      <c r="BR258" s="465"/>
      <c r="BS258" s="465"/>
      <c r="BT258" s="465"/>
      <c r="BU258" s="465"/>
      <c r="BV258" s="465"/>
      <c r="BW258" s="465"/>
      <c r="BX258" s="465"/>
      <c r="BY258" s="465"/>
    </row>
    <row r="259" spans="2:77" s="28" customFormat="1">
      <c r="B259" s="201"/>
      <c r="D259" s="418"/>
      <c r="E259" s="29"/>
      <c r="G259" s="421"/>
      <c r="H259" s="422"/>
      <c r="I259" s="422"/>
      <c r="J259" s="422"/>
      <c r="K259" s="422"/>
      <c r="L259" s="422"/>
      <c r="P259" s="473"/>
      <c r="AJ259" s="31"/>
      <c r="AK259" s="31"/>
      <c r="AL259" s="32"/>
      <c r="AM259" s="33"/>
      <c r="AN259" s="32"/>
      <c r="AO259" s="33"/>
      <c r="AP259" s="32"/>
      <c r="AQ259" s="32"/>
      <c r="AR259" s="201"/>
      <c r="AS259" s="201"/>
      <c r="AT259" s="201"/>
      <c r="AU259" s="201"/>
      <c r="AV259" s="201"/>
      <c r="AW259" s="201"/>
      <c r="AX259" s="201"/>
      <c r="AY259" s="201"/>
      <c r="AZ259" s="201"/>
      <c r="BA259" s="201"/>
      <c r="BB259" s="201"/>
      <c r="BC259" s="201"/>
      <c r="BD259" s="465"/>
      <c r="BE259" s="465"/>
      <c r="BF259" s="465"/>
      <c r="BG259" s="465"/>
      <c r="BH259" s="465"/>
      <c r="BI259" s="465"/>
      <c r="BJ259" s="465"/>
      <c r="BK259" s="465"/>
      <c r="BL259" s="465"/>
      <c r="BM259" s="465"/>
      <c r="BN259" s="465"/>
      <c r="BO259" s="465"/>
      <c r="BP259" s="465"/>
      <c r="BQ259" s="465"/>
      <c r="BR259" s="465"/>
      <c r="BS259" s="465"/>
      <c r="BT259" s="465"/>
      <c r="BU259" s="465"/>
      <c r="BV259" s="465"/>
      <c r="BW259" s="465"/>
      <c r="BX259" s="465"/>
      <c r="BY259" s="465"/>
    </row>
    <row r="260" spans="2:77" s="28" customFormat="1">
      <c r="B260" s="201"/>
      <c r="D260" s="418"/>
      <c r="E260" s="29"/>
      <c r="G260" s="421"/>
      <c r="H260" s="422"/>
      <c r="I260" s="422"/>
      <c r="J260" s="422"/>
      <c r="K260" s="422"/>
      <c r="L260" s="422"/>
      <c r="P260" s="472"/>
      <c r="AJ260" s="31"/>
      <c r="AK260" s="31"/>
      <c r="AL260" s="32"/>
      <c r="AM260" s="33"/>
      <c r="AN260" s="32"/>
      <c r="AO260" s="33"/>
      <c r="AP260" s="32"/>
      <c r="AQ260" s="32"/>
      <c r="AR260" s="201"/>
      <c r="AS260" s="201"/>
      <c r="AT260" s="201"/>
      <c r="AU260" s="201"/>
      <c r="AV260" s="201"/>
      <c r="AW260" s="201"/>
      <c r="AX260" s="201"/>
      <c r="AY260" s="201"/>
      <c r="AZ260" s="201"/>
      <c r="BA260" s="201"/>
      <c r="BB260" s="201"/>
      <c r="BC260" s="201"/>
      <c r="BD260" s="465"/>
      <c r="BE260" s="465"/>
      <c r="BF260" s="465"/>
      <c r="BG260" s="465"/>
      <c r="BH260" s="465"/>
      <c r="BI260" s="465"/>
      <c r="BJ260" s="465"/>
      <c r="BK260" s="465"/>
      <c r="BL260" s="465"/>
      <c r="BM260" s="465"/>
      <c r="BN260" s="465"/>
      <c r="BO260" s="465"/>
      <c r="BP260" s="465"/>
      <c r="BQ260" s="465"/>
      <c r="BR260" s="465"/>
      <c r="BS260" s="465"/>
      <c r="BT260" s="465"/>
      <c r="BU260" s="465"/>
      <c r="BV260" s="465"/>
      <c r="BW260" s="465"/>
      <c r="BX260" s="465"/>
      <c r="BY260" s="465"/>
    </row>
    <row r="261" spans="2:77" s="28" customFormat="1">
      <c r="B261" s="201"/>
      <c r="D261" s="418"/>
      <c r="E261" s="29"/>
      <c r="G261" s="421"/>
      <c r="H261" s="422"/>
      <c r="I261" s="422"/>
      <c r="J261" s="422"/>
      <c r="K261" s="422"/>
      <c r="L261" s="422"/>
      <c r="P261" s="473"/>
      <c r="AJ261" s="31"/>
      <c r="AK261" s="31"/>
      <c r="AL261" s="32"/>
      <c r="AM261" s="33"/>
      <c r="AN261" s="32"/>
      <c r="AO261" s="33"/>
      <c r="AP261" s="32"/>
      <c r="AQ261" s="32"/>
      <c r="AR261" s="201"/>
      <c r="AS261" s="201"/>
      <c r="AT261" s="201"/>
      <c r="AU261" s="201"/>
      <c r="AV261" s="201"/>
      <c r="AW261" s="201"/>
      <c r="AX261" s="201"/>
      <c r="AY261" s="201"/>
      <c r="AZ261" s="201"/>
      <c r="BA261" s="201"/>
      <c r="BB261" s="201"/>
      <c r="BC261" s="201"/>
      <c r="BD261" s="465"/>
      <c r="BE261" s="465"/>
      <c r="BF261" s="465"/>
      <c r="BG261" s="465"/>
      <c r="BH261" s="465"/>
      <c r="BI261" s="465"/>
      <c r="BJ261" s="465"/>
      <c r="BK261" s="465"/>
      <c r="BL261" s="465"/>
      <c r="BM261" s="465"/>
      <c r="BN261" s="465"/>
      <c r="BO261" s="465"/>
      <c r="BP261" s="465"/>
      <c r="BQ261" s="465"/>
      <c r="BR261" s="465"/>
      <c r="BS261" s="465"/>
      <c r="BT261" s="465"/>
      <c r="BU261" s="465"/>
      <c r="BV261" s="465"/>
      <c r="BW261" s="465"/>
      <c r="BX261" s="465"/>
      <c r="BY261" s="465"/>
    </row>
    <row r="262" spans="2:77" s="28" customFormat="1">
      <c r="B262" s="201"/>
      <c r="D262" s="418"/>
      <c r="E262" s="29"/>
      <c r="G262" s="421"/>
      <c r="H262" s="422"/>
      <c r="I262" s="422"/>
      <c r="J262" s="422"/>
      <c r="K262" s="422"/>
      <c r="L262" s="422"/>
      <c r="P262" s="472"/>
      <c r="AJ262" s="31"/>
      <c r="AK262" s="31"/>
      <c r="AL262" s="32"/>
      <c r="AM262" s="33"/>
      <c r="AN262" s="32"/>
      <c r="AO262" s="33"/>
      <c r="AP262" s="32"/>
      <c r="AQ262" s="32"/>
      <c r="AR262" s="201"/>
      <c r="AS262" s="201"/>
      <c r="AT262" s="201"/>
      <c r="AU262" s="201"/>
      <c r="AV262" s="201"/>
      <c r="AW262" s="201"/>
      <c r="AX262" s="201"/>
      <c r="AY262" s="201"/>
      <c r="AZ262" s="201"/>
      <c r="BA262" s="201"/>
      <c r="BB262" s="201"/>
      <c r="BC262" s="201"/>
      <c r="BD262" s="465"/>
      <c r="BE262" s="465"/>
      <c r="BF262" s="465"/>
      <c r="BG262" s="465"/>
      <c r="BH262" s="465"/>
      <c r="BI262" s="465"/>
      <c r="BJ262" s="465"/>
      <c r="BK262" s="465"/>
      <c r="BL262" s="465"/>
      <c r="BM262" s="465"/>
      <c r="BN262" s="465"/>
      <c r="BO262" s="465"/>
      <c r="BP262" s="465"/>
      <c r="BQ262" s="465"/>
      <c r="BR262" s="465"/>
      <c r="BS262" s="465"/>
      <c r="BT262" s="465"/>
      <c r="BU262" s="465"/>
      <c r="BV262" s="465"/>
      <c r="BW262" s="465"/>
      <c r="BX262" s="465"/>
      <c r="BY262" s="465"/>
    </row>
    <row r="263" spans="2:77" s="28" customFormat="1">
      <c r="B263" s="201"/>
      <c r="D263" s="418"/>
      <c r="E263" s="29"/>
      <c r="G263" s="421"/>
      <c r="H263" s="422"/>
      <c r="I263" s="422"/>
      <c r="J263" s="422"/>
      <c r="K263" s="422"/>
      <c r="L263" s="422"/>
      <c r="P263" s="474"/>
      <c r="AJ263" s="31"/>
      <c r="AK263" s="31"/>
      <c r="AL263" s="32"/>
      <c r="AM263" s="33"/>
      <c r="AN263" s="32"/>
      <c r="AO263" s="33"/>
      <c r="AP263" s="32"/>
      <c r="AQ263" s="32"/>
      <c r="AR263" s="201"/>
      <c r="AS263" s="201"/>
      <c r="AT263" s="201"/>
      <c r="AU263" s="201"/>
      <c r="AV263" s="201"/>
      <c r="AW263" s="201"/>
      <c r="AX263" s="201"/>
      <c r="AY263" s="201"/>
      <c r="AZ263" s="201"/>
      <c r="BA263" s="201"/>
      <c r="BB263" s="201"/>
      <c r="BC263" s="201"/>
      <c r="BD263" s="465"/>
      <c r="BE263" s="465"/>
      <c r="BF263" s="465"/>
      <c r="BG263" s="465"/>
      <c r="BH263" s="465"/>
      <c r="BI263" s="465"/>
      <c r="BJ263" s="465"/>
      <c r="BK263" s="465"/>
      <c r="BL263" s="465"/>
      <c r="BM263" s="465"/>
      <c r="BN263" s="465"/>
      <c r="BO263" s="465"/>
      <c r="BP263" s="465"/>
      <c r="BQ263" s="465"/>
      <c r="BR263" s="465"/>
      <c r="BS263" s="465"/>
      <c r="BT263" s="465"/>
      <c r="BU263" s="465"/>
      <c r="BV263" s="465"/>
      <c r="BW263" s="465"/>
      <c r="BX263" s="465"/>
      <c r="BY263" s="465"/>
    </row>
    <row r="264" spans="2:77" s="28" customFormat="1">
      <c r="B264" s="201"/>
      <c r="D264" s="418"/>
      <c r="E264" s="29"/>
      <c r="G264" s="421"/>
      <c r="H264" s="422"/>
      <c r="I264" s="422"/>
      <c r="J264" s="422"/>
      <c r="K264" s="422"/>
      <c r="L264" s="422"/>
      <c r="P264" s="474"/>
      <c r="AJ264" s="31"/>
      <c r="AK264" s="31"/>
      <c r="AL264" s="32"/>
      <c r="AM264" s="33"/>
      <c r="AN264" s="32"/>
      <c r="AO264" s="33"/>
      <c r="AP264" s="32"/>
      <c r="AQ264" s="32"/>
      <c r="AR264" s="201"/>
      <c r="AS264" s="201"/>
      <c r="AT264" s="201"/>
      <c r="AU264" s="201"/>
      <c r="AV264" s="201"/>
      <c r="AW264" s="201"/>
      <c r="AX264" s="201"/>
      <c r="AY264" s="201"/>
      <c r="AZ264" s="201"/>
      <c r="BA264" s="201"/>
      <c r="BB264" s="201"/>
      <c r="BC264" s="201"/>
      <c r="BD264" s="465"/>
      <c r="BE264" s="465"/>
      <c r="BF264" s="465"/>
      <c r="BG264" s="465"/>
      <c r="BH264" s="465"/>
      <c r="BI264" s="465"/>
      <c r="BJ264" s="465"/>
      <c r="BK264" s="465"/>
      <c r="BL264" s="465"/>
      <c r="BM264" s="465"/>
      <c r="BN264" s="465"/>
      <c r="BO264" s="465"/>
      <c r="BP264" s="465"/>
      <c r="BQ264" s="465"/>
      <c r="BR264" s="465"/>
      <c r="BS264" s="465"/>
      <c r="BT264" s="465"/>
      <c r="BU264" s="465"/>
      <c r="BV264" s="465"/>
      <c r="BW264" s="465"/>
      <c r="BX264" s="465"/>
      <c r="BY264" s="465"/>
    </row>
    <row r="265" spans="2:77" s="28" customFormat="1">
      <c r="B265" s="201"/>
      <c r="D265" s="418"/>
      <c r="E265" s="29"/>
      <c r="G265" s="421"/>
      <c r="H265" s="422"/>
      <c r="I265" s="422"/>
      <c r="J265" s="422"/>
      <c r="K265" s="422"/>
      <c r="L265" s="422"/>
      <c r="P265" s="470"/>
      <c r="AJ265" s="31"/>
      <c r="AK265" s="31"/>
      <c r="AL265" s="32"/>
      <c r="AM265" s="33"/>
      <c r="AN265" s="32"/>
      <c r="AO265" s="33"/>
      <c r="AP265" s="32"/>
      <c r="AQ265" s="32"/>
      <c r="AR265" s="201"/>
      <c r="AS265" s="201"/>
      <c r="AT265" s="201"/>
      <c r="AU265" s="201"/>
      <c r="AV265" s="201"/>
      <c r="AW265" s="201"/>
      <c r="AX265" s="201"/>
      <c r="AY265" s="201"/>
      <c r="AZ265" s="201"/>
      <c r="BA265" s="201"/>
      <c r="BB265" s="201"/>
      <c r="BC265" s="201"/>
      <c r="BD265" s="465"/>
      <c r="BE265" s="465"/>
      <c r="BF265" s="465"/>
      <c r="BG265" s="465"/>
      <c r="BH265" s="465"/>
      <c r="BI265" s="465"/>
      <c r="BJ265" s="465"/>
      <c r="BK265" s="465"/>
      <c r="BL265" s="465"/>
      <c r="BM265" s="465"/>
      <c r="BN265" s="465"/>
      <c r="BO265" s="465"/>
      <c r="BP265" s="465"/>
      <c r="BQ265" s="465"/>
      <c r="BR265" s="465"/>
      <c r="BS265" s="465"/>
      <c r="BT265" s="465"/>
      <c r="BU265" s="465"/>
      <c r="BV265" s="465"/>
      <c r="BW265" s="465"/>
      <c r="BX265" s="465"/>
      <c r="BY265" s="465"/>
    </row>
    <row r="266" spans="2:77" s="28" customFormat="1">
      <c r="B266" s="201"/>
      <c r="D266" s="418"/>
      <c r="E266" s="29"/>
      <c r="G266" s="421"/>
      <c r="H266" s="422"/>
      <c r="I266" s="422"/>
      <c r="J266" s="422"/>
      <c r="K266" s="422"/>
      <c r="L266" s="422"/>
      <c r="P266" s="470"/>
      <c r="AJ266" s="31"/>
      <c r="AK266" s="31"/>
      <c r="AL266" s="32"/>
      <c r="AM266" s="33"/>
      <c r="AN266" s="32"/>
      <c r="AO266" s="33"/>
      <c r="AP266" s="32"/>
      <c r="AQ266" s="32"/>
      <c r="AR266" s="201"/>
      <c r="AS266" s="201"/>
      <c r="AT266" s="201"/>
      <c r="AU266" s="201"/>
      <c r="AV266" s="201"/>
      <c r="AW266" s="201"/>
      <c r="AX266" s="201"/>
      <c r="AY266" s="201"/>
      <c r="AZ266" s="201"/>
      <c r="BA266" s="201"/>
      <c r="BB266" s="201"/>
      <c r="BC266" s="201"/>
      <c r="BD266" s="465"/>
      <c r="BE266" s="465"/>
      <c r="BF266" s="465"/>
      <c r="BG266" s="465"/>
      <c r="BH266" s="465"/>
      <c r="BI266" s="465"/>
      <c r="BJ266" s="465"/>
      <c r="BK266" s="465"/>
      <c r="BL266" s="465"/>
      <c r="BM266" s="465"/>
      <c r="BN266" s="465"/>
      <c r="BO266" s="465"/>
      <c r="BP266" s="465"/>
      <c r="BQ266" s="465"/>
      <c r="BR266" s="465"/>
      <c r="BS266" s="465"/>
      <c r="BT266" s="465"/>
      <c r="BU266" s="465"/>
      <c r="BV266" s="465"/>
      <c r="BW266" s="465"/>
      <c r="BX266" s="465"/>
      <c r="BY266" s="465"/>
    </row>
    <row r="267" spans="2:77" s="28" customFormat="1">
      <c r="B267" s="201"/>
      <c r="D267" s="418"/>
      <c r="E267" s="29"/>
      <c r="G267" s="421"/>
      <c r="H267" s="422"/>
      <c r="I267" s="422"/>
      <c r="J267" s="422"/>
      <c r="K267" s="422"/>
      <c r="L267" s="422"/>
      <c r="P267" s="473"/>
      <c r="AJ267" s="31"/>
      <c r="AK267" s="31"/>
      <c r="AL267" s="32"/>
      <c r="AM267" s="33"/>
      <c r="AN267" s="32"/>
      <c r="AO267" s="33"/>
      <c r="AP267" s="32"/>
      <c r="AQ267" s="32"/>
      <c r="AR267" s="201"/>
      <c r="AS267" s="201"/>
      <c r="AT267" s="201"/>
      <c r="AU267" s="201"/>
      <c r="AV267" s="201"/>
      <c r="AW267" s="201"/>
      <c r="AX267" s="201"/>
      <c r="AY267" s="201"/>
      <c r="AZ267" s="201"/>
      <c r="BA267" s="201"/>
      <c r="BB267" s="201"/>
      <c r="BC267" s="201"/>
      <c r="BD267" s="465"/>
      <c r="BE267" s="465"/>
      <c r="BF267" s="465"/>
      <c r="BG267" s="465"/>
      <c r="BH267" s="465"/>
      <c r="BI267" s="465"/>
      <c r="BJ267" s="465"/>
      <c r="BK267" s="465"/>
      <c r="BL267" s="465"/>
      <c r="BM267" s="465"/>
      <c r="BN267" s="465"/>
      <c r="BO267" s="465"/>
      <c r="BP267" s="465"/>
      <c r="BQ267" s="465"/>
      <c r="BR267" s="465"/>
      <c r="BS267" s="465"/>
      <c r="BT267" s="465"/>
      <c r="BU267" s="465"/>
      <c r="BV267" s="465"/>
      <c r="BW267" s="465"/>
      <c r="BX267" s="465"/>
      <c r="BY267" s="465"/>
    </row>
    <row r="268" spans="2:77" s="28" customFormat="1">
      <c r="B268" s="201"/>
      <c r="D268" s="418"/>
      <c r="E268" s="29"/>
      <c r="G268" s="421"/>
      <c r="H268" s="422"/>
      <c r="I268" s="422"/>
      <c r="J268" s="422"/>
      <c r="K268" s="422"/>
      <c r="L268" s="422"/>
      <c r="P268" s="470"/>
      <c r="AJ268" s="31"/>
      <c r="AK268" s="31"/>
      <c r="AL268" s="32"/>
      <c r="AM268" s="33"/>
      <c r="AN268" s="32"/>
      <c r="AO268" s="33"/>
      <c r="AP268" s="32"/>
      <c r="AQ268" s="32"/>
      <c r="AR268" s="201"/>
      <c r="AS268" s="201"/>
      <c r="AT268" s="201"/>
      <c r="AU268" s="201"/>
      <c r="AV268" s="201"/>
      <c r="AW268" s="201"/>
      <c r="AX268" s="201"/>
      <c r="AY268" s="201"/>
      <c r="AZ268" s="201"/>
      <c r="BA268" s="201"/>
      <c r="BB268" s="201"/>
      <c r="BC268" s="201"/>
      <c r="BD268" s="465"/>
      <c r="BE268" s="465"/>
      <c r="BF268" s="465"/>
      <c r="BG268" s="465"/>
      <c r="BH268" s="465"/>
      <c r="BI268" s="465"/>
      <c r="BJ268" s="465"/>
      <c r="BK268" s="465"/>
      <c r="BL268" s="465"/>
      <c r="BM268" s="465"/>
      <c r="BN268" s="465"/>
      <c r="BO268" s="465"/>
      <c r="BP268" s="465"/>
      <c r="BQ268" s="465"/>
      <c r="BR268" s="465"/>
      <c r="BS268" s="465"/>
      <c r="BT268" s="465"/>
      <c r="BU268" s="465"/>
      <c r="BV268" s="465"/>
      <c r="BW268" s="465"/>
      <c r="BX268" s="465"/>
      <c r="BY268" s="465"/>
    </row>
    <row r="269" spans="2:77" s="28" customFormat="1">
      <c r="B269" s="201"/>
      <c r="D269" s="418"/>
      <c r="E269" s="29"/>
      <c r="G269" s="421"/>
      <c r="H269" s="422"/>
      <c r="I269" s="422"/>
      <c r="J269" s="422"/>
      <c r="K269" s="422"/>
      <c r="L269" s="422"/>
      <c r="P269" s="475"/>
      <c r="AJ269" s="31"/>
      <c r="AK269" s="31"/>
      <c r="AL269" s="32"/>
      <c r="AM269" s="33"/>
      <c r="AN269" s="32"/>
      <c r="AO269" s="33"/>
      <c r="AP269" s="32"/>
      <c r="AQ269" s="32"/>
      <c r="AR269" s="201"/>
      <c r="AS269" s="201"/>
      <c r="AT269" s="201"/>
      <c r="AU269" s="201"/>
      <c r="AV269" s="201"/>
      <c r="AW269" s="201"/>
      <c r="AX269" s="201"/>
      <c r="AY269" s="201"/>
      <c r="AZ269" s="201"/>
      <c r="BA269" s="201"/>
      <c r="BB269" s="201"/>
      <c r="BC269" s="201"/>
      <c r="BD269" s="465"/>
      <c r="BE269" s="465"/>
      <c r="BF269" s="465"/>
      <c r="BG269" s="465"/>
      <c r="BH269" s="465"/>
      <c r="BI269" s="465"/>
      <c r="BJ269" s="465"/>
      <c r="BK269" s="465"/>
      <c r="BL269" s="465"/>
      <c r="BM269" s="465"/>
      <c r="BN269" s="465"/>
      <c r="BO269" s="465"/>
      <c r="BP269" s="465"/>
      <c r="BQ269" s="465"/>
      <c r="BR269" s="465"/>
      <c r="BS269" s="465"/>
      <c r="BT269" s="465"/>
      <c r="BU269" s="465"/>
      <c r="BV269" s="465"/>
      <c r="BW269" s="465"/>
      <c r="BX269" s="465"/>
      <c r="BY269" s="465"/>
    </row>
    <row r="270" spans="2:77" s="28" customFormat="1">
      <c r="B270" s="201"/>
      <c r="D270" s="418"/>
      <c r="E270" s="29"/>
      <c r="G270" s="421"/>
      <c r="H270" s="422"/>
      <c r="I270" s="422"/>
      <c r="J270" s="422"/>
      <c r="K270" s="422"/>
      <c r="L270" s="422"/>
      <c r="P270" s="471"/>
      <c r="AJ270" s="31"/>
      <c r="AK270" s="31"/>
      <c r="AL270" s="32"/>
      <c r="AM270" s="33"/>
      <c r="AN270" s="32"/>
      <c r="AO270" s="33"/>
      <c r="AP270" s="32"/>
      <c r="AQ270" s="32"/>
      <c r="AR270" s="201"/>
      <c r="AS270" s="201"/>
      <c r="AT270" s="201"/>
      <c r="AU270" s="201"/>
      <c r="AV270" s="201"/>
      <c r="AW270" s="201"/>
      <c r="AX270" s="201"/>
      <c r="AY270" s="201"/>
      <c r="AZ270" s="201"/>
      <c r="BA270" s="201"/>
      <c r="BB270" s="201"/>
      <c r="BC270" s="201"/>
      <c r="BD270" s="465"/>
      <c r="BE270" s="465"/>
      <c r="BF270" s="465"/>
      <c r="BG270" s="465"/>
      <c r="BH270" s="465"/>
      <c r="BI270" s="465"/>
      <c r="BJ270" s="465"/>
      <c r="BK270" s="465"/>
      <c r="BL270" s="465"/>
      <c r="BM270" s="465"/>
      <c r="BN270" s="465"/>
      <c r="BO270" s="465"/>
      <c r="BP270" s="465"/>
      <c r="BQ270" s="465"/>
      <c r="BR270" s="465"/>
      <c r="BS270" s="465"/>
      <c r="BT270" s="465"/>
      <c r="BU270" s="465"/>
      <c r="BV270" s="465"/>
      <c r="BW270" s="465"/>
      <c r="BX270" s="465"/>
      <c r="BY270" s="465"/>
    </row>
    <row r="271" spans="2:77" s="28" customFormat="1">
      <c r="B271" s="201"/>
      <c r="D271" s="418"/>
      <c r="E271" s="29"/>
      <c r="G271" s="421"/>
      <c r="H271" s="422"/>
      <c r="I271" s="422"/>
      <c r="J271" s="422"/>
      <c r="K271" s="422"/>
      <c r="L271" s="422"/>
      <c r="P271" s="473"/>
      <c r="AJ271" s="31"/>
      <c r="AK271" s="31"/>
      <c r="AL271" s="32"/>
      <c r="AM271" s="33"/>
      <c r="AN271" s="32"/>
      <c r="AO271" s="33"/>
      <c r="AP271" s="32"/>
      <c r="AQ271" s="32"/>
      <c r="AR271" s="201"/>
      <c r="AS271" s="201"/>
      <c r="AT271" s="201"/>
      <c r="AU271" s="201"/>
      <c r="AV271" s="201"/>
      <c r="AW271" s="201"/>
      <c r="AX271" s="201"/>
      <c r="AY271" s="201"/>
      <c r="AZ271" s="201"/>
      <c r="BA271" s="201"/>
      <c r="BB271" s="201"/>
      <c r="BC271" s="201"/>
      <c r="BD271" s="465"/>
      <c r="BE271" s="465"/>
      <c r="BF271" s="465"/>
      <c r="BG271" s="465"/>
      <c r="BH271" s="465"/>
      <c r="BI271" s="465"/>
      <c r="BJ271" s="465"/>
      <c r="BK271" s="465"/>
      <c r="BL271" s="465"/>
      <c r="BM271" s="465"/>
      <c r="BN271" s="465"/>
      <c r="BO271" s="465"/>
      <c r="BP271" s="465"/>
      <c r="BQ271" s="465"/>
      <c r="BR271" s="465"/>
      <c r="BS271" s="465"/>
      <c r="BT271" s="465"/>
      <c r="BU271" s="465"/>
      <c r="BV271" s="465"/>
      <c r="BW271" s="465"/>
      <c r="BX271" s="465"/>
      <c r="BY271" s="465"/>
    </row>
    <row r="272" spans="2:77" s="28" customFormat="1">
      <c r="B272" s="201"/>
      <c r="D272" s="418"/>
      <c r="E272" s="29"/>
      <c r="G272" s="421"/>
      <c r="H272" s="422"/>
      <c r="I272" s="422"/>
      <c r="J272" s="422"/>
      <c r="K272" s="422"/>
      <c r="L272" s="422"/>
      <c r="P272" s="473"/>
      <c r="AJ272" s="31"/>
      <c r="AK272" s="31"/>
      <c r="AL272" s="32"/>
      <c r="AM272" s="33"/>
      <c r="AN272" s="32"/>
      <c r="AO272" s="33"/>
      <c r="AP272" s="32"/>
      <c r="AQ272" s="32"/>
      <c r="AR272" s="201"/>
      <c r="AS272" s="201"/>
      <c r="AT272" s="201"/>
      <c r="AU272" s="201"/>
      <c r="AV272" s="201"/>
      <c r="AW272" s="201"/>
      <c r="AX272" s="201"/>
      <c r="AY272" s="201"/>
      <c r="AZ272" s="201"/>
      <c r="BA272" s="201"/>
      <c r="BB272" s="201"/>
      <c r="BC272" s="201"/>
      <c r="BD272" s="465"/>
      <c r="BE272" s="465"/>
      <c r="BF272" s="465"/>
      <c r="BG272" s="465"/>
      <c r="BH272" s="465"/>
      <c r="BI272" s="465"/>
      <c r="BJ272" s="465"/>
      <c r="BK272" s="465"/>
      <c r="BL272" s="465"/>
      <c r="BM272" s="465"/>
      <c r="BN272" s="465"/>
      <c r="BO272" s="465"/>
      <c r="BP272" s="465"/>
      <c r="BQ272" s="465"/>
      <c r="BR272" s="465"/>
      <c r="BS272" s="465"/>
      <c r="BT272" s="465"/>
      <c r="BU272" s="465"/>
      <c r="BV272" s="465"/>
      <c r="BW272" s="465"/>
      <c r="BX272" s="465"/>
      <c r="BY272" s="465"/>
    </row>
    <row r="273" spans="2:77" s="28" customFormat="1">
      <c r="B273" s="201"/>
      <c r="D273" s="418"/>
      <c r="E273" s="29"/>
      <c r="G273" s="421"/>
      <c r="H273" s="422"/>
      <c r="I273" s="422"/>
      <c r="J273" s="422"/>
      <c r="K273" s="422"/>
      <c r="L273" s="422"/>
      <c r="P273" s="470"/>
      <c r="AJ273" s="31"/>
      <c r="AK273" s="31"/>
      <c r="AL273" s="32"/>
      <c r="AM273" s="33"/>
      <c r="AN273" s="32"/>
      <c r="AO273" s="33"/>
      <c r="AP273" s="32"/>
      <c r="AQ273" s="32"/>
      <c r="AR273" s="201"/>
      <c r="AS273" s="201"/>
      <c r="AT273" s="201"/>
      <c r="AU273" s="201"/>
      <c r="AV273" s="201"/>
      <c r="AW273" s="201"/>
      <c r="AX273" s="201"/>
      <c r="AY273" s="201"/>
      <c r="AZ273" s="201"/>
      <c r="BA273" s="201"/>
      <c r="BB273" s="201"/>
      <c r="BC273" s="201"/>
      <c r="BD273" s="465"/>
      <c r="BE273" s="465"/>
      <c r="BF273" s="465"/>
      <c r="BG273" s="465"/>
      <c r="BH273" s="465"/>
      <c r="BI273" s="465"/>
      <c r="BJ273" s="465"/>
      <c r="BK273" s="465"/>
      <c r="BL273" s="465"/>
      <c r="BM273" s="465"/>
      <c r="BN273" s="465"/>
      <c r="BO273" s="465"/>
      <c r="BP273" s="465"/>
      <c r="BQ273" s="465"/>
      <c r="BR273" s="465"/>
      <c r="BS273" s="465"/>
      <c r="BT273" s="465"/>
      <c r="BU273" s="465"/>
      <c r="BV273" s="465"/>
      <c r="BW273" s="465"/>
      <c r="BX273" s="465"/>
      <c r="BY273" s="465"/>
    </row>
    <row r="274" spans="2:77" s="28" customFormat="1">
      <c r="B274" s="201"/>
      <c r="D274" s="418"/>
      <c r="E274" s="29"/>
      <c r="G274" s="421"/>
      <c r="H274" s="422"/>
      <c r="I274" s="422"/>
      <c r="J274" s="422"/>
      <c r="K274" s="422"/>
      <c r="L274" s="422"/>
      <c r="P274" s="473"/>
      <c r="AJ274" s="31"/>
      <c r="AK274" s="31"/>
      <c r="AL274" s="32"/>
      <c r="AM274" s="33"/>
      <c r="AN274" s="32"/>
      <c r="AO274" s="33"/>
      <c r="AP274" s="32"/>
      <c r="AQ274" s="32"/>
      <c r="AR274" s="201"/>
      <c r="AS274" s="201"/>
      <c r="AT274" s="201"/>
      <c r="AU274" s="201"/>
      <c r="AV274" s="201"/>
      <c r="AW274" s="201"/>
      <c r="AX274" s="201"/>
      <c r="AY274" s="201"/>
      <c r="AZ274" s="201"/>
      <c r="BA274" s="201"/>
      <c r="BB274" s="201"/>
      <c r="BC274" s="201"/>
      <c r="BD274" s="465"/>
      <c r="BE274" s="465"/>
      <c r="BF274" s="465"/>
      <c r="BG274" s="465"/>
      <c r="BH274" s="465"/>
      <c r="BI274" s="465"/>
      <c r="BJ274" s="465"/>
      <c r="BK274" s="465"/>
      <c r="BL274" s="465"/>
      <c r="BM274" s="465"/>
      <c r="BN274" s="465"/>
      <c r="BO274" s="465"/>
      <c r="BP274" s="465"/>
      <c r="BQ274" s="465"/>
      <c r="BR274" s="465"/>
      <c r="BS274" s="465"/>
      <c r="BT274" s="465"/>
      <c r="BU274" s="465"/>
      <c r="BV274" s="465"/>
      <c r="BW274" s="465"/>
      <c r="BX274" s="465"/>
      <c r="BY274" s="465"/>
    </row>
    <row r="275" spans="2:77" s="28" customFormat="1">
      <c r="B275" s="201"/>
      <c r="D275" s="418"/>
      <c r="E275" s="29"/>
      <c r="G275" s="421"/>
      <c r="H275" s="422"/>
      <c r="I275" s="422"/>
      <c r="J275" s="422"/>
      <c r="K275" s="422"/>
      <c r="L275" s="422"/>
      <c r="P275" s="473"/>
      <c r="AJ275" s="31"/>
      <c r="AK275" s="31"/>
      <c r="AL275" s="32"/>
      <c r="AM275" s="33"/>
      <c r="AN275" s="32"/>
      <c r="AO275" s="33"/>
      <c r="AP275" s="32"/>
      <c r="AQ275" s="32"/>
      <c r="AR275" s="201"/>
      <c r="AS275" s="201"/>
      <c r="AT275" s="201"/>
      <c r="AU275" s="201"/>
      <c r="AV275" s="201"/>
      <c r="AW275" s="201"/>
      <c r="AX275" s="201"/>
      <c r="AY275" s="201"/>
      <c r="AZ275" s="201"/>
      <c r="BA275" s="201"/>
      <c r="BB275" s="201"/>
      <c r="BC275" s="201"/>
      <c r="BD275" s="465"/>
      <c r="BE275" s="465"/>
      <c r="BF275" s="465"/>
      <c r="BG275" s="465"/>
      <c r="BH275" s="465"/>
      <c r="BI275" s="465"/>
      <c r="BJ275" s="465"/>
      <c r="BK275" s="465"/>
      <c r="BL275" s="465"/>
      <c r="BM275" s="465"/>
      <c r="BN275" s="465"/>
      <c r="BO275" s="465"/>
      <c r="BP275" s="465"/>
      <c r="BQ275" s="465"/>
      <c r="BR275" s="465"/>
      <c r="BS275" s="465"/>
      <c r="BT275" s="465"/>
      <c r="BU275" s="465"/>
      <c r="BV275" s="465"/>
      <c r="BW275" s="465"/>
      <c r="BX275" s="465"/>
      <c r="BY275" s="465"/>
    </row>
    <row r="276" spans="2:77" s="28" customFormat="1">
      <c r="B276" s="201"/>
      <c r="D276" s="418"/>
      <c r="E276" s="29"/>
      <c r="G276" s="421"/>
      <c r="H276" s="422"/>
      <c r="I276" s="422"/>
      <c r="J276" s="422"/>
      <c r="K276" s="422"/>
      <c r="L276" s="422"/>
      <c r="P276" s="470"/>
      <c r="AJ276" s="31"/>
      <c r="AK276" s="31"/>
      <c r="AL276" s="32"/>
      <c r="AM276" s="33"/>
      <c r="AN276" s="32"/>
      <c r="AO276" s="33"/>
      <c r="AP276" s="32"/>
      <c r="AQ276" s="32"/>
      <c r="AR276" s="201"/>
      <c r="AS276" s="201"/>
      <c r="AT276" s="201"/>
      <c r="AU276" s="201"/>
      <c r="AV276" s="201"/>
      <c r="AW276" s="201"/>
      <c r="AX276" s="201"/>
      <c r="AY276" s="201"/>
      <c r="AZ276" s="201"/>
      <c r="BA276" s="201"/>
      <c r="BB276" s="201"/>
      <c r="BC276" s="201"/>
      <c r="BD276" s="465"/>
      <c r="BE276" s="465"/>
      <c r="BF276" s="465"/>
      <c r="BG276" s="465"/>
      <c r="BH276" s="465"/>
      <c r="BI276" s="465"/>
      <c r="BJ276" s="465"/>
      <c r="BK276" s="465"/>
      <c r="BL276" s="465"/>
      <c r="BM276" s="465"/>
      <c r="BN276" s="465"/>
      <c r="BO276" s="465"/>
      <c r="BP276" s="465"/>
      <c r="BQ276" s="465"/>
      <c r="BR276" s="465"/>
      <c r="BS276" s="465"/>
      <c r="BT276" s="465"/>
      <c r="BU276" s="465"/>
      <c r="BV276" s="465"/>
      <c r="BW276" s="465"/>
      <c r="BX276" s="465"/>
      <c r="BY276" s="465"/>
    </row>
    <row r="277" spans="2:77" s="28" customFormat="1">
      <c r="B277" s="201"/>
      <c r="D277" s="418"/>
      <c r="E277" s="29"/>
      <c r="G277" s="421"/>
      <c r="H277" s="422"/>
      <c r="I277" s="422"/>
      <c r="J277" s="422"/>
      <c r="K277" s="422"/>
      <c r="L277" s="422"/>
      <c r="P277" s="476"/>
      <c r="AJ277" s="31"/>
      <c r="AK277" s="31"/>
      <c r="AL277" s="32"/>
      <c r="AM277" s="33"/>
      <c r="AN277" s="32"/>
      <c r="AO277" s="33"/>
      <c r="AP277" s="32"/>
      <c r="AQ277" s="32"/>
      <c r="AR277" s="201"/>
      <c r="AS277" s="201"/>
      <c r="AT277" s="201"/>
      <c r="AU277" s="201"/>
      <c r="AV277" s="201"/>
      <c r="AW277" s="201"/>
      <c r="AX277" s="201"/>
      <c r="AY277" s="201"/>
      <c r="AZ277" s="201"/>
      <c r="BA277" s="201"/>
      <c r="BB277" s="201"/>
      <c r="BC277" s="201"/>
      <c r="BD277" s="465"/>
      <c r="BE277" s="465"/>
      <c r="BF277" s="465"/>
      <c r="BG277" s="465"/>
      <c r="BH277" s="465"/>
      <c r="BI277" s="465"/>
      <c r="BJ277" s="465"/>
      <c r="BK277" s="465"/>
      <c r="BL277" s="465"/>
      <c r="BM277" s="465"/>
      <c r="BN277" s="465"/>
      <c r="BO277" s="465"/>
      <c r="BP277" s="465"/>
      <c r="BQ277" s="465"/>
      <c r="BR277" s="465"/>
      <c r="BS277" s="465"/>
      <c r="BT277" s="465"/>
      <c r="BU277" s="465"/>
      <c r="BV277" s="465"/>
      <c r="BW277" s="465"/>
      <c r="BX277" s="465"/>
      <c r="BY277" s="465"/>
    </row>
    <row r="278" spans="2:77" s="28" customFormat="1">
      <c r="B278" s="201"/>
      <c r="D278" s="418"/>
      <c r="E278" s="29"/>
      <c r="G278" s="421"/>
      <c r="H278" s="422"/>
      <c r="I278" s="422"/>
      <c r="J278" s="422"/>
      <c r="K278" s="422"/>
      <c r="L278" s="422"/>
      <c r="P278" s="470"/>
      <c r="AJ278" s="31"/>
      <c r="AK278" s="31"/>
      <c r="AL278" s="32"/>
      <c r="AM278" s="33"/>
      <c r="AN278" s="32"/>
      <c r="AO278" s="33"/>
      <c r="AP278" s="32"/>
      <c r="AQ278" s="32"/>
      <c r="AR278" s="201"/>
      <c r="AS278" s="201"/>
      <c r="AT278" s="201"/>
      <c r="AU278" s="201"/>
      <c r="AV278" s="201"/>
      <c r="AW278" s="201"/>
      <c r="AX278" s="201"/>
      <c r="AY278" s="201"/>
      <c r="AZ278" s="201"/>
      <c r="BA278" s="201"/>
      <c r="BB278" s="201"/>
      <c r="BC278" s="201"/>
      <c r="BD278" s="465"/>
      <c r="BE278" s="465"/>
      <c r="BF278" s="465"/>
      <c r="BG278" s="465"/>
      <c r="BH278" s="465"/>
      <c r="BI278" s="465"/>
      <c r="BJ278" s="465"/>
      <c r="BK278" s="465"/>
      <c r="BL278" s="465"/>
      <c r="BM278" s="465"/>
      <c r="BN278" s="465"/>
      <c r="BO278" s="465"/>
      <c r="BP278" s="465"/>
      <c r="BQ278" s="465"/>
      <c r="BR278" s="465"/>
      <c r="BS278" s="465"/>
      <c r="BT278" s="465"/>
      <c r="BU278" s="465"/>
      <c r="BV278" s="465"/>
      <c r="BW278" s="465"/>
      <c r="BX278" s="465"/>
      <c r="BY278" s="465"/>
    </row>
    <row r="279" spans="2:77" s="28" customFormat="1">
      <c r="B279" s="201"/>
      <c r="D279" s="418"/>
      <c r="E279" s="29"/>
      <c r="G279" s="421"/>
      <c r="H279" s="422"/>
      <c r="I279" s="422"/>
      <c r="J279" s="422"/>
      <c r="K279" s="422"/>
      <c r="L279" s="422"/>
      <c r="P279" s="473"/>
      <c r="AJ279" s="31"/>
      <c r="AK279" s="31"/>
      <c r="AL279" s="32"/>
      <c r="AM279" s="33"/>
      <c r="AN279" s="32"/>
      <c r="AO279" s="33"/>
      <c r="AP279" s="32"/>
      <c r="AQ279" s="32"/>
      <c r="AR279" s="201"/>
      <c r="AS279" s="201"/>
      <c r="AT279" s="201"/>
      <c r="AU279" s="201"/>
      <c r="AV279" s="201"/>
      <c r="AW279" s="201"/>
      <c r="AX279" s="201"/>
      <c r="AY279" s="201"/>
      <c r="AZ279" s="201"/>
      <c r="BA279" s="201"/>
      <c r="BB279" s="201"/>
      <c r="BC279" s="201"/>
      <c r="BD279" s="465"/>
      <c r="BE279" s="465"/>
      <c r="BF279" s="465"/>
      <c r="BG279" s="465"/>
      <c r="BH279" s="465"/>
      <c r="BI279" s="465"/>
      <c r="BJ279" s="465"/>
      <c r="BK279" s="465"/>
      <c r="BL279" s="465"/>
      <c r="BM279" s="465"/>
      <c r="BN279" s="465"/>
      <c r="BO279" s="465"/>
      <c r="BP279" s="465"/>
      <c r="BQ279" s="465"/>
      <c r="BR279" s="465"/>
      <c r="BS279" s="465"/>
      <c r="BT279" s="465"/>
      <c r="BU279" s="465"/>
      <c r="BV279" s="465"/>
      <c r="BW279" s="465"/>
      <c r="BX279" s="465"/>
      <c r="BY279" s="465"/>
    </row>
    <row r="280" spans="2:77" s="28" customFormat="1">
      <c r="B280" s="201"/>
      <c r="D280" s="418"/>
      <c r="E280" s="29"/>
      <c r="G280" s="421"/>
      <c r="H280" s="422"/>
      <c r="I280" s="422"/>
      <c r="J280" s="422"/>
      <c r="K280" s="422"/>
      <c r="L280" s="422"/>
      <c r="P280" s="470"/>
      <c r="AJ280" s="31"/>
      <c r="AK280" s="31"/>
      <c r="AL280" s="32"/>
      <c r="AM280" s="33"/>
      <c r="AN280" s="32"/>
      <c r="AO280" s="33"/>
      <c r="AP280" s="32"/>
      <c r="AQ280" s="32"/>
      <c r="AR280" s="201"/>
      <c r="AS280" s="201"/>
      <c r="AT280" s="201"/>
      <c r="AU280" s="201"/>
      <c r="AV280" s="201"/>
      <c r="AW280" s="201"/>
      <c r="AX280" s="201"/>
      <c r="AY280" s="201"/>
      <c r="AZ280" s="201"/>
      <c r="BA280" s="201"/>
      <c r="BB280" s="201"/>
      <c r="BC280" s="201"/>
      <c r="BD280" s="465"/>
      <c r="BE280" s="465"/>
      <c r="BF280" s="465"/>
      <c r="BG280" s="465"/>
      <c r="BH280" s="465"/>
      <c r="BI280" s="465"/>
      <c r="BJ280" s="465"/>
      <c r="BK280" s="465"/>
      <c r="BL280" s="465"/>
      <c r="BM280" s="465"/>
      <c r="BN280" s="465"/>
      <c r="BO280" s="465"/>
      <c r="BP280" s="465"/>
      <c r="BQ280" s="465"/>
      <c r="BR280" s="465"/>
      <c r="BS280" s="465"/>
      <c r="BT280" s="465"/>
      <c r="BU280" s="465"/>
      <c r="BV280" s="465"/>
      <c r="BW280" s="465"/>
      <c r="BX280" s="465"/>
      <c r="BY280" s="465"/>
    </row>
    <row r="281" spans="2:77" s="28" customFormat="1">
      <c r="B281" s="201"/>
      <c r="D281" s="418"/>
      <c r="E281" s="29"/>
      <c r="G281" s="421"/>
      <c r="H281" s="422"/>
      <c r="I281" s="422"/>
      <c r="J281" s="422"/>
      <c r="K281" s="422"/>
      <c r="L281" s="422"/>
      <c r="P281" s="475"/>
      <c r="AJ281" s="31"/>
      <c r="AK281" s="31"/>
      <c r="AL281" s="32"/>
      <c r="AM281" s="33"/>
      <c r="AN281" s="32"/>
      <c r="AO281" s="33"/>
      <c r="AP281" s="32"/>
      <c r="AQ281" s="32"/>
      <c r="AR281" s="201"/>
      <c r="AS281" s="201"/>
      <c r="AT281" s="201"/>
      <c r="AU281" s="201"/>
      <c r="AV281" s="201"/>
      <c r="AW281" s="201"/>
      <c r="AX281" s="201"/>
      <c r="AY281" s="201"/>
      <c r="AZ281" s="201"/>
      <c r="BA281" s="201"/>
      <c r="BB281" s="201"/>
      <c r="BC281" s="201"/>
      <c r="BD281" s="465"/>
      <c r="BE281" s="465"/>
      <c r="BF281" s="465"/>
      <c r="BG281" s="465"/>
      <c r="BH281" s="465"/>
      <c r="BI281" s="465"/>
      <c r="BJ281" s="465"/>
      <c r="BK281" s="465"/>
      <c r="BL281" s="465"/>
      <c r="BM281" s="465"/>
      <c r="BN281" s="465"/>
      <c r="BO281" s="465"/>
      <c r="BP281" s="465"/>
      <c r="BQ281" s="465"/>
      <c r="BR281" s="465"/>
      <c r="BS281" s="465"/>
      <c r="BT281" s="465"/>
      <c r="BU281" s="465"/>
      <c r="BV281" s="465"/>
      <c r="BW281" s="465"/>
      <c r="BX281" s="465"/>
      <c r="BY281" s="465"/>
    </row>
    <row r="282" spans="2:77" s="28" customFormat="1">
      <c r="B282" s="201"/>
      <c r="D282" s="418"/>
      <c r="E282" s="29"/>
      <c r="G282" s="421"/>
      <c r="H282" s="422"/>
      <c r="I282" s="422"/>
      <c r="J282" s="422"/>
      <c r="K282" s="422"/>
      <c r="L282" s="422"/>
      <c r="P282" s="473"/>
      <c r="AJ282" s="31"/>
      <c r="AK282" s="31"/>
      <c r="AL282" s="32"/>
      <c r="AM282" s="33"/>
      <c r="AN282" s="32"/>
      <c r="AO282" s="33"/>
      <c r="AP282" s="32"/>
      <c r="AQ282" s="32"/>
      <c r="AR282" s="201"/>
      <c r="AS282" s="201"/>
      <c r="AT282" s="201"/>
      <c r="AU282" s="201"/>
      <c r="AV282" s="201"/>
      <c r="AW282" s="201"/>
      <c r="AX282" s="201"/>
      <c r="AY282" s="201"/>
      <c r="AZ282" s="201"/>
      <c r="BA282" s="201"/>
      <c r="BB282" s="201"/>
      <c r="BC282" s="201"/>
      <c r="BD282" s="465"/>
      <c r="BE282" s="465"/>
      <c r="BF282" s="465"/>
      <c r="BG282" s="465"/>
      <c r="BH282" s="465"/>
      <c r="BI282" s="465"/>
      <c r="BJ282" s="465"/>
      <c r="BK282" s="465"/>
      <c r="BL282" s="465"/>
      <c r="BM282" s="465"/>
      <c r="BN282" s="465"/>
      <c r="BO282" s="465"/>
      <c r="BP282" s="465"/>
      <c r="BQ282" s="465"/>
      <c r="BR282" s="465"/>
      <c r="BS282" s="465"/>
      <c r="BT282" s="465"/>
      <c r="BU282" s="465"/>
      <c r="BV282" s="465"/>
      <c r="BW282" s="465"/>
      <c r="BX282" s="465"/>
      <c r="BY282" s="465"/>
    </row>
    <row r="283" spans="2:77" s="28" customFormat="1">
      <c r="B283" s="201"/>
      <c r="D283" s="418"/>
      <c r="E283" s="29"/>
      <c r="G283" s="421"/>
      <c r="H283" s="422"/>
      <c r="I283" s="422"/>
      <c r="J283" s="422"/>
      <c r="K283" s="422"/>
      <c r="L283" s="422"/>
      <c r="P283" s="474"/>
      <c r="AJ283" s="31"/>
      <c r="AK283" s="31"/>
      <c r="AL283" s="32"/>
      <c r="AM283" s="33"/>
      <c r="AN283" s="32"/>
      <c r="AO283" s="33"/>
      <c r="AP283" s="32"/>
      <c r="AQ283" s="32"/>
      <c r="AR283" s="201"/>
      <c r="AS283" s="201"/>
      <c r="AT283" s="201"/>
      <c r="AU283" s="201"/>
      <c r="AV283" s="201"/>
      <c r="AW283" s="201"/>
      <c r="AX283" s="201"/>
      <c r="AY283" s="201"/>
      <c r="AZ283" s="201"/>
      <c r="BA283" s="201"/>
      <c r="BB283" s="201"/>
      <c r="BC283" s="201"/>
      <c r="BD283" s="465"/>
      <c r="BE283" s="465"/>
      <c r="BF283" s="465"/>
      <c r="BG283" s="465"/>
      <c r="BH283" s="465"/>
      <c r="BI283" s="465"/>
      <c r="BJ283" s="465"/>
      <c r="BK283" s="465"/>
      <c r="BL283" s="465"/>
      <c r="BM283" s="465"/>
      <c r="BN283" s="465"/>
      <c r="BO283" s="465"/>
      <c r="BP283" s="465"/>
      <c r="BQ283" s="465"/>
      <c r="BR283" s="465"/>
      <c r="BS283" s="465"/>
      <c r="BT283" s="465"/>
      <c r="BU283" s="465"/>
      <c r="BV283" s="465"/>
      <c r="BW283" s="465"/>
      <c r="BX283" s="465"/>
      <c r="BY283" s="465"/>
    </row>
    <row r="284" spans="2:77" s="28" customFormat="1">
      <c r="B284" s="201"/>
      <c r="D284" s="418"/>
      <c r="E284" s="29"/>
      <c r="G284" s="421"/>
      <c r="H284" s="422"/>
      <c r="I284" s="422"/>
      <c r="J284" s="422"/>
      <c r="K284" s="422"/>
      <c r="L284" s="422"/>
      <c r="P284" s="470"/>
      <c r="AJ284" s="31"/>
      <c r="AK284" s="31"/>
      <c r="AL284" s="32"/>
      <c r="AM284" s="33"/>
      <c r="AN284" s="32"/>
      <c r="AO284" s="33"/>
      <c r="AP284" s="32"/>
      <c r="AQ284" s="32"/>
      <c r="AR284" s="201"/>
      <c r="AS284" s="201"/>
      <c r="AT284" s="201"/>
      <c r="AU284" s="201"/>
      <c r="AV284" s="201"/>
      <c r="AW284" s="201"/>
      <c r="AX284" s="201"/>
      <c r="AY284" s="201"/>
      <c r="AZ284" s="201"/>
      <c r="BA284" s="201"/>
      <c r="BB284" s="201"/>
      <c r="BC284" s="201"/>
      <c r="BD284" s="465"/>
      <c r="BE284" s="465"/>
      <c r="BF284" s="465"/>
      <c r="BG284" s="465"/>
      <c r="BH284" s="465"/>
      <c r="BI284" s="465"/>
      <c r="BJ284" s="465"/>
      <c r="BK284" s="465"/>
      <c r="BL284" s="465"/>
      <c r="BM284" s="465"/>
      <c r="BN284" s="465"/>
      <c r="BO284" s="465"/>
      <c r="BP284" s="465"/>
      <c r="BQ284" s="465"/>
      <c r="BR284" s="465"/>
      <c r="BS284" s="465"/>
      <c r="BT284" s="465"/>
      <c r="BU284" s="465"/>
      <c r="BV284" s="465"/>
      <c r="BW284" s="465"/>
      <c r="BX284" s="465"/>
      <c r="BY284" s="465"/>
    </row>
    <row r="285" spans="2:77" s="28" customFormat="1">
      <c r="B285" s="201"/>
      <c r="D285" s="418"/>
      <c r="E285" s="29"/>
      <c r="G285" s="421"/>
      <c r="H285" s="422"/>
      <c r="I285" s="422"/>
      <c r="J285" s="422"/>
      <c r="K285" s="422"/>
      <c r="L285" s="422"/>
      <c r="P285" s="473"/>
      <c r="AJ285" s="31"/>
      <c r="AK285" s="31"/>
      <c r="AL285" s="32"/>
      <c r="AM285" s="33"/>
      <c r="AN285" s="32"/>
      <c r="AO285" s="33"/>
      <c r="AP285" s="32"/>
      <c r="AQ285" s="32"/>
      <c r="AR285" s="201"/>
      <c r="AS285" s="201"/>
      <c r="AT285" s="201"/>
      <c r="AU285" s="201"/>
      <c r="AV285" s="201"/>
      <c r="AW285" s="201"/>
      <c r="AX285" s="201"/>
      <c r="AY285" s="201"/>
      <c r="AZ285" s="201"/>
      <c r="BA285" s="201"/>
      <c r="BB285" s="201"/>
      <c r="BC285" s="201"/>
      <c r="BD285" s="465"/>
      <c r="BE285" s="465"/>
      <c r="BF285" s="465"/>
      <c r="BG285" s="465"/>
      <c r="BH285" s="465"/>
      <c r="BI285" s="465"/>
      <c r="BJ285" s="465"/>
      <c r="BK285" s="465"/>
      <c r="BL285" s="465"/>
      <c r="BM285" s="465"/>
      <c r="BN285" s="465"/>
      <c r="BO285" s="465"/>
      <c r="BP285" s="465"/>
      <c r="BQ285" s="465"/>
      <c r="BR285" s="465"/>
      <c r="BS285" s="465"/>
      <c r="BT285" s="465"/>
      <c r="BU285" s="465"/>
      <c r="BV285" s="465"/>
      <c r="BW285" s="465"/>
      <c r="BX285" s="465"/>
      <c r="BY285" s="465"/>
    </row>
    <row r="286" spans="2:77" s="28" customFormat="1">
      <c r="B286" s="201"/>
      <c r="D286" s="418"/>
      <c r="E286" s="29"/>
      <c r="G286" s="421"/>
      <c r="H286" s="422"/>
      <c r="I286" s="422"/>
      <c r="J286" s="422"/>
      <c r="K286" s="422"/>
      <c r="L286" s="422"/>
      <c r="P286" s="470"/>
      <c r="AJ286" s="31"/>
      <c r="AK286" s="31"/>
      <c r="AL286" s="32"/>
      <c r="AM286" s="33"/>
      <c r="AN286" s="32"/>
      <c r="AO286" s="33"/>
      <c r="AP286" s="32"/>
      <c r="AQ286" s="32"/>
      <c r="AR286" s="201"/>
      <c r="AS286" s="201"/>
      <c r="AT286" s="201"/>
      <c r="AU286" s="201"/>
      <c r="AV286" s="201"/>
      <c r="AW286" s="201"/>
      <c r="AX286" s="201"/>
      <c r="AY286" s="201"/>
      <c r="AZ286" s="201"/>
      <c r="BA286" s="201"/>
      <c r="BB286" s="201"/>
      <c r="BC286" s="201"/>
      <c r="BD286" s="465"/>
      <c r="BE286" s="465"/>
      <c r="BF286" s="465"/>
      <c r="BG286" s="465"/>
      <c r="BH286" s="465"/>
      <c r="BI286" s="465"/>
      <c r="BJ286" s="465"/>
      <c r="BK286" s="465"/>
      <c r="BL286" s="465"/>
      <c r="BM286" s="465"/>
      <c r="BN286" s="465"/>
      <c r="BO286" s="465"/>
      <c r="BP286" s="465"/>
      <c r="BQ286" s="465"/>
      <c r="BR286" s="465"/>
      <c r="BS286" s="465"/>
      <c r="BT286" s="465"/>
      <c r="BU286" s="465"/>
      <c r="BV286" s="465"/>
      <c r="BW286" s="465"/>
      <c r="BX286" s="465"/>
      <c r="BY286" s="465"/>
    </row>
    <row r="287" spans="2:77" s="28" customFormat="1">
      <c r="B287" s="201"/>
      <c r="D287" s="418"/>
      <c r="E287" s="29"/>
      <c r="G287" s="421"/>
      <c r="H287" s="422"/>
      <c r="I287" s="422"/>
      <c r="J287" s="422"/>
      <c r="K287" s="422"/>
      <c r="L287" s="422"/>
      <c r="P287" s="470"/>
      <c r="AJ287" s="31"/>
      <c r="AK287" s="31"/>
      <c r="AL287" s="32"/>
      <c r="AM287" s="33"/>
      <c r="AN287" s="32"/>
      <c r="AO287" s="33"/>
      <c r="AP287" s="32"/>
      <c r="AQ287" s="32"/>
      <c r="AR287" s="201"/>
      <c r="AS287" s="201"/>
      <c r="AT287" s="201"/>
      <c r="AU287" s="201"/>
      <c r="AV287" s="201"/>
      <c r="AW287" s="201"/>
      <c r="AX287" s="201"/>
      <c r="AY287" s="201"/>
      <c r="AZ287" s="201"/>
      <c r="BA287" s="201"/>
      <c r="BB287" s="201"/>
      <c r="BC287" s="201"/>
      <c r="BD287" s="465"/>
      <c r="BE287" s="465"/>
      <c r="BF287" s="465"/>
      <c r="BG287" s="465"/>
      <c r="BH287" s="465"/>
      <c r="BI287" s="465"/>
      <c r="BJ287" s="465"/>
      <c r="BK287" s="465"/>
      <c r="BL287" s="465"/>
      <c r="BM287" s="465"/>
      <c r="BN287" s="465"/>
      <c r="BO287" s="465"/>
      <c r="BP287" s="465"/>
      <c r="BQ287" s="465"/>
      <c r="BR287" s="465"/>
      <c r="BS287" s="465"/>
      <c r="BT287" s="465"/>
      <c r="BU287" s="465"/>
      <c r="BV287" s="465"/>
      <c r="BW287" s="465"/>
      <c r="BX287" s="465"/>
      <c r="BY287" s="465"/>
    </row>
    <row r="288" spans="2:77" s="28" customFormat="1">
      <c r="B288" s="201"/>
      <c r="D288" s="418"/>
      <c r="E288" s="29"/>
      <c r="G288" s="421"/>
      <c r="H288" s="422"/>
      <c r="I288" s="422"/>
      <c r="J288" s="422"/>
      <c r="K288" s="422"/>
      <c r="L288" s="422"/>
      <c r="P288" s="470"/>
      <c r="AJ288" s="31"/>
      <c r="AK288" s="31"/>
      <c r="AL288" s="32"/>
      <c r="AM288" s="33"/>
      <c r="AN288" s="32"/>
      <c r="AO288" s="33"/>
      <c r="AP288" s="32"/>
      <c r="AQ288" s="32"/>
      <c r="AR288" s="201"/>
      <c r="AS288" s="201"/>
      <c r="AT288" s="201"/>
      <c r="AU288" s="201"/>
      <c r="AV288" s="201"/>
      <c r="AW288" s="201"/>
      <c r="AX288" s="201"/>
      <c r="AY288" s="201"/>
      <c r="AZ288" s="201"/>
      <c r="BA288" s="201"/>
      <c r="BB288" s="201"/>
      <c r="BC288" s="201"/>
      <c r="BD288" s="465"/>
      <c r="BE288" s="465"/>
      <c r="BF288" s="465"/>
      <c r="BG288" s="465"/>
      <c r="BH288" s="465"/>
      <c r="BI288" s="465"/>
      <c r="BJ288" s="465"/>
      <c r="BK288" s="465"/>
      <c r="BL288" s="465"/>
      <c r="BM288" s="465"/>
      <c r="BN288" s="465"/>
      <c r="BO288" s="465"/>
      <c r="BP288" s="465"/>
      <c r="BQ288" s="465"/>
      <c r="BR288" s="465"/>
      <c r="BS288" s="465"/>
      <c r="BT288" s="465"/>
      <c r="BU288" s="465"/>
      <c r="BV288" s="465"/>
      <c r="BW288" s="465"/>
      <c r="BX288" s="465"/>
      <c r="BY288" s="465"/>
    </row>
    <row r="289" spans="2:77" s="28" customFormat="1">
      <c r="B289" s="201"/>
      <c r="D289" s="418"/>
      <c r="E289" s="29"/>
      <c r="G289" s="421"/>
      <c r="H289" s="422"/>
      <c r="I289" s="422"/>
      <c r="J289" s="422"/>
      <c r="K289" s="422"/>
      <c r="L289" s="422"/>
      <c r="P289" s="470"/>
      <c r="AJ289" s="31"/>
      <c r="AK289" s="31"/>
      <c r="AL289" s="32"/>
      <c r="AM289" s="33"/>
      <c r="AN289" s="32"/>
      <c r="AO289" s="33"/>
      <c r="AP289" s="32"/>
      <c r="AQ289" s="32"/>
      <c r="AR289" s="201"/>
      <c r="AS289" s="201"/>
      <c r="AT289" s="201"/>
      <c r="AU289" s="201"/>
      <c r="AV289" s="201"/>
      <c r="AW289" s="201"/>
      <c r="AX289" s="201"/>
      <c r="AY289" s="201"/>
      <c r="AZ289" s="201"/>
      <c r="BA289" s="201"/>
      <c r="BB289" s="201"/>
      <c r="BC289" s="201"/>
      <c r="BD289" s="465"/>
      <c r="BE289" s="465"/>
      <c r="BF289" s="465"/>
      <c r="BG289" s="465"/>
      <c r="BH289" s="465"/>
      <c r="BI289" s="465"/>
      <c r="BJ289" s="465"/>
      <c r="BK289" s="465"/>
      <c r="BL289" s="465"/>
      <c r="BM289" s="465"/>
      <c r="BN289" s="465"/>
      <c r="BO289" s="465"/>
      <c r="BP289" s="465"/>
      <c r="BQ289" s="465"/>
      <c r="BR289" s="465"/>
      <c r="BS289" s="465"/>
      <c r="BT289" s="465"/>
      <c r="BU289" s="465"/>
      <c r="BV289" s="465"/>
      <c r="BW289" s="465"/>
      <c r="BX289" s="465"/>
      <c r="BY289" s="465"/>
    </row>
    <row r="290" spans="2:77" s="28" customFormat="1">
      <c r="B290" s="201"/>
      <c r="D290" s="418"/>
      <c r="E290" s="29"/>
      <c r="G290" s="421"/>
      <c r="H290" s="422"/>
      <c r="I290" s="422"/>
      <c r="J290" s="422"/>
      <c r="K290" s="422"/>
      <c r="L290" s="422"/>
      <c r="P290" s="477"/>
      <c r="AJ290" s="31"/>
      <c r="AK290" s="31"/>
      <c r="AL290" s="32"/>
      <c r="AM290" s="33"/>
      <c r="AN290" s="32"/>
      <c r="AO290" s="33"/>
      <c r="AP290" s="32"/>
      <c r="AQ290" s="32"/>
      <c r="AR290" s="201"/>
      <c r="AS290" s="201"/>
      <c r="AT290" s="201"/>
      <c r="AU290" s="201"/>
      <c r="AV290" s="201"/>
      <c r="AW290" s="201"/>
      <c r="AX290" s="201"/>
      <c r="AY290" s="201"/>
      <c r="AZ290" s="201"/>
      <c r="BA290" s="201"/>
      <c r="BB290" s="201"/>
      <c r="BC290" s="201"/>
      <c r="BD290" s="465"/>
      <c r="BE290" s="465"/>
      <c r="BF290" s="465"/>
      <c r="BG290" s="465"/>
      <c r="BH290" s="465"/>
      <c r="BI290" s="465"/>
      <c r="BJ290" s="465"/>
      <c r="BK290" s="465"/>
      <c r="BL290" s="465"/>
      <c r="BM290" s="465"/>
      <c r="BN290" s="465"/>
      <c r="BO290" s="465"/>
      <c r="BP290" s="465"/>
      <c r="BQ290" s="465"/>
      <c r="BR290" s="465"/>
      <c r="BS290" s="465"/>
      <c r="BT290" s="465"/>
      <c r="BU290" s="465"/>
      <c r="BV290" s="465"/>
      <c r="BW290" s="465"/>
      <c r="BX290" s="465"/>
      <c r="BY290" s="465"/>
    </row>
    <row r="291" spans="2:77" s="28" customFormat="1">
      <c r="B291" s="201"/>
      <c r="D291" s="418"/>
      <c r="E291" s="29"/>
      <c r="G291" s="421"/>
      <c r="H291" s="422"/>
      <c r="I291" s="422"/>
      <c r="J291" s="422"/>
      <c r="K291" s="422"/>
      <c r="L291" s="422"/>
      <c r="P291" s="470"/>
      <c r="AJ291" s="31"/>
      <c r="AK291" s="31"/>
      <c r="AL291" s="32"/>
      <c r="AM291" s="33"/>
      <c r="AN291" s="32"/>
      <c r="AO291" s="33"/>
      <c r="AP291" s="32"/>
      <c r="AQ291" s="32"/>
      <c r="AR291" s="201"/>
      <c r="AS291" s="201"/>
      <c r="AT291" s="201"/>
      <c r="AU291" s="201"/>
      <c r="AV291" s="201"/>
      <c r="AW291" s="201"/>
      <c r="AX291" s="201"/>
      <c r="AY291" s="201"/>
      <c r="AZ291" s="201"/>
      <c r="BA291" s="201"/>
      <c r="BB291" s="201"/>
      <c r="BC291" s="201"/>
      <c r="BD291" s="465"/>
      <c r="BE291" s="465"/>
      <c r="BF291" s="465"/>
      <c r="BG291" s="465"/>
      <c r="BH291" s="465"/>
      <c r="BI291" s="465"/>
      <c r="BJ291" s="465"/>
      <c r="BK291" s="465"/>
      <c r="BL291" s="465"/>
      <c r="BM291" s="465"/>
      <c r="BN291" s="465"/>
      <c r="BO291" s="465"/>
      <c r="BP291" s="465"/>
      <c r="BQ291" s="465"/>
      <c r="BR291" s="465"/>
      <c r="BS291" s="465"/>
      <c r="BT291" s="465"/>
      <c r="BU291" s="465"/>
      <c r="BV291" s="465"/>
      <c r="BW291" s="465"/>
      <c r="BX291" s="465"/>
      <c r="BY291" s="465"/>
    </row>
    <row r="292" spans="2:77" s="28" customFormat="1">
      <c r="B292" s="201"/>
      <c r="D292" s="418"/>
      <c r="E292" s="29"/>
      <c r="G292" s="421"/>
      <c r="H292" s="422"/>
      <c r="I292" s="422"/>
      <c r="J292" s="422"/>
      <c r="K292" s="422"/>
      <c r="L292" s="422"/>
      <c r="P292" s="473"/>
      <c r="AJ292" s="31"/>
      <c r="AK292" s="31"/>
      <c r="AL292" s="32"/>
      <c r="AM292" s="33"/>
      <c r="AN292" s="32"/>
      <c r="AO292" s="33"/>
      <c r="AP292" s="32"/>
      <c r="AQ292" s="32"/>
      <c r="AR292" s="201"/>
      <c r="AS292" s="201"/>
      <c r="AT292" s="201"/>
      <c r="AU292" s="201"/>
      <c r="AV292" s="201"/>
      <c r="AW292" s="201"/>
      <c r="AX292" s="201"/>
      <c r="AY292" s="201"/>
      <c r="AZ292" s="201"/>
      <c r="BA292" s="201"/>
      <c r="BB292" s="201"/>
      <c r="BC292" s="201"/>
      <c r="BD292" s="465"/>
      <c r="BE292" s="465"/>
      <c r="BF292" s="465"/>
      <c r="BG292" s="465"/>
      <c r="BH292" s="465"/>
      <c r="BI292" s="465"/>
      <c r="BJ292" s="465"/>
      <c r="BK292" s="465"/>
      <c r="BL292" s="465"/>
      <c r="BM292" s="465"/>
      <c r="BN292" s="465"/>
      <c r="BO292" s="465"/>
      <c r="BP292" s="465"/>
      <c r="BQ292" s="465"/>
      <c r="BR292" s="465"/>
      <c r="BS292" s="465"/>
      <c r="BT292" s="465"/>
      <c r="BU292" s="465"/>
      <c r="BV292" s="465"/>
      <c r="BW292" s="465"/>
      <c r="BX292" s="465"/>
      <c r="BY292" s="465"/>
    </row>
    <row r="293" spans="2:77" s="28" customFormat="1">
      <c r="B293" s="201"/>
      <c r="D293" s="418"/>
      <c r="E293" s="29"/>
      <c r="G293" s="421"/>
      <c r="H293" s="422"/>
      <c r="I293" s="422"/>
      <c r="J293" s="422"/>
      <c r="K293" s="422"/>
      <c r="L293" s="422"/>
      <c r="P293" s="473"/>
      <c r="AJ293" s="31"/>
      <c r="AK293" s="31"/>
      <c r="AL293" s="32"/>
      <c r="AM293" s="33"/>
      <c r="AN293" s="32"/>
      <c r="AO293" s="33"/>
      <c r="AP293" s="32"/>
      <c r="AQ293" s="32"/>
      <c r="AR293" s="201"/>
      <c r="AS293" s="201"/>
      <c r="AT293" s="201"/>
      <c r="AU293" s="201"/>
      <c r="AV293" s="201"/>
      <c r="AW293" s="201"/>
      <c r="AX293" s="201"/>
      <c r="AY293" s="201"/>
      <c r="AZ293" s="201"/>
      <c r="BA293" s="201"/>
      <c r="BB293" s="201"/>
      <c r="BC293" s="201"/>
      <c r="BD293" s="465"/>
      <c r="BE293" s="465"/>
      <c r="BF293" s="465"/>
      <c r="BG293" s="465"/>
      <c r="BH293" s="465"/>
      <c r="BI293" s="465"/>
      <c r="BJ293" s="465"/>
      <c r="BK293" s="465"/>
      <c r="BL293" s="465"/>
      <c r="BM293" s="465"/>
      <c r="BN293" s="465"/>
      <c r="BO293" s="465"/>
      <c r="BP293" s="465"/>
      <c r="BQ293" s="465"/>
      <c r="BR293" s="465"/>
      <c r="BS293" s="465"/>
      <c r="BT293" s="465"/>
      <c r="BU293" s="465"/>
      <c r="BV293" s="465"/>
      <c r="BW293" s="465"/>
      <c r="BX293" s="465"/>
      <c r="BY293" s="465"/>
    </row>
    <row r="294" spans="2:77" s="28" customFormat="1">
      <c r="B294" s="201"/>
      <c r="D294" s="418"/>
      <c r="E294" s="29"/>
      <c r="G294" s="421"/>
      <c r="H294" s="422"/>
      <c r="I294" s="422"/>
      <c r="J294" s="422"/>
      <c r="K294" s="422"/>
      <c r="L294" s="422"/>
      <c r="P294" s="470"/>
      <c r="AJ294" s="31"/>
      <c r="AK294" s="31"/>
      <c r="AL294" s="32"/>
      <c r="AM294" s="33"/>
      <c r="AN294" s="32"/>
      <c r="AO294" s="33"/>
      <c r="AP294" s="32"/>
      <c r="AQ294" s="32"/>
      <c r="AR294" s="201"/>
      <c r="AS294" s="201"/>
      <c r="AT294" s="201"/>
      <c r="AU294" s="201"/>
      <c r="AV294" s="201"/>
      <c r="AW294" s="201"/>
      <c r="AX294" s="201"/>
      <c r="AY294" s="201"/>
      <c r="AZ294" s="201"/>
      <c r="BA294" s="201"/>
      <c r="BB294" s="201"/>
      <c r="BC294" s="201"/>
      <c r="BD294" s="465"/>
      <c r="BE294" s="465"/>
      <c r="BF294" s="465"/>
      <c r="BG294" s="465"/>
      <c r="BH294" s="465"/>
      <c r="BI294" s="465"/>
      <c r="BJ294" s="465"/>
      <c r="BK294" s="465"/>
      <c r="BL294" s="465"/>
      <c r="BM294" s="465"/>
      <c r="BN294" s="465"/>
      <c r="BO294" s="465"/>
      <c r="BP294" s="465"/>
      <c r="BQ294" s="465"/>
      <c r="BR294" s="465"/>
      <c r="BS294" s="465"/>
      <c r="BT294" s="465"/>
      <c r="BU294" s="465"/>
      <c r="BV294" s="465"/>
      <c r="BW294" s="465"/>
      <c r="BX294" s="465"/>
      <c r="BY294" s="465"/>
    </row>
    <row r="295" spans="2:77" s="28" customFormat="1">
      <c r="B295" s="201"/>
      <c r="D295" s="418"/>
      <c r="E295" s="29"/>
      <c r="G295" s="421"/>
      <c r="H295" s="422"/>
      <c r="I295" s="422"/>
      <c r="J295" s="422"/>
      <c r="K295" s="422"/>
      <c r="L295" s="422"/>
      <c r="P295" s="474"/>
      <c r="AJ295" s="31"/>
      <c r="AK295" s="31"/>
      <c r="AL295" s="32"/>
      <c r="AM295" s="33"/>
      <c r="AN295" s="32"/>
      <c r="AO295" s="33"/>
      <c r="AP295" s="32"/>
      <c r="AQ295" s="32"/>
      <c r="AR295" s="201"/>
      <c r="AS295" s="201"/>
      <c r="AT295" s="201"/>
      <c r="AU295" s="201"/>
      <c r="AV295" s="201"/>
      <c r="AW295" s="201"/>
      <c r="AX295" s="201"/>
      <c r="AY295" s="201"/>
      <c r="AZ295" s="201"/>
      <c r="BA295" s="201"/>
      <c r="BB295" s="201"/>
      <c r="BC295" s="201"/>
      <c r="BD295" s="465"/>
      <c r="BE295" s="465"/>
      <c r="BF295" s="465"/>
      <c r="BG295" s="465"/>
      <c r="BH295" s="465"/>
      <c r="BI295" s="465"/>
      <c r="BJ295" s="465"/>
      <c r="BK295" s="465"/>
      <c r="BL295" s="465"/>
      <c r="BM295" s="465"/>
      <c r="BN295" s="465"/>
      <c r="BO295" s="465"/>
      <c r="BP295" s="465"/>
      <c r="BQ295" s="465"/>
      <c r="BR295" s="465"/>
      <c r="BS295" s="465"/>
      <c r="BT295" s="465"/>
      <c r="BU295" s="465"/>
      <c r="BV295" s="465"/>
      <c r="BW295" s="465"/>
      <c r="BX295" s="465"/>
      <c r="BY295" s="465"/>
    </row>
    <row r="296" spans="2:77" s="28" customFormat="1">
      <c r="B296" s="201"/>
      <c r="D296" s="418"/>
      <c r="E296" s="29"/>
      <c r="G296" s="421"/>
      <c r="H296" s="422"/>
      <c r="I296" s="422"/>
      <c r="J296" s="422"/>
      <c r="K296" s="422"/>
      <c r="L296" s="422"/>
      <c r="P296" s="474"/>
      <c r="AJ296" s="31"/>
      <c r="AK296" s="31"/>
      <c r="AL296" s="32"/>
      <c r="AM296" s="33"/>
      <c r="AN296" s="32"/>
      <c r="AO296" s="33"/>
      <c r="AP296" s="32"/>
      <c r="AQ296" s="32"/>
      <c r="AR296" s="201"/>
      <c r="AS296" s="201"/>
      <c r="AT296" s="201"/>
      <c r="AU296" s="201"/>
      <c r="AV296" s="201"/>
      <c r="AW296" s="201"/>
      <c r="AX296" s="201"/>
      <c r="AY296" s="201"/>
      <c r="AZ296" s="201"/>
      <c r="BA296" s="201"/>
      <c r="BB296" s="201"/>
      <c r="BC296" s="201"/>
      <c r="BD296" s="465"/>
      <c r="BE296" s="465"/>
      <c r="BF296" s="465"/>
      <c r="BG296" s="465"/>
      <c r="BH296" s="465"/>
      <c r="BI296" s="465"/>
      <c r="BJ296" s="465"/>
      <c r="BK296" s="465"/>
      <c r="BL296" s="465"/>
      <c r="BM296" s="465"/>
      <c r="BN296" s="465"/>
      <c r="BO296" s="465"/>
      <c r="BP296" s="465"/>
      <c r="BQ296" s="465"/>
      <c r="BR296" s="465"/>
      <c r="BS296" s="465"/>
      <c r="BT296" s="465"/>
      <c r="BU296" s="465"/>
      <c r="BV296" s="465"/>
      <c r="BW296" s="465"/>
      <c r="BX296" s="465"/>
      <c r="BY296" s="465"/>
    </row>
    <row r="297" spans="2:77" s="28" customFormat="1">
      <c r="B297" s="201"/>
      <c r="D297" s="418"/>
      <c r="E297" s="29"/>
      <c r="G297" s="421"/>
      <c r="H297" s="422"/>
      <c r="I297" s="422"/>
      <c r="J297" s="422"/>
      <c r="K297" s="422"/>
      <c r="L297" s="422"/>
      <c r="P297" s="470"/>
      <c r="AJ297" s="31"/>
      <c r="AK297" s="31"/>
      <c r="AL297" s="32"/>
      <c r="AM297" s="33"/>
      <c r="AN297" s="32"/>
      <c r="AO297" s="33"/>
      <c r="AP297" s="32"/>
      <c r="AQ297" s="32"/>
      <c r="AR297" s="201"/>
      <c r="AS297" s="201"/>
      <c r="AT297" s="201"/>
      <c r="AU297" s="201"/>
      <c r="AV297" s="201"/>
      <c r="AW297" s="201"/>
      <c r="AX297" s="201"/>
      <c r="AY297" s="201"/>
      <c r="AZ297" s="201"/>
      <c r="BA297" s="201"/>
      <c r="BB297" s="201"/>
      <c r="BC297" s="201"/>
      <c r="BD297" s="465"/>
      <c r="BE297" s="465"/>
      <c r="BF297" s="465"/>
      <c r="BG297" s="465"/>
      <c r="BH297" s="465"/>
      <c r="BI297" s="465"/>
      <c r="BJ297" s="465"/>
      <c r="BK297" s="465"/>
      <c r="BL297" s="465"/>
      <c r="BM297" s="465"/>
      <c r="BN297" s="465"/>
      <c r="BO297" s="465"/>
      <c r="BP297" s="465"/>
      <c r="BQ297" s="465"/>
      <c r="BR297" s="465"/>
      <c r="BS297" s="465"/>
      <c r="BT297" s="465"/>
      <c r="BU297" s="465"/>
      <c r="BV297" s="465"/>
      <c r="BW297" s="465"/>
      <c r="BX297" s="465"/>
      <c r="BY297" s="465"/>
    </row>
    <row r="298" spans="2:77" s="28" customFormat="1">
      <c r="B298" s="201"/>
      <c r="D298" s="418"/>
      <c r="E298" s="29"/>
      <c r="G298" s="421"/>
      <c r="H298" s="422"/>
      <c r="I298" s="422"/>
      <c r="J298" s="422"/>
      <c r="K298" s="422"/>
      <c r="L298" s="422"/>
      <c r="P298" s="473"/>
      <c r="AJ298" s="31"/>
      <c r="AK298" s="31"/>
      <c r="AL298" s="32"/>
      <c r="AM298" s="33"/>
      <c r="AN298" s="32"/>
      <c r="AO298" s="33"/>
      <c r="AP298" s="32"/>
      <c r="AQ298" s="32"/>
      <c r="AR298" s="201"/>
      <c r="AS298" s="201"/>
      <c r="AT298" s="201"/>
      <c r="AU298" s="201"/>
      <c r="AV298" s="201"/>
      <c r="AW298" s="201"/>
      <c r="AX298" s="201"/>
      <c r="AY298" s="201"/>
      <c r="AZ298" s="201"/>
      <c r="BA298" s="201"/>
      <c r="BB298" s="201"/>
      <c r="BC298" s="201"/>
      <c r="BD298" s="465"/>
      <c r="BE298" s="465"/>
      <c r="BF298" s="465"/>
      <c r="BG298" s="465"/>
      <c r="BH298" s="465"/>
      <c r="BI298" s="465"/>
      <c r="BJ298" s="465"/>
      <c r="BK298" s="465"/>
      <c r="BL298" s="465"/>
      <c r="BM298" s="465"/>
      <c r="BN298" s="465"/>
      <c r="BO298" s="465"/>
      <c r="BP298" s="465"/>
      <c r="BQ298" s="465"/>
      <c r="BR298" s="465"/>
      <c r="BS298" s="465"/>
      <c r="BT298" s="465"/>
      <c r="BU298" s="465"/>
      <c r="BV298" s="465"/>
      <c r="BW298" s="465"/>
      <c r="BX298" s="465"/>
      <c r="BY298" s="465"/>
    </row>
    <row r="299" spans="2:77" s="28" customFormat="1">
      <c r="B299" s="201"/>
      <c r="D299" s="418"/>
      <c r="E299" s="29"/>
      <c r="G299" s="421"/>
      <c r="H299" s="422"/>
      <c r="I299" s="422"/>
      <c r="J299" s="422"/>
      <c r="K299" s="422"/>
      <c r="L299" s="422"/>
      <c r="P299" s="474"/>
      <c r="AJ299" s="31"/>
      <c r="AK299" s="31"/>
      <c r="AL299" s="32"/>
      <c r="AM299" s="33"/>
      <c r="AN299" s="32"/>
      <c r="AO299" s="33"/>
      <c r="AP299" s="32"/>
      <c r="AQ299" s="32"/>
      <c r="AR299" s="201"/>
      <c r="AS299" s="201"/>
      <c r="AT299" s="201"/>
      <c r="AU299" s="201"/>
      <c r="AV299" s="201"/>
      <c r="AW299" s="201"/>
      <c r="AX299" s="201"/>
      <c r="AY299" s="201"/>
      <c r="AZ299" s="201"/>
      <c r="BA299" s="201"/>
      <c r="BB299" s="201"/>
      <c r="BC299" s="201"/>
      <c r="BD299" s="465"/>
      <c r="BE299" s="465"/>
      <c r="BF299" s="465"/>
      <c r="BG299" s="465"/>
      <c r="BH299" s="465"/>
      <c r="BI299" s="465"/>
      <c r="BJ299" s="465"/>
      <c r="BK299" s="465"/>
      <c r="BL299" s="465"/>
      <c r="BM299" s="465"/>
      <c r="BN299" s="465"/>
      <c r="BO299" s="465"/>
      <c r="BP299" s="465"/>
      <c r="BQ299" s="465"/>
      <c r="BR299" s="465"/>
      <c r="BS299" s="465"/>
      <c r="BT299" s="465"/>
      <c r="BU299" s="465"/>
      <c r="BV299" s="465"/>
      <c r="BW299" s="465"/>
      <c r="BX299" s="465"/>
      <c r="BY299" s="465"/>
    </row>
    <row r="300" spans="2:77" s="28" customFormat="1">
      <c r="B300" s="201"/>
      <c r="D300" s="418"/>
      <c r="E300" s="29"/>
      <c r="G300" s="421"/>
      <c r="H300" s="422"/>
      <c r="I300" s="422"/>
      <c r="J300" s="422"/>
      <c r="K300" s="422"/>
      <c r="L300" s="422"/>
      <c r="P300" s="470"/>
      <c r="AJ300" s="31"/>
      <c r="AK300" s="31"/>
      <c r="AL300" s="32"/>
      <c r="AM300" s="33"/>
      <c r="AN300" s="32"/>
      <c r="AO300" s="33"/>
      <c r="AP300" s="32"/>
      <c r="AQ300" s="32"/>
      <c r="AR300" s="201"/>
      <c r="AS300" s="201"/>
      <c r="AT300" s="201"/>
      <c r="AU300" s="201"/>
      <c r="AV300" s="201"/>
      <c r="AW300" s="201"/>
      <c r="AX300" s="201"/>
      <c r="AY300" s="201"/>
      <c r="AZ300" s="201"/>
      <c r="BA300" s="201"/>
      <c r="BB300" s="201"/>
      <c r="BC300" s="201"/>
      <c r="BD300" s="465"/>
      <c r="BE300" s="465"/>
      <c r="BF300" s="465"/>
      <c r="BG300" s="465"/>
      <c r="BH300" s="465"/>
      <c r="BI300" s="465"/>
      <c r="BJ300" s="465"/>
      <c r="BK300" s="465"/>
      <c r="BL300" s="465"/>
      <c r="BM300" s="465"/>
      <c r="BN300" s="465"/>
      <c r="BO300" s="465"/>
      <c r="BP300" s="465"/>
      <c r="BQ300" s="465"/>
      <c r="BR300" s="465"/>
      <c r="BS300" s="465"/>
      <c r="BT300" s="465"/>
      <c r="BU300" s="465"/>
      <c r="BV300" s="465"/>
      <c r="BW300" s="465"/>
      <c r="BX300" s="465"/>
      <c r="BY300" s="465"/>
    </row>
    <row r="301" spans="2:77" s="28" customFormat="1">
      <c r="B301" s="201"/>
      <c r="D301" s="418"/>
      <c r="E301" s="29"/>
      <c r="G301" s="421"/>
      <c r="H301" s="422"/>
      <c r="I301" s="422"/>
      <c r="J301" s="422"/>
      <c r="K301" s="422"/>
      <c r="L301" s="422"/>
      <c r="P301" s="470"/>
      <c r="AJ301" s="31"/>
      <c r="AK301" s="31"/>
      <c r="AL301" s="32"/>
      <c r="AM301" s="33"/>
      <c r="AN301" s="32"/>
      <c r="AO301" s="33"/>
      <c r="AP301" s="32"/>
      <c r="AQ301" s="32"/>
      <c r="AR301" s="201"/>
      <c r="AS301" s="201"/>
      <c r="AT301" s="201"/>
      <c r="AU301" s="201"/>
      <c r="AV301" s="201"/>
      <c r="AW301" s="201"/>
      <c r="AX301" s="201"/>
      <c r="AY301" s="201"/>
      <c r="AZ301" s="201"/>
      <c r="BA301" s="201"/>
      <c r="BB301" s="201"/>
      <c r="BC301" s="201"/>
      <c r="BD301" s="465"/>
      <c r="BE301" s="465"/>
      <c r="BF301" s="465"/>
      <c r="BG301" s="465"/>
      <c r="BH301" s="465"/>
      <c r="BI301" s="465"/>
      <c r="BJ301" s="465"/>
      <c r="BK301" s="465"/>
      <c r="BL301" s="465"/>
      <c r="BM301" s="465"/>
      <c r="BN301" s="465"/>
      <c r="BO301" s="465"/>
      <c r="BP301" s="465"/>
      <c r="BQ301" s="465"/>
      <c r="BR301" s="465"/>
      <c r="BS301" s="465"/>
      <c r="BT301" s="465"/>
      <c r="BU301" s="465"/>
      <c r="BV301" s="465"/>
      <c r="BW301" s="465"/>
      <c r="BX301" s="465"/>
      <c r="BY301" s="465"/>
    </row>
    <row r="302" spans="2:77" s="28" customFormat="1">
      <c r="B302" s="201"/>
      <c r="D302" s="418"/>
      <c r="E302" s="29"/>
      <c r="G302" s="421"/>
      <c r="H302" s="422"/>
      <c r="I302" s="422"/>
      <c r="J302" s="422"/>
      <c r="K302" s="422"/>
      <c r="L302" s="422"/>
      <c r="P302" s="470"/>
      <c r="AJ302" s="31"/>
      <c r="AK302" s="31"/>
      <c r="AL302" s="32"/>
      <c r="AM302" s="33"/>
      <c r="AN302" s="32"/>
      <c r="AO302" s="33"/>
      <c r="AP302" s="32"/>
      <c r="AQ302" s="32"/>
      <c r="AR302" s="201"/>
      <c r="AS302" s="201"/>
      <c r="AT302" s="201"/>
      <c r="AU302" s="201"/>
      <c r="AV302" s="201"/>
      <c r="AW302" s="201"/>
      <c r="AX302" s="201"/>
      <c r="AY302" s="201"/>
      <c r="AZ302" s="201"/>
      <c r="BA302" s="201"/>
      <c r="BB302" s="201"/>
      <c r="BC302" s="201"/>
      <c r="BD302" s="465"/>
      <c r="BE302" s="465"/>
      <c r="BF302" s="465"/>
      <c r="BG302" s="465"/>
      <c r="BH302" s="465"/>
      <c r="BI302" s="465"/>
      <c r="BJ302" s="465"/>
      <c r="BK302" s="465"/>
      <c r="BL302" s="465"/>
      <c r="BM302" s="465"/>
      <c r="BN302" s="465"/>
      <c r="BO302" s="465"/>
      <c r="BP302" s="465"/>
      <c r="BQ302" s="465"/>
      <c r="BR302" s="465"/>
      <c r="BS302" s="465"/>
      <c r="BT302" s="465"/>
      <c r="BU302" s="465"/>
      <c r="BV302" s="465"/>
      <c r="BW302" s="465"/>
      <c r="BX302" s="465"/>
      <c r="BY302" s="465"/>
    </row>
    <row r="303" spans="2:77" s="28" customFormat="1">
      <c r="B303" s="201"/>
      <c r="D303" s="418"/>
      <c r="E303" s="29"/>
      <c r="G303" s="421"/>
      <c r="H303" s="422"/>
      <c r="I303" s="422"/>
      <c r="J303" s="422"/>
      <c r="K303" s="422"/>
      <c r="L303" s="422"/>
      <c r="P303" s="470"/>
      <c r="AJ303" s="31"/>
      <c r="AK303" s="31"/>
      <c r="AL303" s="32"/>
      <c r="AM303" s="33"/>
      <c r="AN303" s="32"/>
      <c r="AO303" s="33"/>
      <c r="AP303" s="32"/>
      <c r="AQ303" s="32"/>
      <c r="AR303" s="201"/>
      <c r="AS303" s="201"/>
      <c r="AT303" s="201"/>
      <c r="AU303" s="201"/>
      <c r="AV303" s="201"/>
      <c r="AW303" s="201"/>
      <c r="AX303" s="201"/>
      <c r="AY303" s="201"/>
      <c r="AZ303" s="201"/>
      <c r="BA303" s="201"/>
      <c r="BB303" s="201"/>
      <c r="BC303" s="201"/>
      <c r="BD303" s="465"/>
      <c r="BE303" s="465"/>
      <c r="BF303" s="465"/>
      <c r="BG303" s="465"/>
      <c r="BH303" s="465"/>
      <c r="BI303" s="465"/>
      <c r="BJ303" s="465"/>
      <c r="BK303" s="465"/>
      <c r="BL303" s="465"/>
      <c r="BM303" s="465"/>
      <c r="BN303" s="465"/>
      <c r="BO303" s="465"/>
      <c r="BP303" s="465"/>
      <c r="BQ303" s="465"/>
      <c r="BR303" s="465"/>
      <c r="BS303" s="465"/>
      <c r="BT303" s="465"/>
      <c r="BU303" s="465"/>
      <c r="BV303" s="465"/>
      <c r="BW303" s="465"/>
      <c r="BX303" s="465"/>
      <c r="BY303" s="465"/>
    </row>
    <row r="304" spans="2:77" s="28" customFormat="1">
      <c r="B304" s="201"/>
      <c r="D304" s="418"/>
      <c r="E304" s="29"/>
      <c r="G304" s="421"/>
      <c r="H304" s="422"/>
      <c r="I304" s="422"/>
      <c r="J304" s="422"/>
      <c r="K304" s="422"/>
      <c r="L304" s="422"/>
      <c r="P304" s="474"/>
      <c r="AJ304" s="31"/>
      <c r="AK304" s="31"/>
      <c r="AL304" s="32"/>
      <c r="AM304" s="33"/>
      <c r="AN304" s="32"/>
      <c r="AO304" s="33"/>
      <c r="AP304" s="32"/>
      <c r="AQ304" s="32"/>
      <c r="AR304" s="201"/>
      <c r="AS304" s="201"/>
      <c r="AT304" s="201"/>
      <c r="AU304" s="201"/>
      <c r="AV304" s="201"/>
      <c r="AW304" s="201"/>
      <c r="AX304" s="201"/>
      <c r="AY304" s="201"/>
      <c r="AZ304" s="201"/>
      <c r="BA304" s="201"/>
      <c r="BB304" s="201"/>
      <c r="BC304" s="201"/>
      <c r="BD304" s="465"/>
      <c r="BE304" s="465"/>
      <c r="BF304" s="465"/>
      <c r="BG304" s="465"/>
      <c r="BH304" s="465"/>
      <c r="BI304" s="465"/>
      <c r="BJ304" s="465"/>
      <c r="BK304" s="465"/>
      <c r="BL304" s="465"/>
      <c r="BM304" s="465"/>
      <c r="BN304" s="465"/>
      <c r="BO304" s="465"/>
      <c r="BP304" s="465"/>
      <c r="BQ304" s="465"/>
      <c r="BR304" s="465"/>
      <c r="BS304" s="465"/>
      <c r="BT304" s="465"/>
      <c r="BU304" s="465"/>
      <c r="BV304" s="465"/>
      <c r="BW304" s="465"/>
      <c r="BX304" s="465"/>
      <c r="BY304" s="465"/>
    </row>
    <row r="305" spans="2:77" s="28" customFormat="1">
      <c r="B305" s="201"/>
      <c r="D305" s="418"/>
      <c r="E305" s="29"/>
      <c r="G305" s="421"/>
      <c r="H305" s="422"/>
      <c r="I305" s="422"/>
      <c r="J305" s="422"/>
      <c r="K305" s="422"/>
      <c r="L305" s="422"/>
      <c r="P305" s="473"/>
      <c r="AJ305" s="31"/>
      <c r="AK305" s="31"/>
      <c r="AL305" s="32"/>
      <c r="AM305" s="33"/>
      <c r="AN305" s="32"/>
      <c r="AO305" s="33"/>
      <c r="AP305" s="32"/>
      <c r="AQ305" s="32"/>
      <c r="AR305" s="201"/>
      <c r="AS305" s="201"/>
      <c r="AT305" s="201"/>
      <c r="AU305" s="201"/>
      <c r="AV305" s="201"/>
      <c r="AW305" s="201"/>
      <c r="AX305" s="201"/>
      <c r="AY305" s="201"/>
      <c r="AZ305" s="201"/>
      <c r="BA305" s="201"/>
      <c r="BB305" s="201"/>
      <c r="BC305" s="201"/>
      <c r="BD305" s="465"/>
      <c r="BE305" s="465"/>
      <c r="BF305" s="465"/>
      <c r="BG305" s="465"/>
      <c r="BH305" s="465"/>
      <c r="BI305" s="465"/>
      <c r="BJ305" s="465"/>
      <c r="BK305" s="465"/>
      <c r="BL305" s="465"/>
      <c r="BM305" s="465"/>
      <c r="BN305" s="465"/>
      <c r="BO305" s="465"/>
      <c r="BP305" s="465"/>
      <c r="BQ305" s="465"/>
      <c r="BR305" s="465"/>
      <c r="BS305" s="465"/>
      <c r="BT305" s="465"/>
      <c r="BU305" s="465"/>
      <c r="BV305" s="465"/>
      <c r="BW305" s="465"/>
      <c r="BX305" s="465"/>
      <c r="BY305" s="465"/>
    </row>
    <row r="306" spans="2:77" s="28" customFormat="1">
      <c r="B306" s="201"/>
      <c r="D306" s="418"/>
      <c r="E306" s="29"/>
      <c r="G306" s="421"/>
      <c r="H306" s="422"/>
      <c r="I306" s="422"/>
      <c r="J306" s="422"/>
      <c r="K306" s="422"/>
      <c r="L306" s="422"/>
      <c r="P306" s="473"/>
      <c r="AJ306" s="31"/>
      <c r="AK306" s="31"/>
      <c r="AL306" s="32"/>
      <c r="AM306" s="33"/>
      <c r="AN306" s="32"/>
      <c r="AO306" s="33"/>
      <c r="AP306" s="32"/>
      <c r="AQ306" s="32"/>
      <c r="AR306" s="201"/>
      <c r="AS306" s="201"/>
      <c r="AT306" s="201"/>
      <c r="AU306" s="201"/>
      <c r="AV306" s="201"/>
      <c r="AW306" s="201"/>
      <c r="AX306" s="201"/>
      <c r="AY306" s="201"/>
      <c r="AZ306" s="201"/>
      <c r="BA306" s="201"/>
      <c r="BB306" s="201"/>
      <c r="BC306" s="201"/>
      <c r="BD306" s="465"/>
      <c r="BE306" s="465"/>
      <c r="BF306" s="465"/>
      <c r="BG306" s="465"/>
      <c r="BH306" s="465"/>
      <c r="BI306" s="465"/>
      <c r="BJ306" s="465"/>
      <c r="BK306" s="465"/>
      <c r="BL306" s="465"/>
      <c r="BM306" s="465"/>
      <c r="BN306" s="465"/>
      <c r="BO306" s="465"/>
      <c r="BP306" s="465"/>
      <c r="BQ306" s="465"/>
      <c r="BR306" s="465"/>
      <c r="BS306" s="465"/>
      <c r="BT306" s="465"/>
      <c r="BU306" s="465"/>
      <c r="BV306" s="465"/>
      <c r="BW306" s="465"/>
      <c r="BX306" s="465"/>
      <c r="BY306" s="465"/>
    </row>
    <row r="307" spans="2:77" s="28" customFormat="1">
      <c r="B307" s="201"/>
      <c r="D307" s="418"/>
      <c r="E307" s="29"/>
      <c r="G307" s="421"/>
      <c r="H307" s="422"/>
      <c r="I307" s="422"/>
      <c r="J307" s="422"/>
      <c r="K307" s="422"/>
      <c r="L307" s="422"/>
      <c r="P307" s="474"/>
      <c r="AJ307" s="31"/>
      <c r="AK307" s="31"/>
      <c r="AL307" s="32"/>
      <c r="AM307" s="33"/>
      <c r="AN307" s="32"/>
      <c r="AO307" s="33"/>
      <c r="AP307" s="32"/>
      <c r="AQ307" s="32"/>
      <c r="AR307" s="201"/>
      <c r="AS307" s="201"/>
      <c r="AT307" s="201"/>
      <c r="AU307" s="201"/>
      <c r="AV307" s="201"/>
      <c r="AW307" s="201"/>
      <c r="AX307" s="201"/>
      <c r="AY307" s="201"/>
      <c r="AZ307" s="201"/>
      <c r="BA307" s="201"/>
      <c r="BB307" s="201"/>
      <c r="BC307" s="201"/>
      <c r="BD307" s="465"/>
      <c r="BE307" s="465"/>
      <c r="BF307" s="465"/>
      <c r="BG307" s="465"/>
      <c r="BH307" s="465"/>
      <c r="BI307" s="465"/>
      <c r="BJ307" s="465"/>
      <c r="BK307" s="465"/>
      <c r="BL307" s="465"/>
      <c r="BM307" s="465"/>
      <c r="BN307" s="465"/>
      <c r="BO307" s="465"/>
      <c r="BP307" s="465"/>
      <c r="BQ307" s="465"/>
      <c r="BR307" s="465"/>
      <c r="BS307" s="465"/>
      <c r="BT307" s="465"/>
      <c r="BU307" s="465"/>
      <c r="BV307" s="465"/>
      <c r="BW307" s="465"/>
      <c r="BX307" s="465"/>
      <c r="BY307" s="465"/>
    </row>
    <row r="308" spans="2:77" s="28" customFormat="1">
      <c r="B308" s="201"/>
      <c r="D308" s="418"/>
      <c r="E308" s="29"/>
      <c r="G308" s="421"/>
      <c r="H308" s="422"/>
      <c r="I308" s="422"/>
      <c r="J308" s="422"/>
      <c r="K308" s="422"/>
      <c r="L308" s="422"/>
      <c r="P308" s="470"/>
      <c r="AJ308" s="31"/>
      <c r="AK308" s="31"/>
      <c r="AL308" s="32"/>
      <c r="AM308" s="33"/>
      <c r="AN308" s="32"/>
      <c r="AO308" s="33"/>
      <c r="AP308" s="32"/>
      <c r="AQ308" s="32"/>
      <c r="AR308" s="201"/>
      <c r="AS308" s="201"/>
      <c r="AT308" s="201"/>
      <c r="AU308" s="201"/>
      <c r="AV308" s="201"/>
      <c r="AW308" s="201"/>
      <c r="AX308" s="201"/>
      <c r="AY308" s="201"/>
      <c r="AZ308" s="201"/>
      <c r="BA308" s="201"/>
      <c r="BB308" s="201"/>
      <c r="BC308" s="201"/>
      <c r="BD308" s="465"/>
      <c r="BE308" s="465"/>
      <c r="BF308" s="465"/>
      <c r="BG308" s="465"/>
      <c r="BH308" s="465"/>
      <c r="BI308" s="465"/>
      <c r="BJ308" s="465"/>
      <c r="BK308" s="465"/>
      <c r="BL308" s="465"/>
      <c r="BM308" s="465"/>
      <c r="BN308" s="465"/>
      <c r="BO308" s="465"/>
      <c r="BP308" s="465"/>
      <c r="BQ308" s="465"/>
      <c r="BR308" s="465"/>
      <c r="BS308" s="465"/>
      <c r="BT308" s="465"/>
      <c r="BU308" s="465"/>
      <c r="BV308" s="465"/>
      <c r="BW308" s="465"/>
      <c r="BX308" s="465"/>
      <c r="BY308" s="465"/>
    </row>
    <row r="309" spans="2:77" s="28" customFormat="1">
      <c r="B309" s="201"/>
      <c r="D309" s="418"/>
      <c r="E309" s="29"/>
      <c r="G309" s="421"/>
      <c r="H309" s="422"/>
      <c r="I309" s="422"/>
      <c r="J309" s="422"/>
      <c r="K309" s="422"/>
      <c r="L309" s="422"/>
      <c r="P309" s="470"/>
      <c r="AJ309" s="31"/>
      <c r="AK309" s="31"/>
      <c r="AL309" s="32"/>
      <c r="AM309" s="33"/>
      <c r="AN309" s="32"/>
      <c r="AO309" s="33"/>
      <c r="AP309" s="32"/>
      <c r="AQ309" s="32"/>
      <c r="AR309" s="201"/>
      <c r="AS309" s="201"/>
      <c r="AT309" s="201"/>
      <c r="AU309" s="201"/>
      <c r="AV309" s="201"/>
      <c r="AW309" s="201"/>
      <c r="AX309" s="201"/>
      <c r="AY309" s="201"/>
      <c r="AZ309" s="201"/>
      <c r="BA309" s="201"/>
      <c r="BB309" s="201"/>
      <c r="BC309" s="201"/>
      <c r="BD309" s="465"/>
      <c r="BE309" s="465"/>
      <c r="BF309" s="465"/>
      <c r="BG309" s="465"/>
      <c r="BH309" s="465"/>
      <c r="BI309" s="465"/>
      <c r="BJ309" s="465"/>
      <c r="BK309" s="465"/>
      <c r="BL309" s="465"/>
      <c r="BM309" s="465"/>
      <c r="BN309" s="465"/>
      <c r="BO309" s="465"/>
      <c r="BP309" s="465"/>
      <c r="BQ309" s="465"/>
      <c r="BR309" s="465"/>
      <c r="BS309" s="465"/>
      <c r="BT309" s="465"/>
      <c r="BU309" s="465"/>
      <c r="BV309" s="465"/>
      <c r="BW309" s="465"/>
      <c r="BX309" s="465"/>
      <c r="BY309" s="465"/>
    </row>
    <row r="310" spans="2:77" s="28" customFormat="1">
      <c r="B310" s="201"/>
      <c r="D310" s="418"/>
      <c r="E310" s="29"/>
      <c r="G310" s="421"/>
      <c r="H310" s="422"/>
      <c r="I310" s="422"/>
      <c r="J310" s="422"/>
      <c r="K310" s="422"/>
      <c r="L310" s="422"/>
      <c r="P310" s="470"/>
      <c r="AJ310" s="31"/>
      <c r="AK310" s="31"/>
      <c r="AL310" s="32"/>
      <c r="AM310" s="33"/>
      <c r="AN310" s="32"/>
      <c r="AO310" s="33"/>
      <c r="AP310" s="32"/>
      <c r="AQ310" s="32"/>
      <c r="AR310" s="201"/>
      <c r="AS310" s="201"/>
      <c r="AT310" s="201"/>
      <c r="AU310" s="201"/>
      <c r="AV310" s="201"/>
      <c r="AW310" s="201"/>
      <c r="AX310" s="201"/>
      <c r="AY310" s="201"/>
      <c r="AZ310" s="201"/>
      <c r="BA310" s="201"/>
      <c r="BB310" s="201"/>
      <c r="BC310" s="201"/>
      <c r="BD310" s="465"/>
      <c r="BE310" s="465"/>
      <c r="BF310" s="465"/>
      <c r="BG310" s="465"/>
      <c r="BH310" s="465"/>
      <c r="BI310" s="465"/>
      <c r="BJ310" s="465"/>
      <c r="BK310" s="465"/>
      <c r="BL310" s="465"/>
      <c r="BM310" s="465"/>
      <c r="BN310" s="465"/>
      <c r="BO310" s="465"/>
      <c r="BP310" s="465"/>
      <c r="BQ310" s="465"/>
      <c r="BR310" s="465"/>
      <c r="BS310" s="465"/>
      <c r="BT310" s="465"/>
      <c r="BU310" s="465"/>
      <c r="BV310" s="465"/>
      <c r="BW310" s="465"/>
      <c r="BX310" s="465"/>
      <c r="BY310" s="465"/>
    </row>
    <row r="311" spans="2:77" s="28" customFormat="1">
      <c r="B311" s="201"/>
      <c r="D311" s="418"/>
      <c r="E311" s="29"/>
      <c r="G311" s="421"/>
      <c r="H311" s="422"/>
      <c r="I311" s="422"/>
      <c r="J311" s="422"/>
      <c r="K311" s="422"/>
      <c r="L311" s="422"/>
      <c r="P311" s="470"/>
      <c r="AJ311" s="31"/>
      <c r="AK311" s="31"/>
      <c r="AL311" s="32"/>
      <c r="AM311" s="33"/>
      <c r="AN311" s="32"/>
      <c r="AO311" s="33"/>
      <c r="AP311" s="32"/>
      <c r="AQ311" s="32"/>
      <c r="AR311" s="201"/>
      <c r="AS311" s="201"/>
      <c r="AT311" s="201"/>
      <c r="AU311" s="201"/>
      <c r="AV311" s="201"/>
      <c r="AW311" s="201"/>
      <c r="AX311" s="201"/>
      <c r="AY311" s="201"/>
      <c r="AZ311" s="201"/>
      <c r="BA311" s="201"/>
      <c r="BB311" s="201"/>
      <c r="BC311" s="201"/>
      <c r="BD311" s="465"/>
      <c r="BE311" s="465"/>
      <c r="BF311" s="465"/>
      <c r="BG311" s="465"/>
      <c r="BH311" s="465"/>
      <c r="BI311" s="465"/>
      <c r="BJ311" s="465"/>
      <c r="BK311" s="465"/>
      <c r="BL311" s="465"/>
      <c r="BM311" s="465"/>
      <c r="BN311" s="465"/>
      <c r="BO311" s="465"/>
      <c r="BP311" s="465"/>
      <c r="BQ311" s="465"/>
      <c r="BR311" s="465"/>
      <c r="BS311" s="465"/>
      <c r="BT311" s="465"/>
      <c r="BU311" s="465"/>
      <c r="BV311" s="465"/>
      <c r="BW311" s="465"/>
      <c r="BX311" s="465"/>
      <c r="BY311" s="465"/>
    </row>
    <row r="312" spans="2:77" s="28" customFormat="1">
      <c r="B312" s="201"/>
      <c r="D312" s="418"/>
      <c r="E312" s="29"/>
      <c r="G312" s="421"/>
      <c r="H312" s="422"/>
      <c r="I312" s="422"/>
      <c r="J312" s="422"/>
      <c r="K312" s="422"/>
      <c r="L312" s="422"/>
      <c r="P312" s="470"/>
      <c r="AJ312" s="31"/>
      <c r="AK312" s="31"/>
      <c r="AL312" s="32"/>
      <c r="AM312" s="33"/>
      <c r="AN312" s="32"/>
      <c r="AO312" s="33"/>
      <c r="AP312" s="32"/>
      <c r="AQ312" s="32"/>
      <c r="AR312" s="201"/>
      <c r="AS312" s="201"/>
      <c r="AT312" s="201"/>
      <c r="AU312" s="201"/>
      <c r="AV312" s="201"/>
      <c r="AW312" s="201"/>
      <c r="AX312" s="201"/>
      <c r="AY312" s="201"/>
      <c r="AZ312" s="201"/>
      <c r="BA312" s="201"/>
      <c r="BB312" s="201"/>
      <c r="BC312" s="201"/>
      <c r="BD312" s="465"/>
      <c r="BE312" s="465"/>
      <c r="BF312" s="465"/>
      <c r="BG312" s="465"/>
      <c r="BH312" s="465"/>
      <c r="BI312" s="465"/>
      <c r="BJ312" s="465"/>
      <c r="BK312" s="465"/>
      <c r="BL312" s="465"/>
      <c r="BM312" s="465"/>
      <c r="BN312" s="465"/>
      <c r="BO312" s="465"/>
      <c r="BP312" s="465"/>
      <c r="BQ312" s="465"/>
      <c r="BR312" s="465"/>
      <c r="BS312" s="465"/>
      <c r="BT312" s="465"/>
      <c r="BU312" s="465"/>
      <c r="BV312" s="465"/>
      <c r="BW312" s="465"/>
      <c r="BX312" s="465"/>
      <c r="BY312" s="465"/>
    </row>
    <row r="313" spans="2:77" s="28" customFormat="1">
      <c r="B313" s="201"/>
      <c r="D313" s="418"/>
      <c r="E313" s="29"/>
      <c r="G313" s="421"/>
      <c r="H313" s="422"/>
      <c r="I313" s="422"/>
      <c r="J313" s="422"/>
      <c r="K313" s="422"/>
      <c r="L313" s="422"/>
      <c r="P313" s="478"/>
      <c r="AJ313" s="31"/>
      <c r="AK313" s="31"/>
      <c r="AL313" s="32"/>
      <c r="AM313" s="33"/>
      <c r="AN313" s="32"/>
      <c r="AO313" s="33"/>
      <c r="AP313" s="32"/>
      <c r="AQ313" s="32"/>
      <c r="AR313" s="201"/>
      <c r="AS313" s="201"/>
      <c r="AT313" s="201"/>
      <c r="AU313" s="201"/>
      <c r="AV313" s="201"/>
      <c r="AW313" s="201"/>
      <c r="AX313" s="201"/>
      <c r="AY313" s="201"/>
      <c r="AZ313" s="201"/>
      <c r="BA313" s="201"/>
      <c r="BB313" s="201"/>
      <c r="BC313" s="201"/>
      <c r="BD313" s="465"/>
      <c r="BE313" s="465"/>
      <c r="BF313" s="465"/>
      <c r="BG313" s="465"/>
      <c r="BH313" s="465"/>
      <c r="BI313" s="465"/>
      <c r="BJ313" s="465"/>
      <c r="BK313" s="465"/>
      <c r="BL313" s="465"/>
      <c r="BM313" s="465"/>
      <c r="BN313" s="465"/>
      <c r="BO313" s="465"/>
      <c r="BP313" s="465"/>
      <c r="BQ313" s="465"/>
      <c r="BR313" s="465"/>
      <c r="BS313" s="465"/>
      <c r="BT313" s="465"/>
      <c r="BU313" s="465"/>
      <c r="BV313" s="465"/>
      <c r="BW313" s="465"/>
      <c r="BX313" s="465"/>
      <c r="BY313" s="465"/>
    </row>
    <row r="314" spans="2:77" s="28" customFormat="1">
      <c r="B314" s="201"/>
      <c r="D314" s="418"/>
      <c r="E314" s="29"/>
      <c r="G314" s="421"/>
      <c r="H314" s="422"/>
      <c r="I314" s="422"/>
      <c r="J314" s="422"/>
      <c r="K314" s="422"/>
      <c r="L314" s="422"/>
      <c r="P314" s="470"/>
      <c r="AJ314" s="31"/>
      <c r="AK314" s="31"/>
      <c r="AL314" s="32"/>
      <c r="AM314" s="33"/>
      <c r="AN314" s="32"/>
      <c r="AO314" s="33"/>
      <c r="AP314" s="32"/>
      <c r="AQ314" s="32"/>
      <c r="AR314" s="201"/>
      <c r="AS314" s="201"/>
      <c r="AT314" s="201"/>
      <c r="AU314" s="201"/>
      <c r="AV314" s="201"/>
      <c r="AW314" s="201"/>
      <c r="AX314" s="201"/>
      <c r="AY314" s="201"/>
      <c r="AZ314" s="201"/>
      <c r="BA314" s="201"/>
      <c r="BB314" s="201"/>
      <c r="BC314" s="201"/>
      <c r="BD314" s="465"/>
      <c r="BE314" s="465"/>
      <c r="BF314" s="465"/>
      <c r="BG314" s="465"/>
      <c r="BH314" s="465"/>
      <c r="BI314" s="465"/>
      <c r="BJ314" s="465"/>
      <c r="BK314" s="465"/>
      <c r="BL314" s="465"/>
      <c r="BM314" s="465"/>
      <c r="BN314" s="465"/>
      <c r="BO314" s="465"/>
      <c r="BP314" s="465"/>
      <c r="BQ314" s="465"/>
      <c r="BR314" s="465"/>
      <c r="BS314" s="465"/>
      <c r="BT314" s="465"/>
      <c r="BU314" s="465"/>
      <c r="BV314" s="465"/>
      <c r="BW314" s="465"/>
      <c r="BX314" s="465"/>
      <c r="BY314" s="465"/>
    </row>
    <row r="315" spans="2:77" s="28" customFormat="1">
      <c r="B315" s="201"/>
      <c r="D315" s="418"/>
      <c r="E315" s="29"/>
      <c r="G315" s="421"/>
      <c r="H315" s="422"/>
      <c r="I315" s="422"/>
      <c r="J315" s="422"/>
      <c r="K315" s="422"/>
      <c r="L315" s="422"/>
      <c r="P315" s="473"/>
      <c r="AJ315" s="31"/>
      <c r="AK315" s="31"/>
      <c r="AL315" s="32"/>
      <c r="AM315" s="33"/>
      <c r="AN315" s="32"/>
      <c r="AO315" s="33"/>
      <c r="AP315" s="32"/>
      <c r="AQ315" s="32"/>
      <c r="AR315" s="201"/>
      <c r="AS315" s="201"/>
      <c r="AT315" s="201"/>
      <c r="AU315" s="201"/>
      <c r="AV315" s="201"/>
      <c r="AW315" s="201"/>
      <c r="AX315" s="201"/>
      <c r="AY315" s="201"/>
      <c r="AZ315" s="201"/>
      <c r="BA315" s="201"/>
      <c r="BB315" s="201"/>
      <c r="BC315" s="201"/>
      <c r="BD315" s="465"/>
      <c r="BE315" s="465"/>
      <c r="BF315" s="465"/>
      <c r="BG315" s="465"/>
      <c r="BH315" s="465"/>
      <c r="BI315" s="465"/>
      <c r="BJ315" s="465"/>
      <c r="BK315" s="465"/>
      <c r="BL315" s="465"/>
      <c r="BM315" s="465"/>
      <c r="BN315" s="465"/>
      <c r="BO315" s="465"/>
      <c r="BP315" s="465"/>
      <c r="BQ315" s="465"/>
      <c r="BR315" s="465"/>
      <c r="BS315" s="465"/>
      <c r="BT315" s="465"/>
      <c r="BU315" s="465"/>
      <c r="BV315" s="465"/>
      <c r="BW315" s="465"/>
      <c r="BX315" s="465"/>
      <c r="BY315" s="465"/>
    </row>
    <row r="316" spans="2:77" s="28" customFormat="1">
      <c r="B316" s="201"/>
      <c r="D316" s="418"/>
      <c r="E316" s="29"/>
      <c r="G316" s="421"/>
      <c r="H316" s="422"/>
      <c r="I316" s="422"/>
      <c r="J316" s="422"/>
      <c r="K316" s="422"/>
      <c r="L316" s="422"/>
      <c r="P316" s="475"/>
      <c r="AJ316" s="31"/>
      <c r="AK316" s="31"/>
      <c r="AL316" s="32"/>
      <c r="AM316" s="33"/>
      <c r="AN316" s="32"/>
      <c r="AO316" s="33"/>
      <c r="AP316" s="32"/>
      <c r="AQ316" s="32"/>
      <c r="AR316" s="201"/>
      <c r="AS316" s="201"/>
      <c r="AT316" s="201"/>
      <c r="AU316" s="201"/>
      <c r="AV316" s="201"/>
      <c r="AW316" s="201"/>
      <c r="AX316" s="201"/>
      <c r="AY316" s="201"/>
      <c r="AZ316" s="201"/>
      <c r="BA316" s="201"/>
      <c r="BB316" s="201"/>
      <c r="BC316" s="201"/>
      <c r="BD316" s="465"/>
      <c r="BE316" s="465"/>
      <c r="BF316" s="465"/>
      <c r="BG316" s="465"/>
      <c r="BH316" s="465"/>
      <c r="BI316" s="465"/>
      <c r="BJ316" s="465"/>
      <c r="BK316" s="465"/>
      <c r="BL316" s="465"/>
      <c r="BM316" s="465"/>
      <c r="BN316" s="465"/>
      <c r="BO316" s="465"/>
      <c r="BP316" s="465"/>
      <c r="BQ316" s="465"/>
      <c r="BR316" s="465"/>
      <c r="BS316" s="465"/>
      <c r="BT316" s="465"/>
      <c r="BU316" s="465"/>
      <c r="BV316" s="465"/>
      <c r="BW316" s="465"/>
      <c r="BX316" s="465"/>
      <c r="BY316" s="465"/>
    </row>
    <row r="317" spans="2:77" s="28" customFormat="1">
      <c r="B317" s="201"/>
      <c r="D317" s="418"/>
      <c r="E317" s="29"/>
      <c r="G317" s="421"/>
      <c r="H317" s="422"/>
      <c r="I317" s="422"/>
      <c r="J317" s="422"/>
      <c r="K317" s="422"/>
      <c r="L317" s="422"/>
      <c r="P317" s="470"/>
      <c r="AJ317" s="31"/>
      <c r="AK317" s="31"/>
      <c r="AL317" s="32"/>
      <c r="AM317" s="33"/>
      <c r="AN317" s="32"/>
      <c r="AO317" s="33"/>
      <c r="AP317" s="32"/>
      <c r="AQ317" s="32"/>
      <c r="AR317" s="201"/>
      <c r="AS317" s="201"/>
      <c r="AT317" s="201"/>
      <c r="AU317" s="201"/>
      <c r="AV317" s="201"/>
      <c r="AW317" s="201"/>
      <c r="AX317" s="201"/>
      <c r="AY317" s="201"/>
      <c r="AZ317" s="201"/>
      <c r="BA317" s="201"/>
      <c r="BB317" s="201"/>
      <c r="BC317" s="201"/>
      <c r="BD317" s="465"/>
      <c r="BE317" s="465"/>
      <c r="BF317" s="465"/>
      <c r="BG317" s="465"/>
      <c r="BH317" s="465"/>
      <c r="BI317" s="465"/>
      <c r="BJ317" s="465"/>
      <c r="BK317" s="465"/>
      <c r="BL317" s="465"/>
      <c r="BM317" s="465"/>
      <c r="BN317" s="465"/>
      <c r="BO317" s="465"/>
      <c r="BP317" s="465"/>
      <c r="BQ317" s="465"/>
      <c r="BR317" s="465"/>
      <c r="BS317" s="465"/>
      <c r="BT317" s="465"/>
      <c r="BU317" s="465"/>
      <c r="BV317" s="465"/>
      <c r="BW317" s="465"/>
      <c r="BX317" s="465"/>
      <c r="BY317" s="465"/>
    </row>
    <row r="318" spans="2:77" s="28" customFormat="1">
      <c r="B318" s="201"/>
      <c r="D318" s="418"/>
      <c r="E318" s="29"/>
      <c r="G318" s="421"/>
      <c r="H318" s="422"/>
      <c r="I318" s="422"/>
      <c r="J318" s="422"/>
      <c r="K318" s="422"/>
      <c r="L318" s="422"/>
      <c r="P318" s="470"/>
      <c r="AJ318" s="31"/>
      <c r="AK318" s="31"/>
      <c r="AL318" s="32"/>
      <c r="AM318" s="33"/>
      <c r="AN318" s="32"/>
      <c r="AO318" s="33"/>
      <c r="AP318" s="32"/>
      <c r="AQ318" s="32"/>
      <c r="AR318" s="201"/>
      <c r="AS318" s="201"/>
      <c r="AT318" s="201"/>
      <c r="AU318" s="201"/>
      <c r="AV318" s="201"/>
      <c r="AW318" s="201"/>
      <c r="AX318" s="201"/>
      <c r="AY318" s="201"/>
      <c r="AZ318" s="201"/>
      <c r="BA318" s="201"/>
      <c r="BB318" s="201"/>
      <c r="BC318" s="201"/>
      <c r="BD318" s="465"/>
      <c r="BE318" s="465"/>
      <c r="BF318" s="465"/>
      <c r="BG318" s="465"/>
      <c r="BH318" s="465"/>
      <c r="BI318" s="465"/>
      <c r="BJ318" s="465"/>
      <c r="BK318" s="465"/>
      <c r="BL318" s="465"/>
      <c r="BM318" s="465"/>
      <c r="BN318" s="465"/>
      <c r="BO318" s="465"/>
      <c r="BP318" s="465"/>
      <c r="BQ318" s="465"/>
      <c r="BR318" s="465"/>
      <c r="BS318" s="465"/>
      <c r="BT318" s="465"/>
      <c r="BU318" s="465"/>
      <c r="BV318" s="465"/>
      <c r="BW318" s="465"/>
      <c r="BX318" s="465"/>
      <c r="BY318" s="465"/>
    </row>
    <row r="319" spans="2:77" s="28" customFormat="1">
      <c r="B319" s="201"/>
      <c r="D319" s="418"/>
      <c r="E319" s="29"/>
      <c r="G319" s="421"/>
      <c r="H319" s="422"/>
      <c r="I319" s="422"/>
      <c r="J319" s="422"/>
      <c r="K319" s="422"/>
      <c r="L319" s="422"/>
      <c r="P319" s="470"/>
      <c r="AJ319" s="31"/>
      <c r="AK319" s="31"/>
      <c r="AL319" s="32"/>
      <c r="AM319" s="33"/>
      <c r="AN319" s="32"/>
      <c r="AO319" s="33"/>
      <c r="AP319" s="32"/>
      <c r="AQ319" s="32"/>
      <c r="AR319" s="201"/>
      <c r="AS319" s="201"/>
      <c r="AT319" s="201"/>
      <c r="AU319" s="201"/>
      <c r="AV319" s="201"/>
      <c r="AW319" s="201"/>
      <c r="AX319" s="201"/>
      <c r="AY319" s="201"/>
      <c r="AZ319" s="201"/>
      <c r="BA319" s="201"/>
      <c r="BB319" s="201"/>
      <c r="BC319" s="201"/>
      <c r="BD319" s="465"/>
      <c r="BE319" s="465"/>
      <c r="BF319" s="465"/>
      <c r="BG319" s="465"/>
      <c r="BH319" s="465"/>
      <c r="BI319" s="465"/>
      <c r="BJ319" s="465"/>
      <c r="BK319" s="465"/>
      <c r="BL319" s="465"/>
      <c r="BM319" s="465"/>
      <c r="BN319" s="465"/>
      <c r="BO319" s="465"/>
      <c r="BP319" s="465"/>
      <c r="BQ319" s="465"/>
      <c r="BR319" s="465"/>
      <c r="BS319" s="465"/>
      <c r="BT319" s="465"/>
      <c r="BU319" s="465"/>
      <c r="BV319" s="465"/>
      <c r="BW319" s="465"/>
      <c r="BX319" s="465"/>
      <c r="BY319" s="465"/>
    </row>
    <row r="320" spans="2:77" s="28" customFormat="1">
      <c r="B320" s="201"/>
      <c r="D320" s="418"/>
      <c r="E320" s="29"/>
      <c r="G320" s="421"/>
      <c r="H320" s="422"/>
      <c r="I320" s="422"/>
      <c r="J320" s="422"/>
      <c r="K320" s="422"/>
      <c r="L320" s="422"/>
      <c r="P320" s="473"/>
      <c r="AJ320" s="31"/>
      <c r="AK320" s="31"/>
      <c r="AL320" s="32"/>
      <c r="AM320" s="33"/>
      <c r="AN320" s="32"/>
      <c r="AO320" s="33"/>
      <c r="AP320" s="32"/>
      <c r="AQ320" s="32"/>
      <c r="AR320" s="201"/>
      <c r="AS320" s="201"/>
      <c r="AT320" s="201"/>
      <c r="AU320" s="201"/>
      <c r="AV320" s="201"/>
      <c r="AW320" s="201"/>
      <c r="AX320" s="201"/>
      <c r="AY320" s="201"/>
      <c r="AZ320" s="201"/>
      <c r="BA320" s="201"/>
      <c r="BB320" s="201"/>
      <c r="BC320" s="201"/>
      <c r="BD320" s="465"/>
      <c r="BE320" s="465"/>
      <c r="BF320" s="465"/>
      <c r="BG320" s="465"/>
      <c r="BH320" s="465"/>
      <c r="BI320" s="465"/>
      <c r="BJ320" s="465"/>
      <c r="BK320" s="465"/>
      <c r="BL320" s="465"/>
      <c r="BM320" s="465"/>
      <c r="BN320" s="465"/>
      <c r="BO320" s="465"/>
      <c r="BP320" s="465"/>
      <c r="BQ320" s="465"/>
      <c r="BR320" s="465"/>
      <c r="BS320" s="465"/>
      <c r="BT320" s="465"/>
      <c r="BU320" s="465"/>
      <c r="BV320" s="465"/>
      <c r="BW320" s="465"/>
      <c r="BX320" s="465"/>
      <c r="BY320" s="465"/>
    </row>
    <row r="321" spans="2:77" s="28" customFormat="1">
      <c r="B321" s="201"/>
      <c r="D321" s="418"/>
      <c r="E321" s="29"/>
      <c r="G321" s="421"/>
      <c r="H321" s="422"/>
      <c r="I321" s="422"/>
      <c r="J321" s="422"/>
      <c r="K321" s="422"/>
      <c r="L321" s="422"/>
      <c r="P321" s="476"/>
      <c r="AJ321" s="31"/>
      <c r="AK321" s="31"/>
      <c r="AL321" s="32"/>
      <c r="AM321" s="33"/>
      <c r="AN321" s="32"/>
      <c r="AO321" s="33"/>
      <c r="AP321" s="32"/>
      <c r="AQ321" s="32"/>
      <c r="AR321" s="201"/>
      <c r="AS321" s="201"/>
      <c r="AT321" s="201"/>
      <c r="AU321" s="201"/>
      <c r="AV321" s="201"/>
      <c r="AW321" s="201"/>
      <c r="AX321" s="201"/>
      <c r="AY321" s="201"/>
      <c r="AZ321" s="201"/>
      <c r="BA321" s="201"/>
      <c r="BB321" s="201"/>
      <c r="BC321" s="201"/>
      <c r="BD321" s="465"/>
      <c r="BE321" s="465"/>
      <c r="BF321" s="465"/>
      <c r="BG321" s="465"/>
      <c r="BH321" s="465"/>
      <c r="BI321" s="465"/>
      <c r="BJ321" s="465"/>
      <c r="BK321" s="465"/>
      <c r="BL321" s="465"/>
      <c r="BM321" s="465"/>
      <c r="BN321" s="465"/>
      <c r="BO321" s="465"/>
      <c r="BP321" s="465"/>
      <c r="BQ321" s="465"/>
      <c r="BR321" s="465"/>
      <c r="BS321" s="465"/>
      <c r="BT321" s="465"/>
      <c r="BU321" s="465"/>
      <c r="BV321" s="465"/>
      <c r="BW321" s="465"/>
      <c r="BX321" s="465"/>
      <c r="BY321" s="465"/>
    </row>
    <row r="322" spans="2:77" s="28" customFormat="1">
      <c r="B322" s="201"/>
      <c r="D322" s="418"/>
      <c r="E322" s="29"/>
      <c r="G322" s="421"/>
      <c r="H322" s="422"/>
      <c r="I322" s="422"/>
      <c r="J322" s="422"/>
      <c r="K322" s="422"/>
      <c r="L322" s="422"/>
      <c r="P322" s="474"/>
      <c r="AJ322" s="31"/>
      <c r="AK322" s="31"/>
      <c r="AL322" s="32"/>
      <c r="AM322" s="33"/>
      <c r="AN322" s="32"/>
      <c r="AO322" s="33"/>
      <c r="AP322" s="32"/>
      <c r="AQ322" s="32"/>
      <c r="AR322" s="201"/>
      <c r="AS322" s="201"/>
      <c r="AT322" s="201"/>
      <c r="AU322" s="201"/>
      <c r="AV322" s="201"/>
      <c r="AW322" s="201"/>
      <c r="AX322" s="201"/>
      <c r="AY322" s="201"/>
      <c r="AZ322" s="201"/>
      <c r="BA322" s="201"/>
      <c r="BB322" s="201"/>
      <c r="BC322" s="201"/>
      <c r="BD322" s="465"/>
      <c r="BE322" s="465"/>
      <c r="BF322" s="465"/>
      <c r="BG322" s="465"/>
      <c r="BH322" s="465"/>
      <c r="BI322" s="465"/>
      <c r="BJ322" s="465"/>
      <c r="BK322" s="465"/>
      <c r="BL322" s="465"/>
      <c r="BM322" s="465"/>
      <c r="BN322" s="465"/>
      <c r="BO322" s="465"/>
      <c r="BP322" s="465"/>
      <c r="BQ322" s="465"/>
      <c r="BR322" s="465"/>
      <c r="BS322" s="465"/>
      <c r="BT322" s="465"/>
      <c r="BU322" s="465"/>
      <c r="BV322" s="465"/>
      <c r="BW322" s="465"/>
      <c r="BX322" s="465"/>
      <c r="BY322" s="465"/>
    </row>
    <row r="323" spans="2:77" s="28" customFormat="1">
      <c r="B323" s="201"/>
      <c r="D323" s="418"/>
      <c r="E323" s="29"/>
      <c r="G323" s="421"/>
      <c r="H323" s="422"/>
      <c r="I323" s="422"/>
      <c r="J323" s="422"/>
      <c r="K323" s="422"/>
      <c r="L323" s="422"/>
      <c r="P323" s="469"/>
      <c r="AJ323" s="31"/>
      <c r="AK323" s="31"/>
      <c r="AL323" s="32"/>
      <c r="AM323" s="33"/>
      <c r="AN323" s="32"/>
      <c r="AO323" s="33"/>
      <c r="AP323" s="32"/>
      <c r="AQ323" s="32"/>
      <c r="AR323" s="201"/>
      <c r="AS323" s="201"/>
      <c r="AT323" s="201"/>
      <c r="AU323" s="201"/>
      <c r="AV323" s="201"/>
      <c r="AW323" s="201"/>
      <c r="AX323" s="201"/>
      <c r="AY323" s="201"/>
      <c r="AZ323" s="201"/>
      <c r="BA323" s="201"/>
      <c r="BB323" s="201"/>
      <c r="BC323" s="201"/>
      <c r="BD323" s="465"/>
      <c r="BE323" s="465"/>
      <c r="BF323" s="465"/>
      <c r="BG323" s="465"/>
      <c r="BH323" s="465"/>
      <c r="BI323" s="465"/>
      <c r="BJ323" s="465"/>
      <c r="BK323" s="465"/>
      <c r="BL323" s="465"/>
      <c r="BM323" s="465"/>
      <c r="BN323" s="465"/>
      <c r="BO323" s="465"/>
      <c r="BP323" s="465"/>
      <c r="BQ323" s="465"/>
      <c r="BR323" s="465"/>
      <c r="BS323" s="465"/>
      <c r="BT323" s="465"/>
      <c r="BU323" s="465"/>
      <c r="BV323" s="465"/>
      <c r="BW323" s="465"/>
      <c r="BX323" s="465"/>
      <c r="BY323" s="465"/>
    </row>
    <row r="324" spans="2:77" s="28" customFormat="1">
      <c r="B324" s="201"/>
      <c r="D324" s="418"/>
      <c r="E324" s="29"/>
      <c r="G324" s="421"/>
      <c r="H324" s="422"/>
      <c r="I324" s="422"/>
      <c r="J324" s="422"/>
      <c r="K324" s="422"/>
      <c r="L324" s="422"/>
      <c r="P324" s="472"/>
      <c r="AJ324" s="31"/>
      <c r="AK324" s="31"/>
      <c r="AL324" s="32"/>
      <c r="AM324" s="33"/>
      <c r="AN324" s="32"/>
      <c r="AO324" s="33"/>
      <c r="AP324" s="32"/>
      <c r="AQ324" s="32"/>
      <c r="AR324" s="201"/>
      <c r="AS324" s="201"/>
      <c r="AT324" s="201"/>
      <c r="AU324" s="201"/>
      <c r="AV324" s="201"/>
      <c r="AW324" s="201"/>
      <c r="AX324" s="201"/>
      <c r="AY324" s="201"/>
      <c r="AZ324" s="201"/>
      <c r="BA324" s="201"/>
      <c r="BB324" s="201"/>
      <c r="BC324" s="201"/>
      <c r="BD324" s="465"/>
      <c r="BE324" s="465"/>
      <c r="BF324" s="465"/>
      <c r="BG324" s="465"/>
      <c r="BH324" s="465"/>
      <c r="BI324" s="465"/>
      <c r="BJ324" s="465"/>
      <c r="BK324" s="465"/>
      <c r="BL324" s="465"/>
      <c r="BM324" s="465"/>
      <c r="BN324" s="465"/>
      <c r="BO324" s="465"/>
      <c r="BP324" s="465"/>
      <c r="BQ324" s="465"/>
      <c r="BR324" s="465"/>
      <c r="BS324" s="465"/>
      <c r="BT324" s="465"/>
      <c r="BU324" s="465"/>
      <c r="BV324" s="465"/>
      <c r="BW324" s="465"/>
      <c r="BX324" s="465"/>
      <c r="BY324" s="465"/>
    </row>
    <row r="325" spans="2:77" s="28" customFormat="1">
      <c r="B325" s="201"/>
      <c r="D325" s="418"/>
      <c r="E325" s="29"/>
      <c r="G325" s="421"/>
      <c r="H325" s="422"/>
      <c r="I325" s="422"/>
      <c r="J325" s="422"/>
      <c r="K325" s="422"/>
      <c r="L325" s="422"/>
      <c r="P325" s="470"/>
      <c r="AJ325" s="31"/>
      <c r="AK325" s="31"/>
      <c r="AL325" s="32"/>
      <c r="AM325" s="33"/>
      <c r="AN325" s="32"/>
      <c r="AO325" s="33"/>
      <c r="AP325" s="32"/>
      <c r="AQ325" s="32"/>
      <c r="AR325" s="201"/>
      <c r="AS325" s="201"/>
      <c r="AT325" s="201"/>
      <c r="AU325" s="201"/>
      <c r="AV325" s="201"/>
      <c r="AW325" s="201"/>
      <c r="AX325" s="201"/>
      <c r="AY325" s="201"/>
      <c r="AZ325" s="201"/>
      <c r="BA325" s="201"/>
      <c r="BB325" s="201"/>
      <c r="BC325" s="201"/>
      <c r="BD325" s="465"/>
      <c r="BE325" s="465"/>
      <c r="BF325" s="465"/>
      <c r="BG325" s="465"/>
      <c r="BH325" s="465"/>
      <c r="BI325" s="465"/>
      <c r="BJ325" s="465"/>
      <c r="BK325" s="465"/>
      <c r="BL325" s="465"/>
      <c r="BM325" s="465"/>
      <c r="BN325" s="465"/>
      <c r="BO325" s="465"/>
      <c r="BP325" s="465"/>
      <c r="BQ325" s="465"/>
      <c r="BR325" s="465"/>
      <c r="BS325" s="465"/>
      <c r="BT325" s="465"/>
      <c r="BU325" s="465"/>
      <c r="BV325" s="465"/>
      <c r="BW325" s="465"/>
      <c r="BX325" s="465"/>
      <c r="BY325" s="465"/>
    </row>
    <row r="326" spans="2:77" s="28" customFormat="1">
      <c r="B326" s="201"/>
      <c r="D326" s="418"/>
      <c r="E326" s="29"/>
      <c r="G326" s="421"/>
      <c r="H326" s="422"/>
      <c r="I326" s="422"/>
      <c r="J326" s="422"/>
      <c r="K326" s="422"/>
      <c r="L326" s="422"/>
      <c r="P326" s="479"/>
      <c r="AJ326" s="31"/>
      <c r="AK326" s="31"/>
      <c r="AL326" s="32"/>
      <c r="AM326" s="33"/>
      <c r="AN326" s="32"/>
      <c r="AO326" s="33"/>
      <c r="AP326" s="32"/>
      <c r="AQ326" s="32"/>
      <c r="AR326" s="201"/>
      <c r="AS326" s="201"/>
      <c r="AT326" s="201"/>
      <c r="AU326" s="201"/>
      <c r="AV326" s="201"/>
      <c r="AW326" s="201"/>
      <c r="AX326" s="201"/>
      <c r="AY326" s="201"/>
      <c r="AZ326" s="201"/>
      <c r="BA326" s="201"/>
      <c r="BB326" s="201"/>
      <c r="BC326" s="201"/>
      <c r="BD326" s="465"/>
      <c r="BE326" s="465"/>
      <c r="BF326" s="465"/>
      <c r="BG326" s="465"/>
      <c r="BH326" s="465"/>
      <c r="BI326" s="465"/>
      <c r="BJ326" s="465"/>
      <c r="BK326" s="465"/>
      <c r="BL326" s="465"/>
      <c r="BM326" s="465"/>
      <c r="BN326" s="465"/>
      <c r="BO326" s="465"/>
      <c r="BP326" s="465"/>
      <c r="BQ326" s="465"/>
      <c r="BR326" s="465"/>
      <c r="BS326" s="465"/>
      <c r="BT326" s="465"/>
      <c r="BU326" s="465"/>
      <c r="BV326" s="465"/>
      <c r="BW326" s="465"/>
      <c r="BX326" s="465"/>
      <c r="BY326" s="465"/>
    </row>
    <row r="327" spans="2:77" s="28" customFormat="1">
      <c r="B327" s="201"/>
      <c r="D327" s="418"/>
      <c r="E327" s="29"/>
      <c r="G327" s="421"/>
      <c r="H327" s="422"/>
      <c r="I327" s="422"/>
      <c r="J327" s="422"/>
      <c r="K327" s="422"/>
      <c r="L327" s="422"/>
      <c r="P327" s="469"/>
      <c r="AJ327" s="31"/>
      <c r="AK327" s="31"/>
      <c r="AL327" s="32"/>
      <c r="AM327" s="33"/>
      <c r="AN327" s="32"/>
      <c r="AO327" s="33"/>
      <c r="AP327" s="32"/>
      <c r="AQ327" s="32"/>
      <c r="AR327" s="201"/>
      <c r="AS327" s="201"/>
      <c r="AT327" s="201"/>
      <c r="AU327" s="201"/>
      <c r="AV327" s="201"/>
      <c r="AW327" s="201"/>
      <c r="AX327" s="201"/>
      <c r="AY327" s="201"/>
      <c r="AZ327" s="201"/>
      <c r="BA327" s="201"/>
      <c r="BB327" s="201"/>
      <c r="BC327" s="201"/>
      <c r="BD327" s="465"/>
      <c r="BE327" s="465"/>
      <c r="BF327" s="465"/>
      <c r="BG327" s="465"/>
      <c r="BH327" s="465"/>
      <c r="BI327" s="465"/>
      <c r="BJ327" s="465"/>
      <c r="BK327" s="465"/>
      <c r="BL327" s="465"/>
      <c r="BM327" s="465"/>
      <c r="BN327" s="465"/>
      <c r="BO327" s="465"/>
      <c r="BP327" s="465"/>
      <c r="BQ327" s="465"/>
      <c r="BR327" s="465"/>
      <c r="BS327" s="465"/>
      <c r="BT327" s="465"/>
      <c r="BU327" s="465"/>
      <c r="BV327" s="465"/>
      <c r="BW327" s="465"/>
      <c r="BX327" s="465"/>
      <c r="BY327" s="465"/>
    </row>
    <row r="328" spans="2:77" s="28" customFormat="1">
      <c r="B328" s="201"/>
      <c r="D328" s="418"/>
      <c r="E328" s="29"/>
      <c r="G328" s="421"/>
      <c r="H328" s="422"/>
      <c r="I328" s="422"/>
      <c r="J328" s="422"/>
      <c r="K328" s="422"/>
      <c r="L328" s="422"/>
      <c r="P328" s="480"/>
      <c r="AJ328" s="31"/>
      <c r="AK328" s="31"/>
      <c r="AL328" s="32"/>
      <c r="AM328" s="33"/>
      <c r="AN328" s="32"/>
      <c r="AO328" s="33"/>
      <c r="AP328" s="32"/>
      <c r="AQ328" s="32"/>
      <c r="AR328" s="201"/>
      <c r="AS328" s="201"/>
      <c r="AT328" s="201"/>
      <c r="AU328" s="201"/>
      <c r="AV328" s="201"/>
      <c r="AW328" s="201"/>
      <c r="AX328" s="201"/>
      <c r="AY328" s="201"/>
      <c r="AZ328" s="201"/>
      <c r="BA328" s="201"/>
      <c r="BB328" s="201"/>
      <c r="BC328" s="201"/>
      <c r="BD328" s="465"/>
      <c r="BE328" s="465"/>
      <c r="BF328" s="465"/>
      <c r="BG328" s="465"/>
      <c r="BH328" s="465"/>
      <c r="BI328" s="465"/>
      <c r="BJ328" s="465"/>
      <c r="BK328" s="465"/>
      <c r="BL328" s="465"/>
      <c r="BM328" s="465"/>
      <c r="BN328" s="465"/>
      <c r="BO328" s="465"/>
      <c r="BP328" s="465"/>
      <c r="BQ328" s="465"/>
      <c r="BR328" s="465"/>
      <c r="BS328" s="465"/>
      <c r="BT328" s="465"/>
      <c r="BU328" s="465"/>
      <c r="BV328" s="465"/>
      <c r="BW328" s="465"/>
      <c r="BX328" s="465"/>
      <c r="BY328" s="465"/>
    </row>
    <row r="329" spans="2:77" s="28" customFormat="1">
      <c r="B329" s="201"/>
      <c r="D329" s="418"/>
      <c r="E329" s="29"/>
      <c r="G329" s="421"/>
      <c r="H329" s="422"/>
      <c r="I329" s="422"/>
      <c r="J329" s="422"/>
      <c r="K329" s="422"/>
      <c r="L329" s="422"/>
      <c r="P329" s="472"/>
      <c r="AJ329" s="31"/>
      <c r="AK329" s="31"/>
      <c r="AL329" s="32"/>
      <c r="AM329" s="33"/>
      <c r="AN329" s="32"/>
      <c r="AO329" s="33"/>
      <c r="AP329" s="32"/>
      <c r="AQ329" s="32"/>
      <c r="AR329" s="201"/>
      <c r="AS329" s="201"/>
      <c r="AT329" s="201"/>
      <c r="AU329" s="201"/>
      <c r="AV329" s="201"/>
      <c r="AW329" s="201"/>
      <c r="AX329" s="201"/>
      <c r="AY329" s="201"/>
      <c r="AZ329" s="201"/>
      <c r="BA329" s="201"/>
      <c r="BB329" s="201"/>
      <c r="BC329" s="201"/>
      <c r="BD329" s="465"/>
      <c r="BE329" s="465"/>
      <c r="BF329" s="465"/>
      <c r="BG329" s="465"/>
      <c r="BH329" s="465"/>
      <c r="BI329" s="465"/>
      <c r="BJ329" s="465"/>
      <c r="BK329" s="465"/>
      <c r="BL329" s="465"/>
      <c r="BM329" s="465"/>
      <c r="BN329" s="465"/>
      <c r="BO329" s="465"/>
      <c r="BP329" s="465"/>
      <c r="BQ329" s="465"/>
      <c r="BR329" s="465"/>
      <c r="BS329" s="465"/>
      <c r="BT329" s="465"/>
      <c r="BU329" s="465"/>
      <c r="BV329" s="465"/>
      <c r="BW329" s="465"/>
      <c r="BX329" s="465"/>
      <c r="BY329" s="465"/>
    </row>
    <row r="330" spans="2:77" s="28" customFormat="1">
      <c r="B330" s="201"/>
      <c r="D330" s="418"/>
      <c r="E330" s="29"/>
      <c r="G330" s="421"/>
      <c r="H330" s="422"/>
      <c r="I330" s="422"/>
      <c r="J330" s="422"/>
      <c r="K330" s="422"/>
      <c r="L330" s="422"/>
      <c r="P330" s="469"/>
      <c r="AJ330" s="31"/>
      <c r="AK330" s="31"/>
      <c r="AL330" s="32"/>
      <c r="AM330" s="33"/>
      <c r="AN330" s="32"/>
      <c r="AO330" s="33"/>
      <c r="AP330" s="32"/>
      <c r="AQ330" s="32"/>
      <c r="AR330" s="201"/>
      <c r="AS330" s="201"/>
      <c r="AT330" s="201"/>
      <c r="AU330" s="201"/>
      <c r="AV330" s="201"/>
      <c r="AW330" s="201"/>
      <c r="AX330" s="201"/>
      <c r="AY330" s="201"/>
      <c r="AZ330" s="201"/>
      <c r="BA330" s="201"/>
      <c r="BB330" s="201"/>
      <c r="BC330" s="201"/>
      <c r="BD330" s="465"/>
      <c r="BE330" s="465"/>
      <c r="BF330" s="465"/>
      <c r="BG330" s="465"/>
      <c r="BH330" s="465"/>
      <c r="BI330" s="465"/>
      <c r="BJ330" s="465"/>
      <c r="BK330" s="465"/>
      <c r="BL330" s="465"/>
      <c r="BM330" s="465"/>
      <c r="BN330" s="465"/>
      <c r="BO330" s="465"/>
      <c r="BP330" s="465"/>
      <c r="BQ330" s="465"/>
      <c r="BR330" s="465"/>
      <c r="BS330" s="465"/>
      <c r="BT330" s="465"/>
      <c r="BU330" s="465"/>
      <c r="BV330" s="465"/>
      <c r="BW330" s="465"/>
      <c r="BX330" s="465"/>
      <c r="BY330" s="465"/>
    </row>
    <row r="331" spans="2:77" s="28" customFormat="1">
      <c r="B331" s="201"/>
      <c r="D331" s="418"/>
      <c r="E331" s="29"/>
      <c r="G331" s="421"/>
      <c r="H331" s="422"/>
      <c r="I331" s="422"/>
      <c r="J331" s="422"/>
      <c r="K331" s="422"/>
      <c r="L331" s="422"/>
      <c r="P331" s="470"/>
      <c r="AJ331" s="31"/>
      <c r="AK331" s="31"/>
      <c r="AL331" s="32"/>
      <c r="AM331" s="33"/>
      <c r="AN331" s="32"/>
      <c r="AO331" s="33"/>
      <c r="AP331" s="32"/>
      <c r="AQ331" s="32"/>
      <c r="AR331" s="201"/>
      <c r="AS331" s="201"/>
      <c r="AT331" s="201"/>
      <c r="AU331" s="201"/>
      <c r="AV331" s="201"/>
      <c r="AW331" s="201"/>
      <c r="AX331" s="201"/>
      <c r="AY331" s="201"/>
      <c r="AZ331" s="201"/>
      <c r="BA331" s="201"/>
      <c r="BB331" s="201"/>
      <c r="BC331" s="201"/>
      <c r="BD331" s="465"/>
      <c r="BE331" s="465"/>
      <c r="BF331" s="465"/>
      <c r="BG331" s="465"/>
      <c r="BH331" s="465"/>
      <c r="BI331" s="465"/>
      <c r="BJ331" s="465"/>
      <c r="BK331" s="465"/>
      <c r="BL331" s="465"/>
      <c r="BM331" s="465"/>
      <c r="BN331" s="465"/>
      <c r="BO331" s="465"/>
      <c r="BP331" s="465"/>
      <c r="BQ331" s="465"/>
      <c r="BR331" s="465"/>
      <c r="BS331" s="465"/>
      <c r="BT331" s="465"/>
      <c r="BU331" s="465"/>
      <c r="BV331" s="465"/>
      <c r="BW331" s="465"/>
      <c r="BX331" s="465"/>
      <c r="BY331" s="465"/>
    </row>
    <row r="332" spans="2:77" s="28" customFormat="1">
      <c r="B332" s="201"/>
      <c r="D332" s="418"/>
      <c r="E332" s="29"/>
      <c r="G332" s="421"/>
      <c r="H332" s="422"/>
      <c r="I332" s="422"/>
      <c r="J332" s="422"/>
      <c r="K332" s="422"/>
      <c r="L332" s="422"/>
      <c r="P332" s="470"/>
      <c r="AJ332" s="31"/>
      <c r="AK332" s="31"/>
      <c r="AL332" s="32"/>
      <c r="AM332" s="33"/>
      <c r="AN332" s="32"/>
      <c r="AO332" s="33"/>
      <c r="AP332" s="32"/>
      <c r="AQ332" s="32"/>
      <c r="AR332" s="201"/>
      <c r="AS332" s="201"/>
      <c r="AT332" s="201"/>
      <c r="AU332" s="201"/>
      <c r="AV332" s="201"/>
      <c r="AW332" s="201"/>
      <c r="AX332" s="201"/>
      <c r="AY332" s="201"/>
      <c r="AZ332" s="201"/>
      <c r="BA332" s="201"/>
      <c r="BB332" s="201"/>
      <c r="BC332" s="201"/>
      <c r="BD332" s="465"/>
      <c r="BE332" s="465"/>
      <c r="BF332" s="465"/>
      <c r="BG332" s="465"/>
      <c r="BH332" s="465"/>
      <c r="BI332" s="465"/>
      <c r="BJ332" s="465"/>
      <c r="BK332" s="465"/>
      <c r="BL332" s="465"/>
      <c r="BM332" s="465"/>
      <c r="BN332" s="465"/>
      <c r="BO332" s="465"/>
      <c r="BP332" s="465"/>
      <c r="BQ332" s="465"/>
      <c r="BR332" s="465"/>
      <c r="BS332" s="465"/>
      <c r="BT332" s="465"/>
      <c r="BU332" s="465"/>
      <c r="BV332" s="465"/>
      <c r="BW332" s="465"/>
      <c r="BX332" s="465"/>
      <c r="BY332" s="465"/>
    </row>
    <row r="333" spans="2:77" s="28" customFormat="1">
      <c r="B333" s="201"/>
      <c r="D333" s="418"/>
      <c r="E333" s="29"/>
      <c r="G333" s="421"/>
      <c r="H333" s="422"/>
      <c r="I333" s="422"/>
      <c r="J333" s="422"/>
      <c r="K333" s="422"/>
      <c r="L333" s="422"/>
      <c r="P333" s="470"/>
      <c r="AJ333" s="31"/>
      <c r="AK333" s="31"/>
      <c r="AL333" s="32"/>
      <c r="AM333" s="33"/>
      <c r="AN333" s="32"/>
      <c r="AO333" s="33"/>
      <c r="AP333" s="32"/>
      <c r="AQ333" s="32"/>
      <c r="AR333" s="201"/>
      <c r="AS333" s="201"/>
      <c r="AT333" s="201"/>
      <c r="AU333" s="201"/>
      <c r="AV333" s="201"/>
      <c r="AW333" s="201"/>
      <c r="AX333" s="201"/>
      <c r="AY333" s="201"/>
      <c r="AZ333" s="201"/>
      <c r="BA333" s="201"/>
      <c r="BB333" s="201"/>
      <c r="BC333" s="201"/>
      <c r="BD333" s="465"/>
      <c r="BE333" s="465"/>
      <c r="BF333" s="465"/>
      <c r="BG333" s="465"/>
      <c r="BH333" s="465"/>
      <c r="BI333" s="465"/>
      <c r="BJ333" s="465"/>
      <c r="BK333" s="465"/>
      <c r="BL333" s="465"/>
      <c r="BM333" s="465"/>
      <c r="BN333" s="465"/>
      <c r="BO333" s="465"/>
      <c r="BP333" s="465"/>
      <c r="BQ333" s="465"/>
      <c r="BR333" s="465"/>
      <c r="BS333" s="465"/>
      <c r="BT333" s="465"/>
      <c r="BU333" s="465"/>
      <c r="BV333" s="465"/>
      <c r="BW333" s="465"/>
      <c r="BX333" s="465"/>
      <c r="BY333" s="465"/>
    </row>
    <row r="334" spans="2:77" s="28" customFormat="1">
      <c r="B334" s="201"/>
      <c r="D334" s="418"/>
      <c r="E334" s="29"/>
      <c r="G334" s="421"/>
      <c r="H334" s="422"/>
      <c r="I334" s="422"/>
      <c r="J334" s="422"/>
      <c r="K334" s="422"/>
      <c r="L334" s="422"/>
      <c r="P334" s="470"/>
      <c r="AJ334" s="31"/>
      <c r="AK334" s="31"/>
      <c r="AL334" s="32"/>
      <c r="AM334" s="33"/>
      <c r="AN334" s="32"/>
      <c r="AO334" s="33"/>
      <c r="AP334" s="32"/>
      <c r="AQ334" s="32"/>
      <c r="AR334" s="201"/>
      <c r="AS334" s="201"/>
      <c r="AT334" s="201"/>
      <c r="AU334" s="201"/>
      <c r="AV334" s="201"/>
      <c r="AW334" s="201"/>
      <c r="AX334" s="201"/>
      <c r="AY334" s="201"/>
      <c r="AZ334" s="201"/>
      <c r="BA334" s="201"/>
      <c r="BB334" s="201"/>
      <c r="BC334" s="201"/>
      <c r="BD334" s="465"/>
      <c r="BE334" s="465"/>
      <c r="BF334" s="465"/>
      <c r="BG334" s="465"/>
      <c r="BH334" s="465"/>
      <c r="BI334" s="465"/>
      <c r="BJ334" s="465"/>
      <c r="BK334" s="465"/>
      <c r="BL334" s="465"/>
      <c r="BM334" s="465"/>
      <c r="BN334" s="465"/>
      <c r="BO334" s="465"/>
      <c r="BP334" s="465"/>
      <c r="BQ334" s="465"/>
      <c r="BR334" s="465"/>
      <c r="BS334" s="465"/>
      <c r="BT334" s="465"/>
      <c r="BU334" s="465"/>
      <c r="BV334" s="465"/>
      <c r="BW334" s="465"/>
      <c r="BX334" s="465"/>
      <c r="BY334" s="465"/>
    </row>
    <row r="335" spans="2:77" s="28" customFormat="1">
      <c r="B335" s="201"/>
      <c r="D335" s="418"/>
      <c r="E335" s="29"/>
      <c r="G335" s="421"/>
      <c r="H335" s="422"/>
      <c r="I335" s="422"/>
      <c r="J335" s="422"/>
      <c r="K335" s="422"/>
      <c r="L335" s="422"/>
      <c r="P335" s="471"/>
      <c r="AJ335" s="31"/>
      <c r="AK335" s="31"/>
      <c r="AL335" s="32"/>
      <c r="AM335" s="33"/>
      <c r="AN335" s="32"/>
      <c r="AO335" s="33"/>
      <c r="AP335" s="32"/>
      <c r="AQ335" s="32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201"/>
      <c r="BC335" s="201"/>
      <c r="BD335" s="465"/>
      <c r="BE335" s="465"/>
      <c r="BF335" s="465"/>
      <c r="BG335" s="465"/>
      <c r="BH335" s="465"/>
      <c r="BI335" s="465"/>
      <c r="BJ335" s="465"/>
      <c r="BK335" s="465"/>
      <c r="BL335" s="465"/>
      <c r="BM335" s="465"/>
      <c r="BN335" s="465"/>
      <c r="BO335" s="465"/>
      <c r="BP335" s="465"/>
      <c r="BQ335" s="465"/>
      <c r="BR335" s="465"/>
      <c r="BS335" s="465"/>
      <c r="BT335" s="465"/>
      <c r="BU335" s="465"/>
      <c r="BV335" s="465"/>
      <c r="BW335" s="465"/>
      <c r="BX335" s="465"/>
      <c r="BY335" s="465"/>
    </row>
    <row r="336" spans="2:77" s="28" customFormat="1">
      <c r="B336" s="201"/>
      <c r="D336" s="418"/>
      <c r="E336" s="29"/>
      <c r="G336" s="421"/>
      <c r="H336" s="422"/>
      <c r="I336" s="422"/>
      <c r="J336" s="422"/>
      <c r="K336" s="422"/>
      <c r="L336" s="422"/>
      <c r="P336" s="473"/>
      <c r="AJ336" s="31"/>
      <c r="AK336" s="31"/>
      <c r="AL336" s="32"/>
      <c r="AM336" s="33"/>
      <c r="AN336" s="32"/>
      <c r="AO336" s="33"/>
      <c r="AP336" s="32"/>
      <c r="AQ336" s="32"/>
      <c r="AR336" s="201"/>
      <c r="AS336" s="201"/>
      <c r="AT336" s="201"/>
      <c r="AU336" s="201"/>
      <c r="AV336" s="201"/>
      <c r="AW336" s="201"/>
      <c r="AX336" s="201"/>
      <c r="AY336" s="201"/>
      <c r="AZ336" s="201"/>
      <c r="BA336" s="201"/>
      <c r="BB336" s="201"/>
      <c r="BC336" s="201"/>
      <c r="BD336" s="465"/>
      <c r="BE336" s="465"/>
      <c r="BF336" s="465"/>
      <c r="BG336" s="465"/>
      <c r="BH336" s="465"/>
      <c r="BI336" s="465"/>
      <c r="BJ336" s="465"/>
      <c r="BK336" s="465"/>
      <c r="BL336" s="465"/>
      <c r="BM336" s="465"/>
      <c r="BN336" s="465"/>
      <c r="BO336" s="465"/>
      <c r="BP336" s="465"/>
      <c r="BQ336" s="465"/>
      <c r="BR336" s="465"/>
      <c r="BS336" s="465"/>
      <c r="BT336" s="465"/>
      <c r="BU336" s="465"/>
      <c r="BV336" s="465"/>
      <c r="BW336" s="465"/>
      <c r="BX336" s="465"/>
      <c r="BY336" s="465"/>
    </row>
    <row r="337" spans="2:77" s="28" customFormat="1">
      <c r="B337" s="201"/>
      <c r="D337" s="418"/>
      <c r="E337" s="29"/>
      <c r="G337" s="421"/>
      <c r="H337" s="422"/>
      <c r="I337" s="422"/>
      <c r="J337" s="422"/>
      <c r="K337" s="422"/>
      <c r="L337" s="422"/>
      <c r="P337" s="470"/>
      <c r="AJ337" s="31"/>
      <c r="AK337" s="31"/>
      <c r="AL337" s="32"/>
      <c r="AM337" s="33"/>
      <c r="AN337" s="32"/>
      <c r="AO337" s="33"/>
      <c r="AP337" s="32"/>
      <c r="AQ337" s="32"/>
      <c r="AR337" s="201"/>
      <c r="AS337" s="201"/>
      <c r="AT337" s="201"/>
      <c r="AU337" s="201"/>
      <c r="AV337" s="201"/>
      <c r="AW337" s="201"/>
      <c r="AX337" s="201"/>
      <c r="AY337" s="201"/>
      <c r="AZ337" s="201"/>
      <c r="BA337" s="201"/>
      <c r="BB337" s="201"/>
      <c r="BC337" s="201"/>
      <c r="BD337" s="465"/>
      <c r="BE337" s="465"/>
      <c r="BF337" s="465"/>
      <c r="BG337" s="465"/>
      <c r="BH337" s="465"/>
      <c r="BI337" s="465"/>
      <c r="BJ337" s="465"/>
      <c r="BK337" s="465"/>
      <c r="BL337" s="465"/>
      <c r="BM337" s="465"/>
      <c r="BN337" s="465"/>
      <c r="BO337" s="465"/>
      <c r="BP337" s="465"/>
      <c r="BQ337" s="465"/>
      <c r="BR337" s="465"/>
      <c r="BS337" s="465"/>
      <c r="BT337" s="465"/>
      <c r="BU337" s="465"/>
      <c r="BV337" s="465"/>
      <c r="BW337" s="465"/>
      <c r="BX337" s="465"/>
      <c r="BY337" s="465"/>
    </row>
    <row r="338" spans="2:77" s="28" customFormat="1">
      <c r="B338" s="201"/>
      <c r="D338" s="418"/>
      <c r="E338" s="29"/>
      <c r="G338" s="421"/>
      <c r="H338" s="422"/>
      <c r="I338" s="422"/>
      <c r="J338" s="422"/>
      <c r="K338" s="422"/>
      <c r="L338" s="422"/>
      <c r="P338" s="470"/>
      <c r="AJ338" s="31"/>
      <c r="AK338" s="31"/>
      <c r="AL338" s="32"/>
      <c r="AM338" s="33"/>
      <c r="AN338" s="32"/>
      <c r="AO338" s="33"/>
      <c r="AP338" s="32"/>
      <c r="AQ338" s="32"/>
      <c r="AR338" s="201"/>
      <c r="AS338" s="201"/>
      <c r="AT338" s="201"/>
      <c r="AU338" s="201"/>
      <c r="AV338" s="201"/>
      <c r="AW338" s="201"/>
      <c r="AX338" s="201"/>
      <c r="AY338" s="201"/>
      <c r="AZ338" s="201"/>
      <c r="BA338" s="201"/>
      <c r="BB338" s="201"/>
      <c r="BC338" s="201"/>
      <c r="BD338" s="465"/>
      <c r="BE338" s="465"/>
      <c r="BF338" s="465"/>
      <c r="BG338" s="465"/>
      <c r="BH338" s="465"/>
      <c r="BI338" s="465"/>
      <c r="BJ338" s="465"/>
      <c r="BK338" s="465"/>
      <c r="BL338" s="465"/>
      <c r="BM338" s="465"/>
      <c r="BN338" s="465"/>
      <c r="BO338" s="465"/>
      <c r="BP338" s="465"/>
      <c r="BQ338" s="465"/>
      <c r="BR338" s="465"/>
      <c r="BS338" s="465"/>
      <c r="BT338" s="465"/>
      <c r="BU338" s="465"/>
      <c r="BV338" s="465"/>
      <c r="BW338" s="465"/>
      <c r="BX338" s="465"/>
      <c r="BY338" s="465"/>
    </row>
    <row r="339" spans="2:77" s="28" customFormat="1">
      <c r="B339" s="201"/>
      <c r="D339" s="418"/>
      <c r="E339" s="29"/>
      <c r="G339" s="421"/>
      <c r="H339" s="422"/>
      <c r="I339" s="422"/>
      <c r="J339" s="422"/>
      <c r="K339" s="422"/>
      <c r="L339" s="422"/>
      <c r="P339" s="474"/>
      <c r="AJ339" s="31"/>
      <c r="AK339" s="31"/>
      <c r="AL339" s="32"/>
      <c r="AM339" s="33"/>
      <c r="AN339" s="32"/>
      <c r="AO339" s="33"/>
      <c r="AP339" s="32"/>
      <c r="AQ339" s="32"/>
      <c r="AR339" s="201"/>
      <c r="AS339" s="201"/>
      <c r="AT339" s="201"/>
      <c r="AU339" s="201"/>
      <c r="AV339" s="201"/>
      <c r="AW339" s="201"/>
      <c r="AX339" s="201"/>
      <c r="AY339" s="201"/>
      <c r="AZ339" s="201"/>
      <c r="BA339" s="201"/>
      <c r="BB339" s="201"/>
      <c r="BC339" s="201"/>
      <c r="BD339" s="465"/>
      <c r="BE339" s="465"/>
      <c r="BF339" s="465"/>
      <c r="BG339" s="465"/>
      <c r="BH339" s="465"/>
      <c r="BI339" s="465"/>
      <c r="BJ339" s="465"/>
      <c r="BK339" s="465"/>
      <c r="BL339" s="465"/>
      <c r="BM339" s="465"/>
      <c r="BN339" s="465"/>
      <c r="BO339" s="465"/>
      <c r="BP339" s="465"/>
      <c r="BQ339" s="465"/>
      <c r="BR339" s="465"/>
      <c r="BS339" s="465"/>
      <c r="BT339" s="465"/>
      <c r="BU339" s="465"/>
      <c r="BV339" s="465"/>
      <c r="BW339" s="465"/>
      <c r="BX339" s="465"/>
      <c r="BY339" s="465"/>
    </row>
    <row r="340" spans="2:77" s="28" customFormat="1">
      <c r="B340" s="201"/>
      <c r="D340" s="418"/>
      <c r="E340" s="29"/>
      <c r="G340" s="421"/>
      <c r="H340" s="422"/>
      <c r="I340" s="422"/>
      <c r="J340" s="422"/>
      <c r="K340" s="422"/>
      <c r="L340" s="422"/>
      <c r="P340" s="473"/>
      <c r="AJ340" s="31"/>
      <c r="AK340" s="31"/>
      <c r="AL340" s="32"/>
      <c r="AM340" s="33"/>
      <c r="AN340" s="32"/>
      <c r="AO340" s="33"/>
      <c r="AP340" s="32"/>
      <c r="AQ340" s="32"/>
      <c r="AR340" s="201"/>
      <c r="AS340" s="201"/>
      <c r="AT340" s="201"/>
      <c r="AU340" s="201"/>
      <c r="AV340" s="201"/>
      <c r="AW340" s="201"/>
      <c r="AX340" s="201"/>
      <c r="AY340" s="201"/>
      <c r="AZ340" s="201"/>
      <c r="BA340" s="201"/>
      <c r="BB340" s="201"/>
      <c r="BC340" s="201"/>
      <c r="BD340" s="465"/>
      <c r="BE340" s="465"/>
      <c r="BF340" s="465"/>
      <c r="BG340" s="465"/>
      <c r="BH340" s="465"/>
      <c r="BI340" s="465"/>
      <c r="BJ340" s="465"/>
      <c r="BK340" s="465"/>
      <c r="BL340" s="465"/>
      <c r="BM340" s="465"/>
      <c r="BN340" s="465"/>
      <c r="BO340" s="465"/>
      <c r="BP340" s="465"/>
      <c r="BQ340" s="465"/>
      <c r="BR340" s="465"/>
      <c r="BS340" s="465"/>
      <c r="BT340" s="465"/>
      <c r="BU340" s="465"/>
      <c r="BV340" s="465"/>
      <c r="BW340" s="465"/>
      <c r="BX340" s="465"/>
      <c r="BY340" s="465"/>
    </row>
    <row r="341" spans="2:77" s="28" customFormat="1">
      <c r="B341" s="201"/>
      <c r="D341" s="418"/>
      <c r="E341" s="29"/>
      <c r="G341" s="421"/>
      <c r="H341" s="422"/>
      <c r="I341" s="422"/>
      <c r="J341" s="422"/>
      <c r="K341" s="422"/>
      <c r="L341" s="422"/>
      <c r="P341" s="473"/>
      <c r="AJ341" s="31"/>
      <c r="AK341" s="31"/>
      <c r="AL341" s="32"/>
      <c r="AM341" s="33"/>
      <c r="AN341" s="32"/>
      <c r="AO341" s="33"/>
      <c r="AP341" s="32"/>
      <c r="AQ341" s="32"/>
      <c r="AR341" s="201"/>
      <c r="AS341" s="201"/>
      <c r="AT341" s="201"/>
      <c r="AU341" s="201"/>
      <c r="AV341" s="201"/>
      <c r="AW341" s="201"/>
      <c r="AX341" s="201"/>
      <c r="AY341" s="201"/>
      <c r="AZ341" s="201"/>
      <c r="BA341" s="201"/>
      <c r="BB341" s="201"/>
      <c r="BC341" s="201"/>
      <c r="BD341" s="465"/>
      <c r="BE341" s="465"/>
      <c r="BF341" s="465"/>
      <c r="BG341" s="465"/>
      <c r="BH341" s="465"/>
      <c r="BI341" s="465"/>
      <c r="BJ341" s="465"/>
      <c r="BK341" s="465"/>
      <c r="BL341" s="465"/>
      <c r="BM341" s="465"/>
      <c r="BN341" s="465"/>
      <c r="BO341" s="465"/>
      <c r="BP341" s="465"/>
      <c r="BQ341" s="465"/>
      <c r="BR341" s="465"/>
      <c r="BS341" s="465"/>
      <c r="BT341" s="465"/>
      <c r="BU341" s="465"/>
      <c r="BV341" s="465"/>
      <c r="BW341" s="465"/>
      <c r="BX341" s="465"/>
      <c r="BY341" s="465"/>
    </row>
    <row r="342" spans="2:77" s="28" customFormat="1">
      <c r="B342" s="201"/>
      <c r="D342" s="418"/>
      <c r="E342" s="29"/>
      <c r="G342" s="421"/>
      <c r="H342" s="422"/>
      <c r="I342" s="422"/>
      <c r="J342" s="422"/>
      <c r="K342" s="422"/>
      <c r="L342" s="422"/>
      <c r="P342" s="470"/>
      <c r="AJ342" s="31"/>
      <c r="AK342" s="31"/>
      <c r="AL342" s="32"/>
      <c r="AM342" s="33"/>
      <c r="AN342" s="32"/>
      <c r="AO342" s="33"/>
      <c r="AP342" s="32"/>
      <c r="AQ342" s="32"/>
      <c r="AR342" s="201"/>
      <c r="AS342" s="201"/>
      <c r="AT342" s="201"/>
      <c r="AU342" s="201"/>
      <c r="AV342" s="201"/>
      <c r="AW342" s="201"/>
      <c r="AX342" s="201"/>
      <c r="AY342" s="201"/>
      <c r="AZ342" s="201"/>
      <c r="BA342" s="201"/>
      <c r="BB342" s="201"/>
      <c r="BC342" s="201"/>
      <c r="BD342" s="465"/>
      <c r="BE342" s="465"/>
      <c r="BF342" s="465"/>
      <c r="BG342" s="465"/>
      <c r="BH342" s="465"/>
      <c r="BI342" s="465"/>
      <c r="BJ342" s="465"/>
      <c r="BK342" s="465"/>
      <c r="BL342" s="465"/>
      <c r="BM342" s="465"/>
      <c r="BN342" s="465"/>
      <c r="BO342" s="465"/>
      <c r="BP342" s="465"/>
      <c r="BQ342" s="465"/>
      <c r="BR342" s="465"/>
      <c r="BS342" s="465"/>
      <c r="BT342" s="465"/>
      <c r="BU342" s="465"/>
      <c r="BV342" s="465"/>
      <c r="BW342" s="465"/>
      <c r="BX342" s="465"/>
      <c r="BY342" s="465"/>
    </row>
    <row r="343" spans="2:77" s="28" customFormat="1">
      <c r="B343" s="201"/>
      <c r="D343" s="418"/>
      <c r="E343" s="29"/>
      <c r="G343" s="421"/>
      <c r="H343" s="422"/>
      <c r="I343" s="422"/>
      <c r="J343" s="422"/>
      <c r="K343" s="422"/>
      <c r="L343" s="422"/>
      <c r="P343" s="478"/>
      <c r="AJ343" s="31"/>
      <c r="AK343" s="31"/>
      <c r="AL343" s="32"/>
      <c r="AM343" s="33"/>
      <c r="AN343" s="32"/>
      <c r="AO343" s="33"/>
      <c r="AP343" s="32"/>
      <c r="AQ343" s="32"/>
      <c r="AR343" s="201"/>
      <c r="AS343" s="201"/>
      <c r="AT343" s="201"/>
      <c r="AU343" s="201"/>
      <c r="AV343" s="201"/>
      <c r="AW343" s="201"/>
      <c r="AX343" s="201"/>
      <c r="AY343" s="201"/>
      <c r="AZ343" s="201"/>
      <c r="BA343" s="201"/>
      <c r="BB343" s="201"/>
      <c r="BC343" s="201"/>
      <c r="BD343" s="465"/>
      <c r="BE343" s="465"/>
      <c r="BF343" s="465"/>
      <c r="BG343" s="465"/>
      <c r="BH343" s="465"/>
      <c r="BI343" s="465"/>
      <c r="BJ343" s="465"/>
      <c r="BK343" s="465"/>
      <c r="BL343" s="465"/>
      <c r="BM343" s="465"/>
      <c r="BN343" s="465"/>
      <c r="BO343" s="465"/>
      <c r="BP343" s="465"/>
      <c r="BQ343" s="465"/>
      <c r="BR343" s="465"/>
      <c r="BS343" s="465"/>
      <c r="BT343" s="465"/>
      <c r="BU343" s="465"/>
      <c r="BV343" s="465"/>
      <c r="BW343" s="465"/>
      <c r="BX343" s="465"/>
      <c r="BY343" s="465"/>
    </row>
    <row r="344" spans="2:77" s="28" customFormat="1">
      <c r="B344" s="201"/>
      <c r="D344" s="418"/>
      <c r="E344" s="29"/>
      <c r="G344" s="421"/>
      <c r="H344" s="422"/>
      <c r="I344" s="422"/>
      <c r="J344" s="422"/>
      <c r="K344" s="422"/>
      <c r="L344" s="422"/>
      <c r="P344" s="473"/>
      <c r="AJ344" s="31"/>
      <c r="AK344" s="31"/>
      <c r="AL344" s="32"/>
      <c r="AM344" s="33"/>
      <c r="AN344" s="32"/>
      <c r="AO344" s="33"/>
      <c r="AP344" s="32"/>
      <c r="AQ344" s="32"/>
      <c r="AR344" s="201"/>
      <c r="AS344" s="201"/>
      <c r="AT344" s="201"/>
      <c r="AU344" s="201"/>
      <c r="AV344" s="201"/>
      <c r="AW344" s="201"/>
      <c r="AX344" s="201"/>
      <c r="AY344" s="201"/>
      <c r="AZ344" s="201"/>
      <c r="BA344" s="201"/>
      <c r="BB344" s="201"/>
      <c r="BC344" s="201"/>
      <c r="BD344" s="465"/>
      <c r="BE344" s="465"/>
      <c r="BF344" s="465"/>
      <c r="BG344" s="465"/>
      <c r="BH344" s="465"/>
      <c r="BI344" s="465"/>
      <c r="BJ344" s="465"/>
      <c r="BK344" s="465"/>
      <c r="BL344" s="465"/>
      <c r="BM344" s="465"/>
      <c r="BN344" s="465"/>
      <c r="BO344" s="465"/>
      <c r="BP344" s="465"/>
      <c r="BQ344" s="465"/>
      <c r="BR344" s="465"/>
      <c r="BS344" s="465"/>
      <c r="BT344" s="465"/>
      <c r="BU344" s="465"/>
      <c r="BV344" s="465"/>
      <c r="BW344" s="465"/>
      <c r="BX344" s="465"/>
      <c r="BY344" s="465"/>
    </row>
    <row r="345" spans="2:77" s="28" customFormat="1">
      <c r="B345" s="201"/>
      <c r="D345" s="418"/>
      <c r="E345" s="29"/>
      <c r="G345" s="421"/>
      <c r="H345" s="422"/>
      <c r="I345" s="422"/>
      <c r="J345" s="422"/>
      <c r="K345" s="422"/>
      <c r="L345" s="422"/>
      <c r="P345" s="470"/>
      <c r="AJ345" s="31"/>
      <c r="AK345" s="31"/>
      <c r="AL345" s="32"/>
      <c r="AM345" s="33"/>
      <c r="AN345" s="32"/>
      <c r="AO345" s="33"/>
      <c r="AP345" s="32"/>
      <c r="AQ345" s="32"/>
      <c r="AR345" s="201"/>
      <c r="AS345" s="201"/>
      <c r="AT345" s="201"/>
      <c r="AU345" s="201"/>
      <c r="AV345" s="201"/>
      <c r="AW345" s="201"/>
      <c r="AX345" s="201"/>
      <c r="AY345" s="201"/>
      <c r="AZ345" s="201"/>
      <c r="BA345" s="201"/>
      <c r="BB345" s="201"/>
      <c r="BC345" s="201"/>
      <c r="BD345" s="465"/>
      <c r="BE345" s="465"/>
      <c r="BF345" s="465"/>
      <c r="BG345" s="465"/>
      <c r="BH345" s="465"/>
      <c r="BI345" s="465"/>
      <c r="BJ345" s="465"/>
      <c r="BK345" s="465"/>
      <c r="BL345" s="465"/>
      <c r="BM345" s="465"/>
      <c r="BN345" s="465"/>
      <c r="BO345" s="465"/>
      <c r="BP345" s="465"/>
      <c r="BQ345" s="465"/>
      <c r="BR345" s="465"/>
      <c r="BS345" s="465"/>
      <c r="BT345" s="465"/>
      <c r="BU345" s="465"/>
      <c r="BV345" s="465"/>
      <c r="BW345" s="465"/>
      <c r="BX345" s="465"/>
      <c r="BY345" s="465"/>
    </row>
    <row r="346" spans="2:77" s="28" customFormat="1">
      <c r="B346" s="201"/>
      <c r="D346" s="418"/>
      <c r="E346" s="29"/>
      <c r="G346" s="421"/>
      <c r="H346" s="422"/>
      <c r="I346" s="422"/>
      <c r="J346" s="422"/>
      <c r="K346" s="422"/>
      <c r="L346" s="422"/>
      <c r="P346" s="471"/>
      <c r="AJ346" s="31"/>
      <c r="AK346" s="31"/>
      <c r="AL346" s="32"/>
      <c r="AM346" s="33"/>
      <c r="AN346" s="32"/>
      <c r="AO346" s="33"/>
      <c r="AP346" s="32"/>
      <c r="AQ346" s="32"/>
      <c r="AR346" s="201"/>
      <c r="AS346" s="201"/>
      <c r="AT346" s="201"/>
      <c r="AU346" s="201"/>
      <c r="AV346" s="201"/>
      <c r="AW346" s="201"/>
      <c r="AX346" s="201"/>
      <c r="AY346" s="201"/>
      <c r="AZ346" s="201"/>
      <c r="BA346" s="201"/>
      <c r="BB346" s="201"/>
      <c r="BC346" s="201"/>
      <c r="BD346" s="465"/>
      <c r="BE346" s="465"/>
      <c r="BF346" s="465"/>
      <c r="BG346" s="465"/>
      <c r="BH346" s="465"/>
      <c r="BI346" s="465"/>
      <c r="BJ346" s="465"/>
      <c r="BK346" s="465"/>
      <c r="BL346" s="465"/>
      <c r="BM346" s="465"/>
      <c r="BN346" s="465"/>
      <c r="BO346" s="465"/>
      <c r="BP346" s="465"/>
      <c r="BQ346" s="465"/>
      <c r="BR346" s="465"/>
      <c r="BS346" s="465"/>
      <c r="BT346" s="465"/>
      <c r="BU346" s="465"/>
      <c r="BV346" s="465"/>
      <c r="BW346" s="465"/>
      <c r="BX346" s="465"/>
      <c r="BY346" s="465"/>
    </row>
    <row r="347" spans="2:77" s="28" customFormat="1">
      <c r="B347" s="201"/>
      <c r="D347" s="418"/>
      <c r="E347" s="29"/>
      <c r="G347" s="421"/>
      <c r="H347" s="422"/>
      <c r="I347" s="422"/>
      <c r="J347" s="422"/>
      <c r="K347" s="422"/>
      <c r="L347" s="422"/>
      <c r="P347" s="473"/>
      <c r="AJ347" s="31"/>
      <c r="AK347" s="31"/>
      <c r="AL347" s="32"/>
      <c r="AM347" s="33"/>
      <c r="AN347" s="32"/>
      <c r="AO347" s="33"/>
      <c r="AP347" s="32"/>
      <c r="AQ347" s="32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201"/>
      <c r="BC347" s="201"/>
      <c r="BD347" s="465"/>
      <c r="BE347" s="465"/>
      <c r="BF347" s="465"/>
      <c r="BG347" s="465"/>
      <c r="BH347" s="465"/>
      <c r="BI347" s="465"/>
      <c r="BJ347" s="465"/>
      <c r="BK347" s="465"/>
      <c r="BL347" s="465"/>
      <c r="BM347" s="465"/>
      <c r="BN347" s="465"/>
      <c r="BO347" s="465"/>
      <c r="BP347" s="465"/>
      <c r="BQ347" s="465"/>
      <c r="BR347" s="465"/>
      <c r="BS347" s="465"/>
      <c r="BT347" s="465"/>
      <c r="BU347" s="465"/>
      <c r="BV347" s="465"/>
      <c r="BW347" s="465"/>
      <c r="BX347" s="465"/>
      <c r="BY347" s="465"/>
    </row>
    <row r="348" spans="2:77" s="28" customFormat="1">
      <c r="B348" s="201"/>
      <c r="D348" s="418"/>
      <c r="E348" s="29"/>
      <c r="G348" s="421"/>
      <c r="H348" s="422"/>
      <c r="I348" s="422"/>
      <c r="J348" s="422"/>
      <c r="K348" s="422"/>
      <c r="L348" s="422"/>
      <c r="P348" s="481"/>
      <c r="AJ348" s="31"/>
      <c r="AK348" s="31"/>
      <c r="AL348" s="32"/>
      <c r="AM348" s="33"/>
      <c r="AN348" s="32"/>
      <c r="AO348" s="33"/>
      <c r="AP348" s="32"/>
      <c r="AQ348" s="32"/>
      <c r="AR348" s="201"/>
      <c r="AS348" s="201"/>
      <c r="AT348" s="201"/>
      <c r="AU348" s="201"/>
      <c r="AV348" s="201"/>
      <c r="AW348" s="201"/>
      <c r="AX348" s="201"/>
      <c r="AY348" s="201"/>
      <c r="AZ348" s="201"/>
      <c r="BA348" s="201"/>
      <c r="BB348" s="201"/>
      <c r="BC348" s="201"/>
      <c r="BD348" s="465"/>
      <c r="BE348" s="465"/>
      <c r="BF348" s="465"/>
      <c r="BG348" s="465"/>
      <c r="BH348" s="465"/>
      <c r="BI348" s="465"/>
      <c r="BJ348" s="465"/>
      <c r="BK348" s="465"/>
      <c r="BL348" s="465"/>
      <c r="BM348" s="465"/>
      <c r="BN348" s="465"/>
      <c r="BO348" s="465"/>
      <c r="BP348" s="465"/>
      <c r="BQ348" s="465"/>
      <c r="BR348" s="465"/>
      <c r="BS348" s="465"/>
      <c r="BT348" s="465"/>
      <c r="BU348" s="465"/>
      <c r="BV348" s="465"/>
      <c r="BW348" s="465"/>
      <c r="BX348" s="465"/>
      <c r="BY348" s="465"/>
    </row>
    <row r="349" spans="2:77" s="28" customFormat="1">
      <c r="B349" s="201"/>
      <c r="D349" s="418"/>
      <c r="E349" s="29"/>
      <c r="G349" s="421"/>
      <c r="H349" s="422"/>
      <c r="I349" s="422"/>
      <c r="J349" s="422"/>
      <c r="K349" s="422"/>
      <c r="L349" s="422"/>
      <c r="P349" s="473"/>
      <c r="AJ349" s="31"/>
      <c r="AK349" s="31"/>
      <c r="AL349" s="32"/>
      <c r="AM349" s="33"/>
      <c r="AN349" s="32"/>
      <c r="AO349" s="33"/>
      <c r="AP349" s="32"/>
      <c r="AQ349" s="32"/>
      <c r="AR349" s="201"/>
      <c r="AS349" s="201"/>
      <c r="AT349" s="201"/>
      <c r="AU349" s="201"/>
      <c r="AV349" s="201"/>
      <c r="AW349" s="201"/>
      <c r="AX349" s="201"/>
      <c r="AY349" s="201"/>
      <c r="AZ349" s="201"/>
      <c r="BA349" s="201"/>
      <c r="BB349" s="201"/>
      <c r="BC349" s="201"/>
      <c r="BD349" s="465"/>
      <c r="BE349" s="465"/>
      <c r="BF349" s="465"/>
      <c r="BG349" s="465"/>
      <c r="BH349" s="465"/>
      <c r="BI349" s="465"/>
      <c r="BJ349" s="465"/>
      <c r="BK349" s="465"/>
      <c r="BL349" s="465"/>
      <c r="BM349" s="465"/>
      <c r="BN349" s="465"/>
      <c r="BO349" s="465"/>
      <c r="BP349" s="465"/>
      <c r="BQ349" s="465"/>
      <c r="BR349" s="465"/>
      <c r="BS349" s="465"/>
      <c r="BT349" s="465"/>
      <c r="BU349" s="465"/>
      <c r="BV349" s="465"/>
      <c r="BW349" s="465"/>
      <c r="BX349" s="465"/>
      <c r="BY349" s="465"/>
    </row>
    <row r="350" spans="2:77" s="28" customFormat="1">
      <c r="B350" s="201"/>
      <c r="D350" s="418"/>
      <c r="E350" s="29"/>
      <c r="G350" s="421"/>
      <c r="H350" s="422"/>
      <c r="I350" s="422"/>
      <c r="J350" s="422"/>
      <c r="K350" s="422"/>
      <c r="L350" s="422"/>
      <c r="P350" s="470"/>
      <c r="AJ350" s="31"/>
      <c r="AK350" s="31"/>
      <c r="AL350" s="32"/>
      <c r="AM350" s="33"/>
      <c r="AN350" s="32"/>
      <c r="AO350" s="33"/>
      <c r="AP350" s="32"/>
      <c r="AQ350" s="32"/>
      <c r="AR350" s="201"/>
      <c r="AS350" s="201"/>
      <c r="AT350" s="201"/>
      <c r="AU350" s="201"/>
      <c r="AV350" s="201"/>
      <c r="AW350" s="201"/>
      <c r="AX350" s="201"/>
      <c r="AY350" s="201"/>
      <c r="AZ350" s="201"/>
      <c r="BA350" s="201"/>
      <c r="BB350" s="201"/>
      <c r="BC350" s="201"/>
      <c r="BD350" s="465"/>
      <c r="BE350" s="465"/>
      <c r="BF350" s="465"/>
      <c r="BG350" s="465"/>
      <c r="BH350" s="465"/>
      <c r="BI350" s="465"/>
      <c r="BJ350" s="465"/>
      <c r="BK350" s="465"/>
      <c r="BL350" s="465"/>
      <c r="BM350" s="465"/>
      <c r="BN350" s="465"/>
      <c r="BO350" s="465"/>
      <c r="BP350" s="465"/>
      <c r="BQ350" s="465"/>
      <c r="BR350" s="465"/>
      <c r="BS350" s="465"/>
      <c r="BT350" s="465"/>
      <c r="BU350" s="465"/>
      <c r="BV350" s="465"/>
      <c r="BW350" s="465"/>
      <c r="BX350" s="465"/>
      <c r="BY350" s="465"/>
    </row>
    <row r="351" spans="2:77" s="28" customFormat="1">
      <c r="B351" s="201"/>
      <c r="D351" s="418"/>
      <c r="E351" s="29"/>
      <c r="G351" s="421"/>
      <c r="H351" s="422"/>
      <c r="I351" s="422"/>
      <c r="J351" s="422"/>
      <c r="K351" s="422"/>
      <c r="L351" s="422"/>
      <c r="P351" s="481"/>
      <c r="AJ351" s="31"/>
      <c r="AK351" s="31"/>
      <c r="AL351" s="32"/>
      <c r="AM351" s="33"/>
      <c r="AN351" s="32"/>
      <c r="AO351" s="33"/>
      <c r="AP351" s="32"/>
      <c r="AQ351" s="32"/>
      <c r="AR351" s="201"/>
      <c r="AS351" s="201"/>
      <c r="AT351" s="201"/>
      <c r="AU351" s="201"/>
      <c r="AV351" s="201"/>
      <c r="AW351" s="201"/>
      <c r="AX351" s="201"/>
      <c r="AY351" s="201"/>
      <c r="AZ351" s="201"/>
      <c r="BA351" s="201"/>
      <c r="BB351" s="201"/>
      <c r="BC351" s="201"/>
      <c r="BD351" s="465"/>
      <c r="BE351" s="465"/>
      <c r="BF351" s="465"/>
      <c r="BG351" s="465"/>
      <c r="BH351" s="465"/>
      <c r="BI351" s="465"/>
      <c r="BJ351" s="465"/>
      <c r="BK351" s="465"/>
      <c r="BL351" s="465"/>
      <c r="BM351" s="465"/>
      <c r="BN351" s="465"/>
      <c r="BO351" s="465"/>
      <c r="BP351" s="465"/>
      <c r="BQ351" s="465"/>
      <c r="BR351" s="465"/>
      <c r="BS351" s="465"/>
      <c r="BT351" s="465"/>
      <c r="BU351" s="465"/>
      <c r="BV351" s="465"/>
      <c r="BW351" s="465"/>
      <c r="BX351" s="465"/>
      <c r="BY351" s="465"/>
    </row>
    <row r="352" spans="2:77" s="28" customFormat="1">
      <c r="B352" s="201"/>
      <c r="D352" s="418"/>
      <c r="E352" s="29"/>
      <c r="G352" s="421"/>
      <c r="H352" s="422"/>
      <c r="I352" s="422"/>
      <c r="J352" s="422"/>
      <c r="K352" s="422"/>
      <c r="L352" s="422"/>
      <c r="P352" s="470"/>
      <c r="AJ352" s="31"/>
      <c r="AK352" s="31"/>
      <c r="AL352" s="32"/>
      <c r="AM352" s="33"/>
      <c r="AN352" s="32"/>
      <c r="AO352" s="33"/>
      <c r="AP352" s="32"/>
      <c r="AQ352" s="32"/>
      <c r="AR352" s="201"/>
      <c r="AS352" s="201"/>
      <c r="AT352" s="201"/>
      <c r="AU352" s="201"/>
      <c r="AV352" s="201"/>
      <c r="AW352" s="201"/>
      <c r="AX352" s="201"/>
      <c r="AY352" s="201"/>
      <c r="AZ352" s="201"/>
      <c r="BA352" s="201"/>
      <c r="BB352" s="201"/>
      <c r="BC352" s="201"/>
      <c r="BD352" s="465"/>
      <c r="BE352" s="465"/>
      <c r="BF352" s="465"/>
      <c r="BG352" s="465"/>
      <c r="BH352" s="465"/>
      <c r="BI352" s="465"/>
      <c r="BJ352" s="465"/>
      <c r="BK352" s="465"/>
      <c r="BL352" s="465"/>
      <c r="BM352" s="465"/>
      <c r="BN352" s="465"/>
      <c r="BO352" s="465"/>
      <c r="BP352" s="465"/>
      <c r="BQ352" s="465"/>
      <c r="BR352" s="465"/>
      <c r="BS352" s="465"/>
      <c r="BT352" s="465"/>
      <c r="BU352" s="465"/>
      <c r="BV352" s="465"/>
      <c r="BW352" s="465"/>
      <c r="BX352" s="465"/>
      <c r="BY352" s="465"/>
    </row>
    <row r="353" spans="2:77" s="28" customFormat="1">
      <c r="B353" s="201"/>
      <c r="D353" s="418"/>
      <c r="E353" s="29"/>
      <c r="G353" s="421"/>
      <c r="H353" s="422"/>
      <c r="I353" s="422"/>
      <c r="J353" s="422"/>
      <c r="K353" s="422"/>
      <c r="L353" s="422"/>
      <c r="P353" s="473"/>
      <c r="AJ353" s="31"/>
      <c r="AK353" s="31"/>
      <c r="AL353" s="32"/>
      <c r="AM353" s="33"/>
      <c r="AN353" s="32"/>
      <c r="AO353" s="33"/>
      <c r="AP353" s="32"/>
      <c r="AQ353" s="32"/>
      <c r="AR353" s="201"/>
      <c r="AS353" s="201"/>
      <c r="AT353" s="201"/>
      <c r="AU353" s="201"/>
      <c r="AV353" s="201"/>
      <c r="AW353" s="201"/>
      <c r="AX353" s="201"/>
      <c r="AY353" s="201"/>
      <c r="AZ353" s="201"/>
      <c r="BA353" s="201"/>
      <c r="BB353" s="201"/>
      <c r="BC353" s="201"/>
      <c r="BD353" s="465"/>
      <c r="BE353" s="465"/>
      <c r="BF353" s="465"/>
      <c r="BG353" s="465"/>
      <c r="BH353" s="465"/>
      <c r="BI353" s="465"/>
      <c r="BJ353" s="465"/>
      <c r="BK353" s="465"/>
      <c r="BL353" s="465"/>
      <c r="BM353" s="465"/>
      <c r="BN353" s="465"/>
      <c r="BO353" s="465"/>
      <c r="BP353" s="465"/>
      <c r="BQ353" s="465"/>
      <c r="BR353" s="465"/>
      <c r="BS353" s="465"/>
      <c r="BT353" s="465"/>
      <c r="BU353" s="465"/>
      <c r="BV353" s="465"/>
      <c r="BW353" s="465"/>
      <c r="BX353" s="465"/>
      <c r="BY353" s="465"/>
    </row>
    <row r="354" spans="2:77" s="28" customFormat="1">
      <c r="B354" s="201"/>
      <c r="D354" s="418"/>
      <c r="E354" s="29"/>
      <c r="G354" s="421"/>
      <c r="H354" s="422"/>
      <c r="I354" s="422"/>
      <c r="J354" s="422"/>
      <c r="K354" s="422"/>
      <c r="L354" s="422"/>
      <c r="P354" s="477"/>
      <c r="AJ354" s="31"/>
      <c r="AK354" s="31"/>
      <c r="AL354" s="32"/>
      <c r="AM354" s="33"/>
      <c r="AN354" s="32"/>
      <c r="AO354" s="33"/>
      <c r="AP354" s="32"/>
      <c r="AQ354" s="32"/>
      <c r="AR354" s="201"/>
      <c r="AS354" s="201"/>
      <c r="AT354" s="201"/>
      <c r="AU354" s="201"/>
      <c r="AV354" s="201"/>
      <c r="AW354" s="201"/>
      <c r="AX354" s="201"/>
      <c r="AY354" s="201"/>
      <c r="AZ354" s="201"/>
      <c r="BA354" s="201"/>
      <c r="BB354" s="201"/>
      <c r="BC354" s="201"/>
      <c r="BD354" s="465"/>
      <c r="BE354" s="465"/>
      <c r="BF354" s="465"/>
      <c r="BG354" s="465"/>
      <c r="BH354" s="465"/>
      <c r="BI354" s="465"/>
      <c r="BJ354" s="465"/>
      <c r="BK354" s="465"/>
      <c r="BL354" s="465"/>
      <c r="BM354" s="465"/>
      <c r="BN354" s="465"/>
      <c r="BO354" s="465"/>
      <c r="BP354" s="465"/>
      <c r="BQ354" s="465"/>
      <c r="BR354" s="465"/>
      <c r="BS354" s="465"/>
      <c r="BT354" s="465"/>
      <c r="BU354" s="465"/>
      <c r="BV354" s="465"/>
      <c r="BW354" s="465"/>
      <c r="BX354" s="465"/>
      <c r="BY354" s="465"/>
    </row>
    <row r="355" spans="2:77" s="28" customFormat="1">
      <c r="B355" s="201"/>
      <c r="D355" s="418"/>
      <c r="E355" s="29"/>
      <c r="G355" s="421"/>
      <c r="H355" s="422"/>
      <c r="I355" s="422"/>
      <c r="J355" s="422"/>
      <c r="K355" s="422"/>
      <c r="L355" s="422"/>
      <c r="P355" s="473"/>
      <c r="AJ355" s="31"/>
      <c r="AK355" s="31"/>
      <c r="AL355" s="32"/>
      <c r="AM355" s="33"/>
      <c r="AN355" s="32"/>
      <c r="AO355" s="33"/>
      <c r="AP355" s="32"/>
      <c r="AQ355" s="32"/>
      <c r="AR355" s="201"/>
      <c r="AS355" s="201"/>
      <c r="AT355" s="201"/>
      <c r="AU355" s="201"/>
      <c r="AV355" s="201"/>
      <c r="AW355" s="201"/>
      <c r="AX355" s="201"/>
      <c r="AY355" s="201"/>
      <c r="AZ355" s="201"/>
      <c r="BA355" s="201"/>
      <c r="BB355" s="201"/>
      <c r="BC355" s="201"/>
      <c r="BD355" s="465"/>
      <c r="BE355" s="465"/>
      <c r="BF355" s="465"/>
      <c r="BG355" s="465"/>
      <c r="BH355" s="465"/>
      <c r="BI355" s="465"/>
      <c r="BJ355" s="465"/>
      <c r="BK355" s="465"/>
      <c r="BL355" s="465"/>
      <c r="BM355" s="465"/>
      <c r="BN355" s="465"/>
      <c r="BO355" s="465"/>
      <c r="BP355" s="465"/>
      <c r="BQ355" s="465"/>
      <c r="BR355" s="465"/>
      <c r="BS355" s="465"/>
      <c r="BT355" s="465"/>
      <c r="BU355" s="465"/>
      <c r="BV355" s="465"/>
      <c r="BW355" s="465"/>
      <c r="BX355" s="465"/>
      <c r="BY355" s="465"/>
    </row>
    <row r="356" spans="2:77" s="28" customFormat="1">
      <c r="B356" s="201"/>
      <c r="D356" s="418"/>
      <c r="E356" s="29"/>
      <c r="G356" s="421"/>
      <c r="H356" s="422"/>
      <c r="I356" s="422"/>
      <c r="J356" s="422"/>
      <c r="K356" s="422"/>
      <c r="L356" s="422"/>
      <c r="P356" s="472"/>
      <c r="AJ356" s="31"/>
      <c r="AK356" s="31"/>
      <c r="AL356" s="32"/>
      <c r="AM356" s="33"/>
      <c r="AN356" s="32"/>
      <c r="AO356" s="33"/>
      <c r="AP356" s="32"/>
      <c r="AQ356" s="32"/>
      <c r="AR356" s="201"/>
      <c r="AS356" s="201"/>
      <c r="AT356" s="201"/>
      <c r="AU356" s="201"/>
      <c r="AV356" s="201"/>
      <c r="AW356" s="201"/>
      <c r="AX356" s="201"/>
      <c r="AY356" s="201"/>
      <c r="AZ356" s="201"/>
      <c r="BA356" s="201"/>
      <c r="BB356" s="201"/>
      <c r="BC356" s="201"/>
      <c r="BD356" s="465"/>
      <c r="BE356" s="465"/>
      <c r="BF356" s="465"/>
      <c r="BG356" s="465"/>
      <c r="BH356" s="465"/>
      <c r="BI356" s="465"/>
      <c r="BJ356" s="465"/>
      <c r="BK356" s="465"/>
      <c r="BL356" s="465"/>
      <c r="BM356" s="465"/>
      <c r="BN356" s="465"/>
      <c r="BO356" s="465"/>
      <c r="BP356" s="465"/>
      <c r="BQ356" s="465"/>
      <c r="BR356" s="465"/>
      <c r="BS356" s="465"/>
      <c r="BT356" s="465"/>
      <c r="BU356" s="465"/>
      <c r="BV356" s="465"/>
      <c r="BW356" s="465"/>
      <c r="BX356" s="465"/>
      <c r="BY356" s="465"/>
    </row>
    <row r="357" spans="2:77" s="28" customFormat="1">
      <c r="B357" s="201"/>
      <c r="D357" s="418"/>
      <c r="E357" s="29"/>
      <c r="G357" s="421"/>
      <c r="H357" s="422"/>
      <c r="I357" s="422"/>
      <c r="J357" s="422"/>
      <c r="K357" s="422"/>
      <c r="L357" s="422"/>
      <c r="P357" s="470"/>
      <c r="AJ357" s="31"/>
      <c r="AK357" s="31"/>
      <c r="AL357" s="32"/>
      <c r="AM357" s="33"/>
      <c r="AN357" s="32"/>
      <c r="AO357" s="33"/>
      <c r="AP357" s="32"/>
      <c r="AQ357" s="32"/>
      <c r="AR357" s="201"/>
      <c r="AS357" s="201"/>
      <c r="AT357" s="201"/>
      <c r="AU357" s="201"/>
      <c r="AV357" s="201"/>
      <c r="AW357" s="201"/>
      <c r="AX357" s="201"/>
      <c r="AY357" s="201"/>
      <c r="AZ357" s="201"/>
      <c r="BA357" s="201"/>
      <c r="BB357" s="201"/>
      <c r="BC357" s="201"/>
      <c r="BD357" s="465"/>
      <c r="BE357" s="465"/>
      <c r="BF357" s="465"/>
      <c r="BG357" s="465"/>
      <c r="BH357" s="465"/>
      <c r="BI357" s="465"/>
      <c r="BJ357" s="465"/>
      <c r="BK357" s="465"/>
      <c r="BL357" s="465"/>
      <c r="BM357" s="465"/>
      <c r="BN357" s="465"/>
      <c r="BO357" s="465"/>
      <c r="BP357" s="465"/>
      <c r="BQ357" s="465"/>
      <c r="BR357" s="465"/>
      <c r="BS357" s="465"/>
      <c r="BT357" s="465"/>
      <c r="BU357" s="465"/>
      <c r="BV357" s="465"/>
      <c r="BW357" s="465"/>
      <c r="BX357" s="465"/>
      <c r="BY357" s="465"/>
    </row>
    <row r="358" spans="2:77" s="28" customFormat="1">
      <c r="B358" s="201"/>
      <c r="D358" s="418"/>
      <c r="E358" s="29"/>
      <c r="G358" s="421"/>
      <c r="H358" s="422"/>
      <c r="I358" s="422"/>
      <c r="J358" s="422"/>
      <c r="K358" s="422"/>
      <c r="L358" s="422"/>
      <c r="P358" s="469"/>
      <c r="AJ358" s="31"/>
      <c r="AK358" s="31"/>
      <c r="AL358" s="32"/>
      <c r="AM358" s="33"/>
      <c r="AN358" s="32"/>
      <c r="AO358" s="33"/>
      <c r="AP358" s="32"/>
      <c r="AQ358" s="32"/>
      <c r="AR358" s="201"/>
      <c r="AS358" s="201"/>
      <c r="AT358" s="201"/>
      <c r="AU358" s="201"/>
      <c r="AV358" s="201"/>
      <c r="AW358" s="201"/>
      <c r="AX358" s="201"/>
      <c r="AY358" s="201"/>
      <c r="AZ358" s="201"/>
      <c r="BA358" s="201"/>
      <c r="BB358" s="201"/>
      <c r="BC358" s="201"/>
      <c r="BD358" s="465"/>
      <c r="BE358" s="465"/>
      <c r="BF358" s="465"/>
      <c r="BG358" s="465"/>
      <c r="BH358" s="465"/>
      <c r="BI358" s="465"/>
      <c r="BJ358" s="465"/>
      <c r="BK358" s="465"/>
      <c r="BL358" s="465"/>
      <c r="BM358" s="465"/>
      <c r="BN358" s="465"/>
      <c r="BO358" s="465"/>
      <c r="BP358" s="465"/>
      <c r="BQ358" s="465"/>
      <c r="BR358" s="465"/>
      <c r="BS358" s="465"/>
      <c r="BT358" s="465"/>
      <c r="BU358" s="465"/>
      <c r="BV358" s="465"/>
      <c r="BW358" s="465"/>
      <c r="BX358" s="465"/>
      <c r="BY358" s="465"/>
    </row>
    <row r="359" spans="2:77" s="28" customFormat="1">
      <c r="B359" s="201"/>
      <c r="D359" s="418"/>
      <c r="E359" s="29"/>
      <c r="G359" s="421"/>
      <c r="H359" s="422"/>
      <c r="I359" s="422"/>
      <c r="J359" s="422"/>
      <c r="K359" s="422"/>
      <c r="L359" s="422"/>
      <c r="P359" s="470"/>
      <c r="AJ359" s="31"/>
      <c r="AK359" s="31"/>
      <c r="AL359" s="32"/>
      <c r="AM359" s="33"/>
      <c r="AN359" s="32"/>
      <c r="AO359" s="33"/>
      <c r="AP359" s="32"/>
      <c r="AQ359" s="32"/>
      <c r="AR359" s="201"/>
      <c r="AS359" s="201"/>
      <c r="AT359" s="201"/>
      <c r="AU359" s="201"/>
      <c r="AV359" s="201"/>
      <c r="AW359" s="201"/>
      <c r="AX359" s="201"/>
      <c r="AY359" s="201"/>
      <c r="AZ359" s="201"/>
      <c r="BA359" s="201"/>
      <c r="BB359" s="201"/>
      <c r="BC359" s="201"/>
      <c r="BD359" s="465"/>
      <c r="BE359" s="465"/>
      <c r="BF359" s="465"/>
      <c r="BG359" s="465"/>
      <c r="BH359" s="465"/>
      <c r="BI359" s="465"/>
      <c r="BJ359" s="465"/>
      <c r="BK359" s="465"/>
      <c r="BL359" s="465"/>
      <c r="BM359" s="465"/>
      <c r="BN359" s="465"/>
      <c r="BO359" s="465"/>
      <c r="BP359" s="465"/>
      <c r="BQ359" s="465"/>
      <c r="BR359" s="465"/>
      <c r="BS359" s="465"/>
      <c r="BT359" s="465"/>
      <c r="BU359" s="465"/>
      <c r="BV359" s="465"/>
      <c r="BW359" s="465"/>
      <c r="BX359" s="465"/>
      <c r="BY359" s="465"/>
    </row>
    <row r="360" spans="2:77" s="28" customFormat="1">
      <c r="B360" s="201"/>
      <c r="D360" s="418"/>
      <c r="E360" s="29"/>
      <c r="G360" s="421"/>
      <c r="H360" s="422"/>
      <c r="I360" s="422"/>
      <c r="J360" s="422"/>
      <c r="K360" s="422"/>
      <c r="L360" s="422"/>
      <c r="P360" s="470"/>
      <c r="AJ360" s="31"/>
      <c r="AK360" s="31"/>
      <c r="AL360" s="32"/>
      <c r="AM360" s="33"/>
      <c r="AN360" s="32"/>
      <c r="AO360" s="33"/>
      <c r="AP360" s="32"/>
      <c r="AQ360" s="32"/>
      <c r="AR360" s="201"/>
      <c r="AS360" s="201"/>
      <c r="AT360" s="201"/>
      <c r="AU360" s="201"/>
      <c r="AV360" s="201"/>
      <c r="AW360" s="201"/>
      <c r="AX360" s="201"/>
      <c r="AY360" s="201"/>
      <c r="AZ360" s="201"/>
      <c r="BA360" s="201"/>
      <c r="BB360" s="201"/>
      <c r="BC360" s="201"/>
      <c r="BD360" s="465"/>
      <c r="BE360" s="465"/>
      <c r="BF360" s="465"/>
      <c r="BG360" s="465"/>
      <c r="BH360" s="465"/>
      <c r="BI360" s="465"/>
      <c r="BJ360" s="465"/>
      <c r="BK360" s="465"/>
      <c r="BL360" s="465"/>
      <c r="BM360" s="465"/>
      <c r="BN360" s="465"/>
      <c r="BO360" s="465"/>
      <c r="BP360" s="465"/>
      <c r="BQ360" s="465"/>
      <c r="BR360" s="465"/>
      <c r="BS360" s="465"/>
      <c r="BT360" s="465"/>
      <c r="BU360" s="465"/>
      <c r="BV360" s="465"/>
      <c r="BW360" s="465"/>
      <c r="BX360" s="465"/>
      <c r="BY360" s="465"/>
    </row>
    <row r="361" spans="2:77" s="28" customFormat="1">
      <c r="B361" s="201"/>
      <c r="D361" s="418"/>
      <c r="E361" s="29"/>
      <c r="G361" s="421"/>
      <c r="H361" s="422"/>
      <c r="I361" s="422"/>
      <c r="J361" s="422"/>
      <c r="K361" s="422"/>
      <c r="L361" s="422"/>
      <c r="P361" s="469"/>
      <c r="AJ361" s="31"/>
      <c r="AK361" s="31"/>
      <c r="AL361" s="32"/>
      <c r="AM361" s="33"/>
      <c r="AN361" s="32"/>
      <c r="AO361" s="33"/>
      <c r="AP361" s="32"/>
      <c r="AQ361" s="32"/>
      <c r="AR361" s="201"/>
      <c r="AS361" s="201"/>
      <c r="AT361" s="201"/>
      <c r="AU361" s="201"/>
      <c r="AV361" s="201"/>
      <c r="AW361" s="201"/>
      <c r="AX361" s="201"/>
      <c r="AY361" s="201"/>
      <c r="AZ361" s="201"/>
      <c r="BA361" s="201"/>
      <c r="BB361" s="201"/>
      <c r="BC361" s="201"/>
      <c r="BD361" s="465"/>
      <c r="BE361" s="465"/>
      <c r="BF361" s="465"/>
      <c r="BG361" s="465"/>
      <c r="BH361" s="465"/>
      <c r="BI361" s="465"/>
      <c r="BJ361" s="465"/>
      <c r="BK361" s="465"/>
      <c r="BL361" s="465"/>
      <c r="BM361" s="465"/>
      <c r="BN361" s="465"/>
      <c r="BO361" s="465"/>
      <c r="BP361" s="465"/>
      <c r="BQ361" s="465"/>
      <c r="BR361" s="465"/>
      <c r="BS361" s="465"/>
      <c r="BT361" s="465"/>
      <c r="BU361" s="465"/>
      <c r="BV361" s="465"/>
      <c r="BW361" s="465"/>
      <c r="BX361" s="465"/>
      <c r="BY361" s="465"/>
    </row>
    <row r="362" spans="2:77" s="28" customFormat="1">
      <c r="B362" s="201"/>
      <c r="D362" s="418"/>
      <c r="E362" s="29"/>
      <c r="G362" s="421"/>
      <c r="H362" s="422"/>
      <c r="I362" s="422"/>
      <c r="J362" s="422"/>
      <c r="K362" s="422"/>
      <c r="L362" s="422"/>
      <c r="P362" s="474"/>
      <c r="AJ362" s="31"/>
      <c r="AK362" s="31"/>
      <c r="AL362" s="32"/>
      <c r="AM362" s="33"/>
      <c r="AN362" s="32"/>
      <c r="AO362" s="33"/>
      <c r="AP362" s="32"/>
      <c r="AQ362" s="32"/>
      <c r="AR362" s="201"/>
      <c r="AS362" s="201"/>
      <c r="AT362" s="201"/>
      <c r="AU362" s="201"/>
      <c r="AV362" s="201"/>
      <c r="AW362" s="201"/>
      <c r="AX362" s="201"/>
      <c r="AY362" s="201"/>
      <c r="AZ362" s="201"/>
      <c r="BA362" s="201"/>
      <c r="BB362" s="201"/>
      <c r="BC362" s="201"/>
      <c r="BD362" s="465"/>
      <c r="BE362" s="465"/>
      <c r="BF362" s="465"/>
      <c r="BG362" s="465"/>
      <c r="BH362" s="465"/>
      <c r="BI362" s="465"/>
      <c r="BJ362" s="465"/>
      <c r="BK362" s="465"/>
      <c r="BL362" s="465"/>
      <c r="BM362" s="465"/>
      <c r="BN362" s="465"/>
      <c r="BO362" s="465"/>
      <c r="BP362" s="465"/>
      <c r="BQ362" s="465"/>
      <c r="BR362" s="465"/>
      <c r="BS362" s="465"/>
      <c r="BT362" s="465"/>
      <c r="BU362" s="465"/>
      <c r="BV362" s="465"/>
      <c r="BW362" s="465"/>
      <c r="BX362" s="465"/>
      <c r="BY362" s="465"/>
    </row>
    <row r="363" spans="2:77" s="28" customFormat="1">
      <c r="B363" s="201"/>
      <c r="D363" s="418"/>
      <c r="E363" s="29"/>
      <c r="G363" s="421"/>
      <c r="H363" s="422"/>
      <c r="I363" s="422"/>
      <c r="J363" s="422"/>
      <c r="K363" s="422"/>
      <c r="L363" s="422"/>
      <c r="P363" s="470"/>
      <c r="AJ363" s="31"/>
      <c r="AK363" s="31"/>
      <c r="AL363" s="32"/>
      <c r="AM363" s="33"/>
      <c r="AN363" s="32"/>
      <c r="AO363" s="33"/>
      <c r="AP363" s="32"/>
      <c r="AQ363" s="32"/>
      <c r="AR363" s="201"/>
      <c r="AS363" s="201"/>
      <c r="AT363" s="201"/>
      <c r="AU363" s="201"/>
      <c r="AV363" s="201"/>
      <c r="AW363" s="201"/>
      <c r="AX363" s="201"/>
      <c r="AY363" s="201"/>
      <c r="AZ363" s="201"/>
      <c r="BA363" s="201"/>
      <c r="BB363" s="201"/>
      <c r="BC363" s="201"/>
      <c r="BD363" s="465"/>
      <c r="BE363" s="465"/>
      <c r="BF363" s="465"/>
      <c r="BG363" s="465"/>
      <c r="BH363" s="465"/>
      <c r="BI363" s="465"/>
      <c r="BJ363" s="465"/>
      <c r="BK363" s="465"/>
      <c r="BL363" s="465"/>
      <c r="BM363" s="465"/>
      <c r="BN363" s="465"/>
      <c r="BO363" s="465"/>
      <c r="BP363" s="465"/>
      <c r="BQ363" s="465"/>
      <c r="BR363" s="465"/>
      <c r="BS363" s="465"/>
      <c r="BT363" s="465"/>
      <c r="BU363" s="465"/>
      <c r="BV363" s="465"/>
      <c r="BW363" s="465"/>
      <c r="BX363" s="465"/>
      <c r="BY363" s="465"/>
    </row>
    <row r="364" spans="2:77" s="28" customFormat="1">
      <c r="B364" s="201"/>
      <c r="D364" s="418"/>
      <c r="E364" s="29"/>
      <c r="G364" s="421"/>
      <c r="H364" s="422"/>
      <c r="I364" s="422"/>
      <c r="J364" s="422"/>
      <c r="K364" s="422"/>
      <c r="L364" s="422"/>
      <c r="P364" s="470"/>
      <c r="AJ364" s="31"/>
      <c r="AK364" s="31"/>
      <c r="AL364" s="32"/>
      <c r="AM364" s="33"/>
      <c r="AN364" s="32"/>
      <c r="AO364" s="33"/>
      <c r="AP364" s="32"/>
      <c r="AQ364" s="32"/>
      <c r="AR364" s="201"/>
      <c r="AS364" s="201"/>
      <c r="AT364" s="201"/>
      <c r="AU364" s="201"/>
      <c r="AV364" s="201"/>
      <c r="AW364" s="201"/>
      <c r="AX364" s="201"/>
      <c r="AY364" s="201"/>
      <c r="AZ364" s="201"/>
      <c r="BA364" s="201"/>
      <c r="BB364" s="201"/>
      <c r="BC364" s="201"/>
      <c r="BD364" s="465"/>
      <c r="BE364" s="465"/>
      <c r="BF364" s="465"/>
      <c r="BG364" s="465"/>
      <c r="BH364" s="465"/>
      <c r="BI364" s="465"/>
      <c r="BJ364" s="465"/>
      <c r="BK364" s="465"/>
      <c r="BL364" s="465"/>
      <c r="BM364" s="465"/>
      <c r="BN364" s="465"/>
      <c r="BO364" s="465"/>
      <c r="BP364" s="465"/>
      <c r="BQ364" s="465"/>
      <c r="BR364" s="465"/>
      <c r="BS364" s="465"/>
      <c r="BT364" s="465"/>
      <c r="BU364" s="465"/>
      <c r="BV364" s="465"/>
      <c r="BW364" s="465"/>
      <c r="BX364" s="465"/>
      <c r="BY364" s="465"/>
    </row>
    <row r="365" spans="2:77" s="28" customFormat="1">
      <c r="B365" s="201"/>
      <c r="D365" s="418"/>
      <c r="E365" s="29"/>
      <c r="G365" s="421"/>
      <c r="H365" s="422"/>
      <c r="I365" s="422"/>
      <c r="J365" s="422"/>
      <c r="K365" s="422"/>
      <c r="L365" s="422"/>
      <c r="P365" s="470"/>
      <c r="AJ365" s="31"/>
      <c r="AK365" s="31"/>
      <c r="AL365" s="32"/>
      <c r="AM365" s="33"/>
      <c r="AN365" s="32"/>
      <c r="AO365" s="33"/>
      <c r="AP365" s="32"/>
      <c r="AQ365" s="32"/>
      <c r="AR365" s="201"/>
      <c r="AS365" s="201"/>
      <c r="AT365" s="201"/>
      <c r="AU365" s="201"/>
      <c r="AV365" s="201"/>
      <c r="AW365" s="201"/>
      <c r="AX365" s="201"/>
      <c r="AY365" s="201"/>
      <c r="AZ365" s="201"/>
      <c r="BA365" s="201"/>
      <c r="BB365" s="201"/>
      <c r="BC365" s="201"/>
      <c r="BD365" s="465"/>
      <c r="BE365" s="465"/>
      <c r="BF365" s="465"/>
      <c r="BG365" s="465"/>
      <c r="BH365" s="465"/>
      <c r="BI365" s="465"/>
      <c r="BJ365" s="465"/>
      <c r="BK365" s="465"/>
      <c r="BL365" s="465"/>
      <c r="BM365" s="465"/>
      <c r="BN365" s="465"/>
      <c r="BO365" s="465"/>
      <c r="BP365" s="465"/>
      <c r="BQ365" s="465"/>
      <c r="BR365" s="465"/>
      <c r="BS365" s="465"/>
      <c r="BT365" s="465"/>
      <c r="BU365" s="465"/>
      <c r="BV365" s="465"/>
      <c r="BW365" s="465"/>
      <c r="BX365" s="465"/>
      <c r="BY365" s="465"/>
    </row>
    <row r="366" spans="2:77" s="28" customFormat="1">
      <c r="B366" s="201"/>
      <c r="D366" s="418"/>
      <c r="E366" s="29"/>
      <c r="G366" s="421"/>
      <c r="H366" s="422"/>
      <c r="I366" s="422"/>
      <c r="J366" s="422"/>
      <c r="K366" s="422"/>
      <c r="L366" s="422"/>
      <c r="P366" s="473"/>
      <c r="AJ366" s="31"/>
      <c r="AK366" s="31"/>
      <c r="AL366" s="32"/>
      <c r="AM366" s="33"/>
      <c r="AN366" s="32"/>
      <c r="AO366" s="33"/>
      <c r="AP366" s="32"/>
      <c r="AQ366" s="32"/>
      <c r="AR366" s="201"/>
      <c r="AS366" s="201"/>
      <c r="AT366" s="201"/>
      <c r="AU366" s="201"/>
      <c r="AV366" s="201"/>
      <c r="AW366" s="201"/>
      <c r="AX366" s="201"/>
      <c r="AY366" s="201"/>
      <c r="AZ366" s="201"/>
      <c r="BA366" s="201"/>
      <c r="BB366" s="201"/>
      <c r="BC366" s="201"/>
      <c r="BD366" s="465"/>
      <c r="BE366" s="465"/>
      <c r="BF366" s="465"/>
      <c r="BG366" s="465"/>
      <c r="BH366" s="465"/>
      <c r="BI366" s="465"/>
      <c r="BJ366" s="465"/>
      <c r="BK366" s="465"/>
      <c r="BL366" s="465"/>
      <c r="BM366" s="465"/>
      <c r="BN366" s="465"/>
      <c r="BO366" s="465"/>
      <c r="BP366" s="465"/>
      <c r="BQ366" s="465"/>
      <c r="BR366" s="465"/>
      <c r="BS366" s="465"/>
      <c r="BT366" s="465"/>
      <c r="BU366" s="465"/>
      <c r="BV366" s="465"/>
      <c r="BW366" s="465"/>
      <c r="BX366" s="465"/>
      <c r="BY366" s="465"/>
    </row>
    <row r="367" spans="2:77" s="28" customFormat="1">
      <c r="B367" s="201"/>
      <c r="D367" s="418"/>
      <c r="E367" s="29"/>
      <c r="G367" s="421"/>
      <c r="H367" s="422"/>
      <c r="I367" s="422"/>
      <c r="J367" s="422"/>
      <c r="K367" s="422"/>
      <c r="L367" s="422"/>
      <c r="P367" s="469"/>
      <c r="AJ367" s="31"/>
      <c r="AK367" s="31"/>
      <c r="AL367" s="32"/>
      <c r="AM367" s="33"/>
      <c r="AN367" s="32"/>
      <c r="AO367" s="33"/>
      <c r="AP367" s="32"/>
      <c r="AQ367" s="32"/>
      <c r="AR367" s="201"/>
      <c r="AS367" s="201"/>
      <c r="AT367" s="201"/>
      <c r="AU367" s="201"/>
      <c r="AV367" s="201"/>
      <c r="AW367" s="201"/>
      <c r="AX367" s="201"/>
      <c r="AY367" s="201"/>
      <c r="AZ367" s="201"/>
      <c r="BA367" s="201"/>
      <c r="BB367" s="201"/>
      <c r="BC367" s="201"/>
      <c r="BD367" s="465"/>
      <c r="BE367" s="465"/>
      <c r="BF367" s="465"/>
      <c r="BG367" s="465"/>
      <c r="BH367" s="465"/>
      <c r="BI367" s="465"/>
      <c r="BJ367" s="465"/>
      <c r="BK367" s="465"/>
      <c r="BL367" s="465"/>
      <c r="BM367" s="465"/>
      <c r="BN367" s="465"/>
      <c r="BO367" s="465"/>
      <c r="BP367" s="465"/>
      <c r="BQ367" s="465"/>
      <c r="BR367" s="465"/>
      <c r="BS367" s="465"/>
      <c r="BT367" s="465"/>
      <c r="BU367" s="465"/>
      <c r="BV367" s="465"/>
      <c r="BW367" s="465"/>
      <c r="BX367" s="465"/>
      <c r="BY367" s="465"/>
    </row>
    <row r="368" spans="2:77" s="28" customFormat="1">
      <c r="B368" s="201"/>
      <c r="D368" s="418"/>
      <c r="E368" s="29"/>
      <c r="G368" s="421"/>
      <c r="H368" s="422"/>
      <c r="I368" s="422"/>
      <c r="J368" s="422"/>
      <c r="K368" s="422"/>
      <c r="L368" s="422"/>
      <c r="P368" s="472"/>
      <c r="AJ368" s="31"/>
      <c r="AK368" s="31"/>
      <c r="AL368" s="32"/>
      <c r="AM368" s="33"/>
      <c r="AN368" s="32"/>
      <c r="AO368" s="33"/>
      <c r="AP368" s="32"/>
      <c r="AQ368" s="32"/>
      <c r="AR368" s="201"/>
      <c r="AS368" s="201"/>
      <c r="AT368" s="201"/>
      <c r="AU368" s="201"/>
      <c r="AV368" s="201"/>
      <c r="AW368" s="201"/>
      <c r="AX368" s="201"/>
      <c r="AY368" s="201"/>
      <c r="AZ368" s="201"/>
      <c r="BA368" s="201"/>
      <c r="BB368" s="201"/>
      <c r="BC368" s="201"/>
      <c r="BD368" s="465"/>
      <c r="BE368" s="465"/>
      <c r="BF368" s="465"/>
      <c r="BG368" s="465"/>
      <c r="BH368" s="465"/>
      <c r="BI368" s="465"/>
      <c r="BJ368" s="465"/>
      <c r="BK368" s="465"/>
      <c r="BL368" s="465"/>
      <c r="BM368" s="465"/>
      <c r="BN368" s="465"/>
      <c r="BO368" s="465"/>
      <c r="BP368" s="465"/>
      <c r="BQ368" s="465"/>
      <c r="BR368" s="465"/>
      <c r="BS368" s="465"/>
      <c r="BT368" s="465"/>
      <c r="BU368" s="465"/>
      <c r="BV368" s="465"/>
      <c r="BW368" s="465"/>
      <c r="BX368" s="465"/>
      <c r="BY368" s="465"/>
    </row>
    <row r="369" spans="2:77" s="28" customFormat="1">
      <c r="B369" s="201"/>
      <c r="D369" s="418"/>
      <c r="E369" s="29"/>
      <c r="G369" s="421"/>
      <c r="H369" s="422"/>
      <c r="I369" s="422"/>
      <c r="J369" s="422"/>
      <c r="K369" s="422"/>
      <c r="L369" s="422"/>
      <c r="P369" s="470"/>
      <c r="AJ369" s="31"/>
      <c r="AK369" s="31"/>
      <c r="AL369" s="32"/>
      <c r="AM369" s="33"/>
      <c r="AN369" s="32"/>
      <c r="AO369" s="33"/>
      <c r="AP369" s="32"/>
      <c r="AQ369" s="32"/>
      <c r="AR369" s="201"/>
      <c r="AS369" s="201"/>
      <c r="AT369" s="201"/>
      <c r="AU369" s="201"/>
      <c r="AV369" s="201"/>
      <c r="AW369" s="201"/>
      <c r="AX369" s="201"/>
      <c r="AY369" s="201"/>
      <c r="AZ369" s="201"/>
      <c r="BA369" s="201"/>
      <c r="BB369" s="201"/>
      <c r="BC369" s="201"/>
      <c r="BD369" s="465"/>
      <c r="BE369" s="465"/>
      <c r="BF369" s="465"/>
      <c r="BG369" s="465"/>
      <c r="BH369" s="465"/>
      <c r="BI369" s="465"/>
      <c r="BJ369" s="465"/>
      <c r="BK369" s="465"/>
      <c r="BL369" s="465"/>
      <c r="BM369" s="465"/>
      <c r="BN369" s="465"/>
      <c r="BO369" s="465"/>
      <c r="BP369" s="465"/>
      <c r="BQ369" s="465"/>
      <c r="BR369" s="465"/>
      <c r="BS369" s="465"/>
      <c r="BT369" s="465"/>
      <c r="BU369" s="465"/>
      <c r="BV369" s="465"/>
      <c r="BW369" s="465"/>
      <c r="BX369" s="465"/>
      <c r="BY369" s="465"/>
    </row>
    <row r="370" spans="2:77" s="28" customFormat="1">
      <c r="B370" s="201"/>
      <c r="D370" s="418"/>
      <c r="E370" s="29"/>
      <c r="G370" s="421"/>
      <c r="H370" s="422"/>
      <c r="I370" s="422"/>
      <c r="J370" s="422"/>
      <c r="K370" s="422"/>
      <c r="L370" s="422"/>
      <c r="P370" s="470"/>
      <c r="AJ370" s="31"/>
      <c r="AK370" s="31"/>
      <c r="AL370" s="32"/>
      <c r="AM370" s="33"/>
      <c r="AN370" s="32"/>
      <c r="AO370" s="33"/>
      <c r="AP370" s="32"/>
      <c r="AQ370" s="32"/>
      <c r="AR370" s="201"/>
      <c r="AS370" s="201"/>
      <c r="AT370" s="201"/>
      <c r="AU370" s="201"/>
      <c r="AV370" s="201"/>
      <c r="AW370" s="201"/>
      <c r="AX370" s="201"/>
      <c r="AY370" s="201"/>
      <c r="AZ370" s="201"/>
      <c r="BA370" s="201"/>
      <c r="BB370" s="201"/>
      <c r="BC370" s="201"/>
      <c r="BD370" s="465"/>
      <c r="BE370" s="465"/>
      <c r="BF370" s="465"/>
      <c r="BG370" s="465"/>
      <c r="BH370" s="465"/>
      <c r="BI370" s="465"/>
      <c r="BJ370" s="465"/>
      <c r="BK370" s="465"/>
      <c r="BL370" s="465"/>
      <c r="BM370" s="465"/>
      <c r="BN370" s="465"/>
      <c r="BO370" s="465"/>
      <c r="BP370" s="465"/>
      <c r="BQ370" s="465"/>
      <c r="BR370" s="465"/>
      <c r="BS370" s="465"/>
      <c r="BT370" s="465"/>
      <c r="BU370" s="465"/>
      <c r="BV370" s="465"/>
      <c r="BW370" s="465"/>
      <c r="BX370" s="465"/>
      <c r="BY370" s="465"/>
    </row>
    <row r="371" spans="2:77" s="28" customFormat="1">
      <c r="B371" s="201"/>
      <c r="D371" s="418"/>
      <c r="E371" s="29"/>
      <c r="G371" s="421"/>
      <c r="H371" s="422"/>
      <c r="I371" s="422"/>
      <c r="J371" s="422"/>
      <c r="K371" s="422"/>
      <c r="L371" s="422"/>
      <c r="P371" s="470"/>
      <c r="AJ371" s="31"/>
      <c r="AK371" s="31"/>
      <c r="AL371" s="32"/>
      <c r="AM371" s="33"/>
      <c r="AN371" s="32"/>
      <c r="AO371" s="33"/>
      <c r="AP371" s="32"/>
      <c r="AQ371" s="32"/>
      <c r="AR371" s="201"/>
      <c r="AS371" s="201"/>
      <c r="AT371" s="201"/>
      <c r="AU371" s="201"/>
      <c r="AV371" s="201"/>
      <c r="AW371" s="201"/>
      <c r="AX371" s="201"/>
      <c r="AY371" s="201"/>
      <c r="AZ371" s="201"/>
      <c r="BA371" s="201"/>
      <c r="BB371" s="201"/>
      <c r="BC371" s="201"/>
      <c r="BD371" s="465"/>
      <c r="BE371" s="465"/>
      <c r="BF371" s="465"/>
      <c r="BG371" s="465"/>
      <c r="BH371" s="465"/>
      <c r="BI371" s="465"/>
      <c r="BJ371" s="465"/>
      <c r="BK371" s="465"/>
      <c r="BL371" s="465"/>
      <c r="BM371" s="465"/>
      <c r="BN371" s="465"/>
      <c r="BO371" s="465"/>
      <c r="BP371" s="465"/>
      <c r="BQ371" s="465"/>
      <c r="BR371" s="465"/>
      <c r="BS371" s="465"/>
      <c r="BT371" s="465"/>
      <c r="BU371" s="465"/>
      <c r="BV371" s="465"/>
      <c r="BW371" s="465"/>
      <c r="BX371" s="465"/>
      <c r="BY371" s="465"/>
    </row>
    <row r="372" spans="2:77" s="28" customFormat="1">
      <c r="B372" s="201"/>
      <c r="D372" s="418"/>
      <c r="E372" s="29"/>
      <c r="G372" s="421"/>
      <c r="H372" s="422"/>
      <c r="I372" s="422"/>
      <c r="J372" s="422"/>
      <c r="K372" s="422"/>
      <c r="L372" s="422"/>
      <c r="P372" s="470"/>
      <c r="AJ372" s="31"/>
      <c r="AK372" s="31"/>
      <c r="AL372" s="32"/>
      <c r="AM372" s="33"/>
      <c r="AN372" s="32"/>
      <c r="AO372" s="33"/>
      <c r="AP372" s="32"/>
      <c r="AQ372" s="32"/>
      <c r="AR372" s="201"/>
      <c r="AS372" s="201"/>
      <c r="AT372" s="201"/>
      <c r="AU372" s="201"/>
      <c r="AV372" s="201"/>
      <c r="AW372" s="201"/>
      <c r="AX372" s="201"/>
      <c r="AY372" s="201"/>
      <c r="AZ372" s="201"/>
      <c r="BA372" s="201"/>
      <c r="BB372" s="201"/>
      <c r="BC372" s="201"/>
      <c r="BD372" s="465"/>
      <c r="BE372" s="465"/>
      <c r="BF372" s="465"/>
      <c r="BG372" s="465"/>
      <c r="BH372" s="465"/>
      <c r="BI372" s="465"/>
      <c r="BJ372" s="465"/>
      <c r="BK372" s="465"/>
      <c r="BL372" s="465"/>
      <c r="BM372" s="465"/>
      <c r="BN372" s="465"/>
      <c r="BO372" s="465"/>
      <c r="BP372" s="465"/>
      <c r="BQ372" s="465"/>
      <c r="BR372" s="465"/>
      <c r="BS372" s="465"/>
      <c r="BT372" s="465"/>
      <c r="BU372" s="465"/>
      <c r="BV372" s="465"/>
      <c r="BW372" s="465"/>
      <c r="BX372" s="465"/>
      <c r="BY372" s="465"/>
    </row>
    <row r="373" spans="2:77" s="28" customFormat="1">
      <c r="B373" s="201"/>
      <c r="D373" s="418"/>
      <c r="E373" s="29"/>
      <c r="G373" s="421"/>
      <c r="H373" s="422"/>
      <c r="I373" s="422"/>
      <c r="J373" s="422"/>
      <c r="K373" s="422"/>
      <c r="L373" s="422"/>
      <c r="P373" s="482"/>
      <c r="AJ373" s="31"/>
      <c r="AK373" s="31"/>
      <c r="AL373" s="32"/>
      <c r="AM373" s="33"/>
      <c r="AN373" s="32"/>
      <c r="AO373" s="33"/>
      <c r="AP373" s="32"/>
      <c r="AQ373" s="32"/>
      <c r="AR373" s="201"/>
      <c r="AS373" s="201"/>
      <c r="AT373" s="201"/>
      <c r="AU373" s="201"/>
      <c r="AV373" s="201"/>
      <c r="AW373" s="201"/>
      <c r="AX373" s="201"/>
      <c r="AY373" s="201"/>
      <c r="AZ373" s="201"/>
      <c r="BA373" s="201"/>
      <c r="BB373" s="201"/>
      <c r="BC373" s="201"/>
      <c r="BD373" s="465"/>
      <c r="BE373" s="465"/>
      <c r="BF373" s="465"/>
      <c r="BG373" s="465"/>
      <c r="BH373" s="465"/>
      <c r="BI373" s="465"/>
      <c r="BJ373" s="465"/>
      <c r="BK373" s="465"/>
      <c r="BL373" s="465"/>
      <c r="BM373" s="465"/>
      <c r="BN373" s="465"/>
      <c r="BO373" s="465"/>
      <c r="BP373" s="465"/>
      <c r="BQ373" s="465"/>
      <c r="BR373" s="465"/>
      <c r="BS373" s="465"/>
      <c r="BT373" s="465"/>
      <c r="BU373" s="465"/>
      <c r="BV373" s="465"/>
      <c r="BW373" s="465"/>
      <c r="BX373" s="465"/>
      <c r="BY373" s="465"/>
    </row>
    <row r="374" spans="2:77" s="28" customFormat="1">
      <c r="B374" s="201"/>
      <c r="D374" s="418"/>
      <c r="E374" s="29"/>
      <c r="G374" s="421"/>
      <c r="H374" s="422"/>
      <c r="I374" s="422"/>
      <c r="J374" s="422"/>
      <c r="K374" s="422"/>
      <c r="L374" s="422"/>
      <c r="P374" s="470"/>
      <c r="AJ374" s="31"/>
      <c r="AK374" s="31"/>
      <c r="AL374" s="32"/>
      <c r="AM374" s="33"/>
      <c r="AN374" s="32"/>
      <c r="AO374" s="33"/>
      <c r="AP374" s="32"/>
      <c r="AQ374" s="32"/>
      <c r="AR374" s="201"/>
      <c r="AS374" s="201"/>
      <c r="AT374" s="201"/>
      <c r="AU374" s="201"/>
      <c r="AV374" s="201"/>
      <c r="AW374" s="201"/>
      <c r="AX374" s="201"/>
      <c r="AY374" s="201"/>
      <c r="AZ374" s="201"/>
      <c r="BA374" s="201"/>
      <c r="BB374" s="201"/>
      <c r="BC374" s="201"/>
      <c r="BD374" s="465"/>
      <c r="BE374" s="465"/>
      <c r="BF374" s="465"/>
      <c r="BG374" s="465"/>
      <c r="BH374" s="465"/>
      <c r="BI374" s="465"/>
      <c r="BJ374" s="465"/>
      <c r="BK374" s="465"/>
      <c r="BL374" s="465"/>
      <c r="BM374" s="465"/>
      <c r="BN374" s="465"/>
      <c r="BO374" s="465"/>
      <c r="BP374" s="465"/>
      <c r="BQ374" s="465"/>
      <c r="BR374" s="465"/>
      <c r="BS374" s="465"/>
      <c r="BT374" s="465"/>
      <c r="BU374" s="465"/>
      <c r="BV374" s="465"/>
      <c r="BW374" s="465"/>
      <c r="BX374" s="465"/>
      <c r="BY374" s="465"/>
    </row>
    <row r="375" spans="2:77" s="28" customFormat="1">
      <c r="B375" s="201"/>
      <c r="D375" s="418"/>
      <c r="E375" s="29"/>
      <c r="G375" s="421"/>
      <c r="H375" s="422"/>
      <c r="I375" s="422"/>
      <c r="J375" s="422"/>
      <c r="K375" s="422"/>
      <c r="L375" s="422"/>
      <c r="P375" s="470"/>
      <c r="AJ375" s="31"/>
      <c r="AK375" s="31"/>
      <c r="AL375" s="32"/>
      <c r="AM375" s="33"/>
      <c r="AN375" s="32"/>
      <c r="AO375" s="33"/>
      <c r="AP375" s="32"/>
      <c r="AQ375" s="32"/>
      <c r="AR375" s="201"/>
      <c r="AS375" s="201"/>
      <c r="AT375" s="201"/>
      <c r="AU375" s="201"/>
      <c r="AV375" s="201"/>
      <c r="AW375" s="201"/>
      <c r="AX375" s="201"/>
      <c r="AY375" s="201"/>
      <c r="AZ375" s="201"/>
      <c r="BA375" s="201"/>
      <c r="BB375" s="201"/>
      <c r="BC375" s="201"/>
      <c r="BD375" s="465"/>
      <c r="BE375" s="465"/>
      <c r="BF375" s="465"/>
      <c r="BG375" s="465"/>
      <c r="BH375" s="465"/>
      <c r="BI375" s="465"/>
      <c r="BJ375" s="465"/>
      <c r="BK375" s="465"/>
      <c r="BL375" s="465"/>
      <c r="BM375" s="465"/>
      <c r="BN375" s="465"/>
      <c r="BO375" s="465"/>
      <c r="BP375" s="465"/>
      <c r="BQ375" s="465"/>
      <c r="BR375" s="465"/>
      <c r="BS375" s="465"/>
      <c r="BT375" s="465"/>
      <c r="BU375" s="465"/>
      <c r="BV375" s="465"/>
      <c r="BW375" s="465"/>
      <c r="BX375" s="465"/>
      <c r="BY375" s="465"/>
    </row>
    <row r="376" spans="2:77" s="28" customFormat="1">
      <c r="B376" s="201"/>
      <c r="D376" s="418"/>
      <c r="E376" s="29"/>
      <c r="G376" s="421"/>
      <c r="H376" s="422"/>
      <c r="I376" s="422"/>
      <c r="J376" s="422"/>
      <c r="K376" s="422"/>
      <c r="L376" s="422"/>
      <c r="P376" s="470"/>
      <c r="AJ376" s="31"/>
      <c r="AK376" s="31"/>
      <c r="AL376" s="32"/>
      <c r="AM376" s="33"/>
      <c r="AN376" s="32"/>
      <c r="AO376" s="33"/>
      <c r="AP376" s="32"/>
      <c r="AQ376" s="32"/>
      <c r="AR376" s="201"/>
      <c r="AS376" s="201"/>
      <c r="AT376" s="201"/>
      <c r="AU376" s="201"/>
      <c r="AV376" s="201"/>
      <c r="AW376" s="201"/>
      <c r="AX376" s="201"/>
      <c r="AY376" s="201"/>
      <c r="AZ376" s="201"/>
      <c r="BA376" s="201"/>
      <c r="BB376" s="201"/>
      <c r="BC376" s="201"/>
      <c r="BD376" s="465"/>
      <c r="BE376" s="465"/>
      <c r="BF376" s="465"/>
      <c r="BG376" s="465"/>
      <c r="BH376" s="465"/>
      <c r="BI376" s="465"/>
      <c r="BJ376" s="465"/>
      <c r="BK376" s="465"/>
      <c r="BL376" s="465"/>
      <c r="BM376" s="465"/>
      <c r="BN376" s="465"/>
      <c r="BO376" s="465"/>
      <c r="BP376" s="465"/>
      <c r="BQ376" s="465"/>
      <c r="BR376" s="465"/>
      <c r="BS376" s="465"/>
      <c r="BT376" s="465"/>
      <c r="BU376" s="465"/>
      <c r="BV376" s="465"/>
      <c r="BW376" s="465"/>
      <c r="BX376" s="465"/>
      <c r="BY376" s="465"/>
    </row>
    <row r="377" spans="2:77" s="28" customFormat="1">
      <c r="B377" s="201"/>
      <c r="D377" s="418"/>
      <c r="E377" s="29"/>
      <c r="G377" s="421"/>
      <c r="H377" s="422"/>
      <c r="I377" s="422"/>
      <c r="J377" s="422"/>
      <c r="K377" s="422"/>
      <c r="L377" s="422"/>
      <c r="P377" s="473"/>
      <c r="AJ377" s="31"/>
      <c r="AK377" s="31"/>
      <c r="AL377" s="32"/>
      <c r="AM377" s="33"/>
      <c r="AN377" s="32"/>
      <c r="AO377" s="33"/>
      <c r="AP377" s="32"/>
      <c r="AQ377" s="32"/>
      <c r="AR377" s="201"/>
      <c r="AS377" s="201"/>
      <c r="AT377" s="201"/>
      <c r="AU377" s="201"/>
      <c r="AV377" s="201"/>
      <c r="AW377" s="201"/>
      <c r="AX377" s="201"/>
      <c r="AY377" s="201"/>
      <c r="AZ377" s="201"/>
      <c r="BA377" s="201"/>
      <c r="BB377" s="201"/>
      <c r="BC377" s="201"/>
      <c r="BD377" s="465"/>
      <c r="BE377" s="465"/>
      <c r="BF377" s="465"/>
      <c r="BG377" s="465"/>
      <c r="BH377" s="465"/>
      <c r="BI377" s="465"/>
      <c r="BJ377" s="465"/>
      <c r="BK377" s="465"/>
      <c r="BL377" s="465"/>
      <c r="BM377" s="465"/>
      <c r="BN377" s="465"/>
      <c r="BO377" s="465"/>
      <c r="BP377" s="465"/>
      <c r="BQ377" s="465"/>
      <c r="BR377" s="465"/>
      <c r="BS377" s="465"/>
      <c r="BT377" s="465"/>
      <c r="BU377" s="465"/>
      <c r="BV377" s="465"/>
      <c r="BW377" s="465"/>
      <c r="BX377" s="465"/>
      <c r="BY377" s="465"/>
    </row>
    <row r="378" spans="2:77" s="28" customFormat="1">
      <c r="B378" s="201"/>
      <c r="D378" s="418"/>
      <c r="E378" s="29"/>
      <c r="G378" s="421"/>
      <c r="H378" s="422"/>
      <c r="I378" s="422"/>
      <c r="J378" s="422"/>
      <c r="K378" s="422"/>
      <c r="L378" s="422"/>
      <c r="P378" s="470"/>
      <c r="AJ378" s="31"/>
      <c r="AK378" s="31"/>
      <c r="AL378" s="32"/>
      <c r="AM378" s="33"/>
      <c r="AN378" s="32"/>
      <c r="AO378" s="33"/>
      <c r="AP378" s="32"/>
      <c r="AQ378" s="32"/>
      <c r="AR378" s="201"/>
      <c r="AS378" s="201"/>
      <c r="AT378" s="201"/>
      <c r="AU378" s="201"/>
      <c r="AV378" s="201"/>
      <c r="AW378" s="201"/>
      <c r="AX378" s="201"/>
      <c r="AY378" s="201"/>
      <c r="AZ378" s="201"/>
      <c r="BA378" s="201"/>
      <c r="BB378" s="201"/>
      <c r="BC378" s="201"/>
      <c r="BD378" s="465"/>
      <c r="BE378" s="465"/>
      <c r="BF378" s="465"/>
      <c r="BG378" s="465"/>
      <c r="BH378" s="465"/>
      <c r="BI378" s="465"/>
      <c r="BJ378" s="465"/>
      <c r="BK378" s="465"/>
      <c r="BL378" s="465"/>
      <c r="BM378" s="465"/>
      <c r="BN378" s="465"/>
      <c r="BO378" s="465"/>
      <c r="BP378" s="465"/>
      <c r="BQ378" s="465"/>
      <c r="BR378" s="465"/>
      <c r="BS378" s="465"/>
      <c r="BT378" s="465"/>
      <c r="BU378" s="465"/>
      <c r="BV378" s="465"/>
      <c r="BW378" s="465"/>
      <c r="BX378" s="465"/>
      <c r="BY378" s="465"/>
    </row>
    <row r="379" spans="2:77" s="28" customFormat="1">
      <c r="B379" s="201"/>
      <c r="D379" s="418"/>
      <c r="E379" s="29"/>
      <c r="G379" s="421"/>
      <c r="H379" s="422"/>
      <c r="I379" s="422"/>
      <c r="J379" s="422"/>
      <c r="K379" s="422"/>
      <c r="L379" s="422"/>
      <c r="P379" s="470"/>
      <c r="AJ379" s="31"/>
      <c r="AK379" s="31"/>
      <c r="AL379" s="32"/>
      <c r="AM379" s="33"/>
      <c r="AN379" s="32"/>
      <c r="AO379" s="33"/>
      <c r="AP379" s="32"/>
      <c r="AQ379" s="32"/>
      <c r="AR379" s="201"/>
      <c r="AS379" s="201"/>
      <c r="AT379" s="201"/>
      <c r="AU379" s="201"/>
      <c r="AV379" s="201"/>
      <c r="AW379" s="201"/>
      <c r="AX379" s="201"/>
      <c r="AY379" s="201"/>
      <c r="AZ379" s="201"/>
      <c r="BA379" s="201"/>
      <c r="BB379" s="201"/>
      <c r="BC379" s="201"/>
      <c r="BD379" s="465"/>
      <c r="BE379" s="465"/>
      <c r="BF379" s="465"/>
      <c r="BG379" s="465"/>
      <c r="BH379" s="465"/>
      <c r="BI379" s="465"/>
      <c r="BJ379" s="465"/>
      <c r="BK379" s="465"/>
      <c r="BL379" s="465"/>
      <c r="BM379" s="465"/>
      <c r="BN379" s="465"/>
      <c r="BO379" s="465"/>
      <c r="BP379" s="465"/>
      <c r="BQ379" s="465"/>
      <c r="BR379" s="465"/>
      <c r="BS379" s="465"/>
      <c r="BT379" s="465"/>
      <c r="BU379" s="465"/>
      <c r="BV379" s="465"/>
      <c r="BW379" s="465"/>
      <c r="BX379" s="465"/>
      <c r="BY379" s="465"/>
    </row>
    <row r="380" spans="2:77" s="28" customFormat="1">
      <c r="B380" s="201"/>
      <c r="D380" s="418"/>
      <c r="E380" s="29"/>
      <c r="G380" s="421"/>
      <c r="H380" s="422"/>
      <c r="I380" s="422"/>
      <c r="J380" s="422"/>
      <c r="K380" s="422"/>
      <c r="L380" s="422"/>
      <c r="P380" s="475"/>
      <c r="AJ380" s="31"/>
      <c r="AK380" s="31"/>
      <c r="AL380" s="32"/>
      <c r="AM380" s="33"/>
      <c r="AN380" s="32"/>
      <c r="AO380" s="33"/>
      <c r="AP380" s="32"/>
      <c r="AQ380" s="32"/>
      <c r="AR380" s="201"/>
      <c r="AS380" s="201"/>
      <c r="AT380" s="201"/>
      <c r="AU380" s="201"/>
      <c r="AV380" s="201"/>
      <c r="AW380" s="201"/>
      <c r="AX380" s="201"/>
      <c r="AY380" s="201"/>
      <c r="AZ380" s="201"/>
      <c r="BA380" s="201"/>
      <c r="BB380" s="201"/>
      <c r="BC380" s="201"/>
      <c r="BD380" s="465"/>
      <c r="BE380" s="465"/>
      <c r="BF380" s="465"/>
      <c r="BG380" s="465"/>
      <c r="BH380" s="465"/>
      <c r="BI380" s="465"/>
      <c r="BJ380" s="465"/>
      <c r="BK380" s="465"/>
      <c r="BL380" s="465"/>
      <c r="BM380" s="465"/>
      <c r="BN380" s="465"/>
      <c r="BO380" s="465"/>
      <c r="BP380" s="465"/>
      <c r="BQ380" s="465"/>
      <c r="BR380" s="465"/>
      <c r="BS380" s="465"/>
      <c r="BT380" s="465"/>
      <c r="BU380" s="465"/>
      <c r="BV380" s="465"/>
      <c r="BW380" s="465"/>
      <c r="BX380" s="465"/>
      <c r="BY380" s="465"/>
    </row>
    <row r="381" spans="2:77" s="28" customFormat="1">
      <c r="B381" s="201"/>
      <c r="D381" s="418"/>
      <c r="E381" s="29"/>
      <c r="G381" s="421"/>
      <c r="H381" s="422"/>
      <c r="I381" s="422"/>
      <c r="J381" s="422"/>
      <c r="K381" s="422"/>
      <c r="L381" s="422"/>
      <c r="P381" s="470"/>
      <c r="AJ381" s="31"/>
      <c r="AK381" s="31"/>
      <c r="AL381" s="32"/>
      <c r="AM381" s="33"/>
      <c r="AN381" s="32"/>
      <c r="AO381" s="33"/>
      <c r="AP381" s="32"/>
      <c r="AQ381" s="32"/>
      <c r="AR381" s="201"/>
      <c r="AS381" s="201"/>
      <c r="AT381" s="201"/>
      <c r="AU381" s="201"/>
      <c r="AV381" s="201"/>
      <c r="AW381" s="201"/>
      <c r="AX381" s="201"/>
      <c r="AY381" s="201"/>
      <c r="AZ381" s="201"/>
      <c r="BA381" s="201"/>
      <c r="BB381" s="201"/>
      <c r="BC381" s="201"/>
      <c r="BD381" s="465"/>
      <c r="BE381" s="465"/>
      <c r="BF381" s="465"/>
      <c r="BG381" s="465"/>
      <c r="BH381" s="465"/>
      <c r="BI381" s="465"/>
      <c r="BJ381" s="465"/>
      <c r="BK381" s="465"/>
      <c r="BL381" s="465"/>
      <c r="BM381" s="465"/>
      <c r="BN381" s="465"/>
      <c r="BO381" s="465"/>
      <c r="BP381" s="465"/>
      <c r="BQ381" s="465"/>
      <c r="BR381" s="465"/>
      <c r="BS381" s="465"/>
      <c r="BT381" s="465"/>
      <c r="BU381" s="465"/>
      <c r="BV381" s="465"/>
      <c r="BW381" s="465"/>
      <c r="BX381" s="465"/>
      <c r="BY381" s="465"/>
    </row>
    <row r="382" spans="2:77" s="28" customFormat="1">
      <c r="B382" s="201"/>
      <c r="D382" s="418"/>
      <c r="E382" s="29"/>
      <c r="G382" s="421"/>
      <c r="H382" s="422"/>
      <c r="I382" s="422"/>
      <c r="J382" s="422"/>
      <c r="K382" s="422"/>
      <c r="L382" s="422"/>
      <c r="P382" s="473"/>
      <c r="AJ382" s="31"/>
      <c r="AK382" s="31"/>
      <c r="AL382" s="32"/>
      <c r="AM382" s="33"/>
      <c r="AN382" s="32"/>
      <c r="AO382" s="33"/>
      <c r="AP382" s="32"/>
      <c r="AQ382" s="32"/>
      <c r="AR382" s="201"/>
      <c r="AS382" s="201"/>
      <c r="AT382" s="201"/>
      <c r="AU382" s="201"/>
      <c r="AV382" s="201"/>
      <c r="AW382" s="201"/>
      <c r="AX382" s="201"/>
      <c r="AY382" s="201"/>
      <c r="AZ382" s="201"/>
      <c r="BA382" s="201"/>
      <c r="BB382" s="201"/>
      <c r="BC382" s="201"/>
      <c r="BD382" s="465"/>
      <c r="BE382" s="465"/>
      <c r="BF382" s="465"/>
      <c r="BG382" s="465"/>
      <c r="BH382" s="465"/>
      <c r="BI382" s="465"/>
      <c r="BJ382" s="465"/>
      <c r="BK382" s="465"/>
      <c r="BL382" s="465"/>
      <c r="BM382" s="465"/>
      <c r="BN382" s="465"/>
      <c r="BO382" s="465"/>
      <c r="BP382" s="465"/>
      <c r="BQ382" s="465"/>
      <c r="BR382" s="465"/>
      <c r="BS382" s="465"/>
      <c r="BT382" s="465"/>
      <c r="BU382" s="465"/>
      <c r="BV382" s="465"/>
      <c r="BW382" s="465"/>
      <c r="BX382" s="465"/>
      <c r="BY382" s="465"/>
    </row>
    <row r="383" spans="2:77" s="28" customFormat="1">
      <c r="B383" s="201"/>
      <c r="D383" s="418"/>
      <c r="E383" s="29"/>
      <c r="G383" s="421"/>
      <c r="H383" s="422"/>
      <c r="I383" s="422"/>
      <c r="J383" s="422"/>
      <c r="K383" s="422"/>
      <c r="L383" s="422"/>
      <c r="P383" s="473"/>
      <c r="AJ383" s="31"/>
      <c r="AK383" s="31"/>
      <c r="AL383" s="32"/>
      <c r="AM383" s="33"/>
      <c r="AN383" s="32"/>
      <c r="AO383" s="33"/>
      <c r="AP383" s="32"/>
      <c r="AQ383" s="32"/>
      <c r="AR383" s="201"/>
      <c r="AS383" s="201"/>
      <c r="AT383" s="201"/>
      <c r="AU383" s="201"/>
      <c r="AV383" s="201"/>
      <c r="AW383" s="201"/>
      <c r="AX383" s="201"/>
      <c r="AY383" s="201"/>
      <c r="AZ383" s="201"/>
      <c r="BA383" s="201"/>
      <c r="BB383" s="201"/>
      <c r="BC383" s="201"/>
      <c r="BD383" s="465"/>
      <c r="BE383" s="465"/>
      <c r="BF383" s="465"/>
      <c r="BG383" s="465"/>
      <c r="BH383" s="465"/>
      <c r="BI383" s="465"/>
      <c r="BJ383" s="465"/>
      <c r="BK383" s="465"/>
      <c r="BL383" s="465"/>
      <c r="BM383" s="465"/>
      <c r="BN383" s="465"/>
      <c r="BO383" s="465"/>
      <c r="BP383" s="465"/>
      <c r="BQ383" s="465"/>
      <c r="BR383" s="465"/>
      <c r="BS383" s="465"/>
      <c r="BT383" s="465"/>
      <c r="BU383" s="465"/>
      <c r="BV383" s="465"/>
      <c r="BW383" s="465"/>
      <c r="BX383" s="465"/>
      <c r="BY383" s="465"/>
    </row>
    <row r="384" spans="2:77" s="28" customFormat="1">
      <c r="B384" s="201"/>
      <c r="D384" s="418"/>
      <c r="E384" s="29"/>
      <c r="G384" s="421"/>
      <c r="H384" s="422"/>
      <c r="I384" s="422"/>
      <c r="J384" s="422"/>
      <c r="K384" s="422"/>
      <c r="L384" s="422"/>
      <c r="P384" s="474"/>
      <c r="AJ384" s="31"/>
      <c r="AK384" s="31"/>
      <c r="AL384" s="32"/>
      <c r="AM384" s="33"/>
      <c r="AN384" s="32"/>
      <c r="AO384" s="33"/>
      <c r="AP384" s="32"/>
      <c r="AQ384" s="32"/>
      <c r="AR384" s="201"/>
      <c r="AS384" s="201"/>
      <c r="AT384" s="201"/>
      <c r="AU384" s="201"/>
      <c r="AV384" s="201"/>
      <c r="AW384" s="201"/>
      <c r="AX384" s="201"/>
      <c r="AY384" s="201"/>
      <c r="AZ384" s="201"/>
      <c r="BA384" s="201"/>
      <c r="BB384" s="201"/>
      <c r="BC384" s="201"/>
      <c r="BD384" s="465"/>
      <c r="BE384" s="465"/>
      <c r="BF384" s="465"/>
      <c r="BG384" s="465"/>
      <c r="BH384" s="465"/>
      <c r="BI384" s="465"/>
      <c r="BJ384" s="465"/>
      <c r="BK384" s="465"/>
      <c r="BL384" s="465"/>
      <c r="BM384" s="465"/>
      <c r="BN384" s="465"/>
      <c r="BO384" s="465"/>
      <c r="BP384" s="465"/>
      <c r="BQ384" s="465"/>
      <c r="BR384" s="465"/>
      <c r="BS384" s="465"/>
      <c r="BT384" s="465"/>
      <c r="BU384" s="465"/>
      <c r="BV384" s="465"/>
      <c r="BW384" s="465"/>
      <c r="BX384" s="465"/>
      <c r="BY384" s="465"/>
    </row>
    <row r="385" spans="2:77" s="28" customFormat="1">
      <c r="B385" s="201"/>
      <c r="D385" s="418"/>
      <c r="E385" s="29"/>
      <c r="G385" s="421"/>
      <c r="H385" s="422"/>
      <c r="I385" s="422"/>
      <c r="J385" s="422"/>
      <c r="K385" s="422"/>
      <c r="L385" s="422"/>
      <c r="P385" s="470"/>
      <c r="AJ385" s="31"/>
      <c r="AK385" s="31"/>
      <c r="AL385" s="32"/>
      <c r="AM385" s="33"/>
      <c r="AN385" s="32"/>
      <c r="AO385" s="33"/>
      <c r="AP385" s="32"/>
      <c r="AQ385" s="32"/>
      <c r="AR385" s="201"/>
      <c r="AS385" s="201"/>
      <c r="AT385" s="201"/>
      <c r="AU385" s="201"/>
      <c r="AV385" s="201"/>
      <c r="AW385" s="201"/>
      <c r="AX385" s="201"/>
      <c r="AY385" s="201"/>
      <c r="AZ385" s="201"/>
      <c r="BA385" s="201"/>
      <c r="BB385" s="201"/>
      <c r="BC385" s="201"/>
      <c r="BD385" s="465"/>
      <c r="BE385" s="465"/>
      <c r="BF385" s="465"/>
      <c r="BG385" s="465"/>
      <c r="BH385" s="465"/>
      <c r="BI385" s="465"/>
      <c r="BJ385" s="465"/>
      <c r="BK385" s="465"/>
      <c r="BL385" s="465"/>
      <c r="BM385" s="465"/>
      <c r="BN385" s="465"/>
      <c r="BO385" s="465"/>
      <c r="BP385" s="465"/>
      <c r="BQ385" s="465"/>
      <c r="BR385" s="465"/>
      <c r="BS385" s="465"/>
      <c r="BT385" s="465"/>
      <c r="BU385" s="465"/>
      <c r="BV385" s="465"/>
      <c r="BW385" s="465"/>
      <c r="BX385" s="465"/>
      <c r="BY385" s="465"/>
    </row>
    <row r="386" spans="2:77" s="28" customFormat="1">
      <c r="B386" s="201"/>
      <c r="D386" s="418"/>
      <c r="E386" s="29"/>
      <c r="G386" s="421"/>
      <c r="H386" s="422"/>
      <c r="I386" s="422"/>
      <c r="J386" s="422"/>
      <c r="K386" s="422"/>
      <c r="L386" s="422"/>
      <c r="P386" s="470"/>
      <c r="AJ386" s="31"/>
      <c r="AK386" s="31"/>
      <c r="AL386" s="32"/>
      <c r="AM386" s="33"/>
      <c r="AN386" s="32"/>
      <c r="AO386" s="33"/>
      <c r="AP386" s="32"/>
      <c r="AQ386" s="32"/>
      <c r="AR386" s="201"/>
      <c r="AS386" s="201"/>
      <c r="AT386" s="201"/>
      <c r="AU386" s="201"/>
      <c r="AV386" s="201"/>
      <c r="AW386" s="201"/>
      <c r="AX386" s="201"/>
      <c r="AY386" s="201"/>
      <c r="AZ386" s="201"/>
      <c r="BA386" s="201"/>
      <c r="BB386" s="201"/>
      <c r="BC386" s="201"/>
      <c r="BD386" s="465"/>
      <c r="BE386" s="465"/>
      <c r="BF386" s="465"/>
      <c r="BG386" s="465"/>
      <c r="BH386" s="465"/>
      <c r="BI386" s="465"/>
      <c r="BJ386" s="465"/>
      <c r="BK386" s="465"/>
      <c r="BL386" s="465"/>
      <c r="BM386" s="465"/>
      <c r="BN386" s="465"/>
      <c r="BO386" s="465"/>
      <c r="BP386" s="465"/>
      <c r="BQ386" s="465"/>
      <c r="BR386" s="465"/>
      <c r="BS386" s="465"/>
      <c r="BT386" s="465"/>
      <c r="BU386" s="465"/>
      <c r="BV386" s="465"/>
      <c r="BW386" s="465"/>
      <c r="BX386" s="465"/>
      <c r="BY386" s="465"/>
    </row>
    <row r="387" spans="2:77" s="28" customFormat="1">
      <c r="B387" s="201"/>
      <c r="D387" s="418"/>
      <c r="E387" s="29"/>
      <c r="G387" s="421"/>
      <c r="H387" s="422"/>
      <c r="I387" s="422"/>
      <c r="J387" s="422"/>
      <c r="K387" s="422"/>
      <c r="L387" s="422"/>
      <c r="P387" s="474"/>
      <c r="AJ387" s="31"/>
      <c r="AK387" s="31"/>
      <c r="AL387" s="32"/>
      <c r="AM387" s="33"/>
      <c r="AN387" s="32"/>
      <c r="AO387" s="33"/>
      <c r="AP387" s="32"/>
      <c r="AQ387" s="32"/>
      <c r="AR387" s="201"/>
      <c r="AS387" s="201"/>
      <c r="AT387" s="201"/>
      <c r="AU387" s="201"/>
      <c r="AV387" s="201"/>
      <c r="AW387" s="201"/>
      <c r="AX387" s="201"/>
      <c r="AY387" s="201"/>
      <c r="AZ387" s="201"/>
      <c r="BA387" s="201"/>
      <c r="BB387" s="201"/>
      <c r="BC387" s="201"/>
      <c r="BD387" s="465"/>
      <c r="BE387" s="465"/>
      <c r="BF387" s="465"/>
      <c r="BG387" s="465"/>
      <c r="BH387" s="465"/>
      <c r="BI387" s="465"/>
      <c r="BJ387" s="465"/>
      <c r="BK387" s="465"/>
      <c r="BL387" s="465"/>
      <c r="BM387" s="465"/>
      <c r="BN387" s="465"/>
      <c r="BO387" s="465"/>
      <c r="BP387" s="465"/>
      <c r="BQ387" s="465"/>
      <c r="BR387" s="465"/>
      <c r="BS387" s="465"/>
      <c r="BT387" s="465"/>
      <c r="BU387" s="465"/>
      <c r="BV387" s="465"/>
      <c r="BW387" s="465"/>
      <c r="BX387" s="465"/>
      <c r="BY387" s="465"/>
    </row>
    <row r="388" spans="2:77" s="28" customFormat="1">
      <c r="B388" s="201"/>
      <c r="D388" s="418"/>
      <c r="E388" s="29"/>
      <c r="G388" s="421"/>
      <c r="H388" s="422"/>
      <c r="I388" s="422"/>
      <c r="J388" s="422"/>
      <c r="K388" s="422"/>
      <c r="L388" s="422"/>
      <c r="P388" s="473"/>
      <c r="AJ388" s="31"/>
      <c r="AK388" s="31"/>
      <c r="AL388" s="32"/>
      <c r="AM388" s="33"/>
      <c r="AN388" s="32"/>
      <c r="AO388" s="33"/>
      <c r="AP388" s="32"/>
      <c r="AQ388" s="32"/>
      <c r="AR388" s="201"/>
      <c r="AS388" s="201"/>
      <c r="AT388" s="201"/>
      <c r="AU388" s="201"/>
      <c r="AV388" s="201"/>
      <c r="AW388" s="201"/>
      <c r="AX388" s="201"/>
      <c r="AY388" s="201"/>
      <c r="AZ388" s="201"/>
      <c r="BA388" s="201"/>
      <c r="BB388" s="201"/>
      <c r="BC388" s="201"/>
      <c r="BD388" s="465"/>
      <c r="BE388" s="465"/>
      <c r="BF388" s="465"/>
      <c r="BG388" s="465"/>
      <c r="BH388" s="465"/>
      <c r="BI388" s="465"/>
      <c r="BJ388" s="465"/>
      <c r="BK388" s="465"/>
      <c r="BL388" s="465"/>
      <c r="BM388" s="465"/>
      <c r="BN388" s="465"/>
      <c r="BO388" s="465"/>
      <c r="BP388" s="465"/>
      <c r="BQ388" s="465"/>
      <c r="BR388" s="465"/>
      <c r="BS388" s="465"/>
      <c r="BT388" s="465"/>
      <c r="BU388" s="465"/>
      <c r="BV388" s="465"/>
      <c r="BW388" s="465"/>
      <c r="BX388" s="465"/>
      <c r="BY388" s="465"/>
    </row>
    <row r="389" spans="2:77" s="28" customFormat="1">
      <c r="B389" s="201"/>
      <c r="D389" s="418"/>
      <c r="E389" s="29"/>
      <c r="G389" s="421"/>
      <c r="H389" s="422"/>
      <c r="I389" s="422"/>
      <c r="J389" s="422"/>
      <c r="K389" s="422"/>
      <c r="L389" s="422"/>
      <c r="P389" s="470"/>
      <c r="AJ389" s="31"/>
      <c r="AK389" s="31"/>
      <c r="AL389" s="32"/>
      <c r="AM389" s="33"/>
      <c r="AN389" s="32"/>
      <c r="AO389" s="33"/>
      <c r="AP389" s="32"/>
      <c r="AQ389" s="32"/>
      <c r="AR389" s="201"/>
      <c r="AS389" s="201"/>
      <c r="AT389" s="201"/>
      <c r="AU389" s="201"/>
      <c r="AV389" s="201"/>
      <c r="AW389" s="201"/>
      <c r="AX389" s="201"/>
      <c r="AY389" s="201"/>
      <c r="AZ389" s="201"/>
      <c r="BA389" s="201"/>
      <c r="BB389" s="201"/>
      <c r="BC389" s="201"/>
      <c r="BD389" s="465"/>
      <c r="BE389" s="465"/>
      <c r="BF389" s="465"/>
      <c r="BG389" s="465"/>
      <c r="BH389" s="465"/>
      <c r="BI389" s="465"/>
      <c r="BJ389" s="465"/>
      <c r="BK389" s="465"/>
      <c r="BL389" s="465"/>
      <c r="BM389" s="465"/>
      <c r="BN389" s="465"/>
      <c r="BO389" s="465"/>
      <c r="BP389" s="465"/>
      <c r="BQ389" s="465"/>
      <c r="BR389" s="465"/>
      <c r="BS389" s="465"/>
      <c r="BT389" s="465"/>
      <c r="BU389" s="465"/>
      <c r="BV389" s="465"/>
      <c r="BW389" s="465"/>
      <c r="BX389" s="465"/>
      <c r="BY389" s="465"/>
    </row>
    <row r="390" spans="2:77" s="28" customFormat="1">
      <c r="B390" s="201"/>
      <c r="D390" s="418"/>
      <c r="E390" s="29"/>
      <c r="G390" s="421"/>
      <c r="H390" s="422"/>
      <c r="I390" s="422"/>
      <c r="J390" s="422"/>
      <c r="K390" s="422"/>
      <c r="L390" s="422"/>
      <c r="P390" s="474"/>
      <c r="AJ390" s="31"/>
      <c r="AK390" s="31"/>
      <c r="AL390" s="32"/>
      <c r="AM390" s="33"/>
      <c r="AN390" s="32"/>
      <c r="AO390" s="33"/>
      <c r="AP390" s="32"/>
      <c r="AQ390" s="32"/>
      <c r="AR390" s="201"/>
      <c r="AS390" s="201"/>
      <c r="AT390" s="201"/>
      <c r="AU390" s="201"/>
      <c r="AV390" s="201"/>
      <c r="AW390" s="201"/>
      <c r="AX390" s="201"/>
      <c r="AY390" s="201"/>
      <c r="AZ390" s="201"/>
      <c r="BA390" s="201"/>
      <c r="BB390" s="201"/>
      <c r="BC390" s="201"/>
      <c r="BD390" s="465"/>
      <c r="BE390" s="465"/>
      <c r="BF390" s="465"/>
      <c r="BG390" s="465"/>
      <c r="BH390" s="465"/>
      <c r="BI390" s="465"/>
      <c r="BJ390" s="465"/>
      <c r="BK390" s="465"/>
      <c r="BL390" s="465"/>
      <c r="BM390" s="465"/>
      <c r="BN390" s="465"/>
      <c r="BO390" s="465"/>
      <c r="BP390" s="465"/>
      <c r="BQ390" s="465"/>
      <c r="BR390" s="465"/>
      <c r="BS390" s="465"/>
      <c r="BT390" s="465"/>
      <c r="BU390" s="465"/>
      <c r="BV390" s="465"/>
      <c r="BW390" s="465"/>
      <c r="BX390" s="465"/>
      <c r="BY390" s="465"/>
    </row>
    <row r="391" spans="2:77" s="28" customFormat="1">
      <c r="B391" s="201"/>
      <c r="D391" s="418"/>
      <c r="E391" s="29"/>
      <c r="G391" s="421"/>
      <c r="H391" s="422"/>
      <c r="I391" s="422"/>
      <c r="J391" s="422"/>
      <c r="K391" s="422"/>
      <c r="L391" s="422"/>
      <c r="P391" s="473"/>
      <c r="AJ391" s="31"/>
      <c r="AK391" s="31"/>
      <c r="AL391" s="32"/>
      <c r="AM391" s="33"/>
      <c r="AN391" s="32"/>
      <c r="AO391" s="33"/>
      <c r="AP391" s="32"/>
      <c r="AQ391" s="32"/>
      <c r="AR391" s="201"/>
      <c r="AS391" s="201"/>
      <c r="AT391" s="201"/>
      <c r="AU391" s="201"/>
      <c r="AV391" s="201"/>
      <c r="AW391" s="201"/>
      <c r="AX391" s="201"/>
      <c r="AY391" s="201"/>
      <c r="AZ391" s="201"/>
      <c r="BA391" s="201"/>
      <c r="BB391" s="201"/>
      <c r="BC391" s="201"/>
      <c r="BD391" s="465"/>
      <c r="BE391" s="465"/>
      <c r="BF391" s="465"/>
      <c r="BG391" s="465"/>
      <c r="BH391" s="465"/>
      <c r="BI391" s="465"/>
      <c r="BJ391" s="465"/>
      <c r="BK391" s="465"/>
      <c r="BL391" s="465"/>
      <c r="BM391" s="465"/>
      <c r="BN391" s="465"/>
      <c r="BO391" s="465"/>
      <c r="BP391" s="465"/>
      <c r="BQ391" s="465"/>
      <c r="BR391" s="465"/>
      <c r="BS391" s="465"/>
      <c r="BT391" s="465"/>
      <c r="BU391" s="465"/>
      <c r="BV391" s="465"/>
      <c r="BW391" s="465"/>
      <c r="BX391" s="465"/>
      <c r="BY391" s="465"/>
    </row>
    <row r="392" spans="2:77" s="28" customFormat="1">
      <c r="B392" s="201"/>
      <c r="D392" s="418"/>
      <c r="E392" s="29"/>
      <c r="G392" s="421"/>
      <c r="H392" s="422"/>
      <c r="I392" s="422"/>
      <c r="J392" s="422"/>
      <c r="K392" s="422"/>
      <c r="L392" s="422"/>
      <c r="P392" s="472"/>
      <c r="AJ392" s="31"/>
      <c r="AK392" s="31"/>
      <c r="AL392" s="32"/>
      <c r="AM392" s="33"/>
      <c r="AN392" s="32"/>
      <c r="AO392" s="33"/>
      <c r="AP392" s="32"/>
      <c r="AQ392" s="32"/>
      <c r="AR392" s="201"/>
      <c r="AS392" s="201"/>
      <c r="AT392" s="201"/>
      <c r="AU392" s="201"/>
      <c r="AV392" s="201"/>
      <c r="AW392" s="201"/>
      <c r="AX392" s="201"/>
      <c r="AY392" s="201"/>
      <c r="AZ392" s="201"/>
      <c r="BA392" s="201"/>
      <c r="BB392" s="201"/>
      <c r="BC392" s="201"/>
      <c r="BD392" s="465"/>
      <c r="BE392" s="465"/>
      <c r="BF392" s="465"/>
      <c r="BG392" s="465"/>
      <c r="BH392" s="465"/>
      <c r="BI392" s="465"/>
      <c r="BJ392" s="465"/>
      <c r="BK392" s="465"/>
      <c r="BL392" s="465"/>
      <c r="BM392" s="465"/>
      <c r="BN392" s="465"/>
      <c r="BO392" s="465"/>
      <c r="BP392" s="465"/>
      <c r="BQ392" s="465"/>
      <c r="BR392" s="465"/>
      <c r="BS392" s="465"/>
      <c r="BT392" s="465"/>
      <c r="BU392" s="465"/>
      <c r="BV392" s="465"/>
      <c r="BW392" s="465"/>
      <c r="BX392" s="465"/>
      <c r="BY392" s="465"/>
    </row>
    <row r="393" spans="2:77" s="28" customFormat="1">
      <c r="B393" s="201"/>
      <c r="D393" s="418"/>
      <c r="E393" s="29"/>
      <c r="G393" s="421"/>
      <c r="H393" s="422"/>
      <c r="I393" s="422"/>
      <c r="J393" s="422"/>
      <c r="K393" s="422"/>
      <c r="L393" s="422"/>
      <c r="P393" s="478"/>
      <c r="AJ393" s="31"/>
      <c r="AK393" s="31"/>
      <c r="AL393" s="32"/>
      <c r="AM393" s="33"/>
      <c r="AN393" s="32"/>
      <c r="AO393" s="33"/>
      <c r="AP393" s="32"/>
      <c r="AQ393" s="32"/>
      <c r="AR393" s="201"/>
      <c r="AS393" s="201"/>
      <c r="AT393" s="201"/>
      <c r="AU393" s="201"/>
      <c r="AV393" s="201"/>
      <c r="AW393" s="201"/>
      <c r="AX393" s="201"/>
      <c r="AY393" s="201"/>
      <c r="AZ393" s="201"/>
      <c r="BA393" s="201"/>
      <c r="BB393" s="201"/>
      <c r="BC393" s="201"/>
      <c r="BD393" s="465"/>
      <c r="BE393" s="465"/>
      <c r="BF393" s="465"/>
      <c r="BG393" s="465"/>
      <c r="BH393" s="465"/>
      <c r="BI393" s="465"/>
      <c r="BJ393" s="465"/>
      <c r="BK393" s="465"/>
      <c r="BL393" s="465"/>
      <c r="BM393" s="465"/>
      <c r="BN393" s="465"/>
      <c r="BO393" s="465"/>
      <c r="BP393" s="465"/>
      <c r="BQ393" s="465"/>
      <c r="BR393" s="465"/>
      <c r="BS393" s="465"/>
      <c r="BT393" s="465"/>
      <c r="BU393" s="465"/>
      <c r="BV393" s="465"/>
      <c r="BW393" s="465"/>
      <c r="BX393" s="465"/>
      <c r="BY393" s="465"/>
    </row>
    <row r="394" spans="2:77" s="28" customFormat="1">
      <c r="B394" s="201"/>
      <c r="D394" s="418"/>
      <c r="E394" s="29"/>
      <c r="G394" s="421"/>
      <c r="H394" s="422"/>
      <c r="I394" s="422"/>
      <c r="J394" s="422"/>
      <c r="K394" s="422"/>
      <c r="L394" s="422"/>
      <c r="P394" s="470"/>
      <c r="AJ394" s="31"/>
      <c r="AK394" s="31"/>
      <c r="AL394" s="32"/>
      <c r="AM394" s="33"/>
      <c r="AN394" s="32"/>
      <c r="AO394" s="33"/>
      <c r="AP394" s="32"/>
      <c r="AQ394" s="32"/>
      <c r="AR394" s="201"/>
      <c r="AS394" s="201"/>
      <c r="AT394" s="201"/>
      <c r="AU394" s="201"/>
      <c r="AV394" s="201"/>
      <c r="AW394" s="201"/>
      <c r="AX394" s="201"/>
      <c r="AY394" s="201"/>
      <c r="AZ394" s="201"/>
      <c r="BA394" s="201"/>
      <c r="BB394" s="201"/>
      <c r="BC394" s="201"/>
      <c r="BD394" s="465"/>
      <c r="BE394" s="465"/>
      <c r="BF394" s="465"/>
      <c r="BG394" s="465"/>
      <c r="BH394" s="465"/>
      <c r="BI394" s="465"/>
      <c r="BJ394" s="465"/>
      <c r="BK394" s="465"/>
      <c r="BL394" s="465"/>
      <c r="BM394" s="465"/>
      <c r="BN394" s="465"/>
      <c r="BO394" s="465"/>
      <c r="BP394" s="465"/>
      <c r="BQ394" s="465"/>
      <c r="BR394" s="465"/>
      <c r="BS394" s="465"/>
      <c r="BT394" s="465"/>
      <c r="BU394" s="465"/>
      <c r="BV394" s="465"/>
      <c r="BW394" s="465"/>
      <c r="BX394" s="465"/>
      <c r="BY394" s="465"/>
    </row>
    <row r="395" spans="2:77" s="28" customFormat="1">
      <c r="B395" s="201"/>
      <c r="D395" s="418"/>
      <c r="E395" s="29"/>
      <c r="G395" s="421"/>
      <c r="H395" s="422"/>
      <c r="I395" s="422"/>
      <c r="J395" s="422"/>
      <c r="K395" s="422"/>
      <c r="L395" s="422"/>
      <c r="P395" s="473"/>
      <c r="AJ395" s="31"/>
      <c r="AK395" s="31"/>
      <c r="AL395" s="32"/>
      <c r="AM395" s="33"/>
      <c r="AN395" s="32"/>
      <c r="AO395" s="33"/>
      <c r="AP395" s="32"/>
      <c r="AQ395" s="32"/>
      <c r="AR395" s="201"/>
      <c r="AS395" s="201"/>
      <c r="AT395" s="201"/>
      <c r="AU395" s="201"/>
      <c r="AV395" s="201"/>
      <c r="AW395" s="201"/>
      <c r="AX395" s="201"/>
      <c r="AY395" s="201"/>
      <c r="AZ395" s="201"/>
      <c r="BA395" s="201"/>
      <c r="BB395" s="201"/>
      <c r="BC395" s="201"/>
      <c r="BD395" s="465"/>
      <c r="BE395" s="465"/>
      <c r="BF395" s="465"/>
      <c r="BG395" s="465"/>
      <c r="BH395" s="465"/>
      <c r="BI395" s="465"/>
      <c r="BJ395" s="465"/>
      <c r="BK395" s="465"/>
      <c r="BL395" s="465"/>
      <c r="BM395" s="465"/>
      <c r="BN395" s="465"/>
      <c r="BO395" s="465"/>
      <c r="BP395" s="465"/>
      <c r="BQ395" s="465"/>
      <c r="BR395" s="465"/>
      <c r="BS395" s="465"/>
      <c r="BT395" s="465"/>
      <c r="BU395" s="465"/>
      <c r="BV395" s="465"/>
      <c r="BW395" s="465"/>
      <c r="BX395" s="465"/>
      <c r="BY395" s="465"/>
    </row>
    <row r="396" spans="2:77" s="28" customFormat="1">
      <c r="B396" s="201"/>
      <c r="D396" s="418"/>
      <c r="E396" s="29"/>
      <c r="G396" s="421"/>
      <c r="H396" s="422"/>
      <c r="I396" s="422"/>
      <c r="J396" s="422"/>
      <c r="K396" s="422"/>
      <c r="L396" s="422"/>
      <c r="P396" s="473"/>
      <c r="AJ396" s="31"/>
      <c r="AK396" s="31"/>
      <c r="AL396" s="32"/>
      <c r="AM396" s="33"/>
      <c r="AN396" s="32"/>
      <c r="AO396" s="33"/>
      <c r="AP396" s="32"/>
      <c r="AQ396" s="32"/>
      <c r="AR396" s="201"/>
      <c r="AS396" s="201"/>
      <c r="AT396" s="201"/>
      <c r="AU396" s="201"/>
      <c r="AV396" s="201"/>
      <c r="AW396" s="201"/>
      <c r="AX396" s="201"/>
      <c r="AY396" s="201"/>
      <c r="AZ396" s="201"/>
      <c r="BA396" s="201"/>
      <c r="BB396" s="201"/>
      <c r="BC396" s="201"/>
      <c r="BD396" s="465"/>
      <c r="BE396" s="465"/>
      <c r="BF396" s="465"/>
      <c r="BG396" s="465"/>
      <c r="BH396" s="465"/>
      <c r="BI396" s="465"/>
      <c r="BJ396" s="465"/>
      <c r="BK396" s="465"/>
      <c r="BL396" s="465"/>
      <c r="BM396" s="465"/>
      <c r="BN396" s="465"/>
      <c r="BO396" s="465"/>
      <c r="BP396" s="465"/>
      <c r="BQ396" s="465"/>
      <c r="BR396" s="465"/>
      <c r="BS396" s="465"/>
      <c r="BT396" s="465"/>
      <c r="BU396" s="465"/>
      <c r="BV396" s="465"/>
      <c r="BW396" s="465"/>
      <c r="BX396" s="465"/>
      <c r="BY396" s="465"/>
    </row>
    <row r="397" spans="2:77" s="28" customFormat="1">
      <c r="B397" s="201"/>
      <c r="D397" s="418"/>
      <c r="E397" s="29"/>
      <c r="G397" s="421"/>
      <c r="H397" s="422"/>
      <c r="I397" s="422"/>
      <c r="J397" s="422"/>
      <c r="K397" s="422"/>
      <c r="L397" s="422"/>
      <c r="P397" s="474"/>
      <c r="AJ397" s="31"/>
      <c r="AK397" s="31"/>
      <c r="AL397" s="32"/>
      <c r="AM397" s="33"/>
      <c r="AN397" s="32"/>
      <c r="AO397" s="33"/>
      <c r="AP397" s="32"/>
      <c r="AQ397" s="32"/>
      <c r="AR397" s="201"/>
      <c r="AS397" s="201"/>
      <c r="AT397" s="201"/>
      <c r="AU397" s="201"/>
      <c r="AV397" s="201"/>
      <c r="AW397" s="201"/>
      <c r="AX397" s="201"/>
      <c r="AY397" s="201"/>
      <c r="AZ397" s="201"/>
      <c r="BA397" s="201"/>
      <c r="BB397" s="201"/>
      <c r="BC397" s="201"/>
      <c r="BD397" s="465"/>
      <c r="BE397" s="465"/>
      <c r="BF397" s="465"/>
      <c r="BG397" s="465"/>
      <c r="BH397" s="465"/>
      <c r="BI397" s="465"/>
      <c r="BJ397" s="465"/>
      <c r="BK397" s="465"/>
      <c r="BL397" s="465"/>
      <c r="BM397" s="465"/>
      <c r="BN397" s="465"/>
      <c r="BO397" s="465"/>
      <c r="BP397" s="465"/>
      <c r="BQ397" s="465"/>
      <c r="BR397" s="465"/>
      <c r="BS397" s="465"/>
      <c r="BT397" s="465"/>
      <c r="BU397" s="465"/>
      <c r="BV397" s="465"/>
      <c r="BW397" s="465"/>
      <c r="BX397" s="465"/>
      <c r="BY397" s="465"/>
    </row>
    <row r="398" spans="2:77" s="28" customFormat="1">
      <c r="B398" s="201"/>
      <c r="D398" s="418"/>
      <c r="E398" s="29"/>
      <c r="G398" s="421"/>
      <c r="H398" s="422"/>
      <c r="I398" s="422"/>
      <c r="J398" s="422"/>
      <c r="K398" s="422"/>
      <c r="L398" s="422"/>
      <c r="P398" s="474"/>
      <c r="AJ398" s="31"/>
      <c r="AK398" s="31"/>
      <c r="AL398" s="32"/>
      <c r="AM398" s="33"/>
      <c r="AN398" s="32"/>
      <c r="AO398" s="33"/>
      <c r="AP398" s="32"/>
      <c r="AQ398" s="32"/>
      <c r="AR398" s="201"/>
      <c r="AS398" s="201"/>
      <c r="AT398" s="201"/>
      <c r="AU398" s="201"/>
      <c r="AV398" s="201"/>
      <c r="AW398" s="201"/>
      <c r="AX398" s="201"/>
      <c r="AY398" s="201"/>
      <c r="AZ398" s="201"/>
      <c r="BA398" s="201"/>
      <c r="BB398" s="201"/>
      <c r="BC398" s="201"/>
      <c r="BD398" s="465"/>
      <c r="BE398" s="465"/>
      <c r="BF398" s="465"/>
      <c r="BG398" s="465"/>
      <c r="BH398" s="465"/>
      <c r="BI398" s="465"/>
      <c r="BJ398" s="465"/>
      <c r="BK398" s="465"/>
      <c r="BL398" s="465"/>
      <c r="BM398" s="465"/>
      <c r="BN398" s="465"/>
      <c r="BO398" s="465"/>
      <c r="BP398" s="465"/>
      <c r="BQ398" s="465"/>
      <c r="BR398" s="465"/>
      <c r="BS398" s="465"/>
      <c r="BT398" s="465"/>
      <c r="BU398" s="465"/>
      <c r="BV398" s="465"/>
      <c r="BW398" s="465"/>
      <c r="BX398" s="465"/>
      <c r="BY398" s="465"/>
    </row>
    <row r="399" spans="2:77" s="28" customFormat="1">
      <c r="B399" s="201"/>
      <c r="D399" s="418"/>
      <c r="E399" s="29"/>
      <c r="G399" s="421"/>
      <c r="H399" s="422"/>
      <c r="I399" s="422"/>
      <c r="J399" s="422"/>
      <c r="K399" s="422"/>
      <c r="L399" s="422"/>
      <c r="P399" s="474"/>
      <c r="AJ399" s="31"/>
      <c r="AK399" s="31"/>
      <c r="AL399" s="32"/>
      <c r="AM399" s="33"/>
      <c r="AN399" s="32"/>
      <c r="AO399" s="33"/>
      <c r="AP399" s="32"/>
      <c r="AQ399" s="32"/>
      <c r="AR399" s="201"/>
      <c r="AS399" s="201"/>
      <c r="AT399" s="201"/>
      <c r="AU399" s="201"/>
      <c r="AV399" s="201"/>
      <c r="AW399" s="201"/>
      <c r="AX399" s="201"/>
      <c r="AY399" s="201"/>
      <c r="AZ399" s="201"/>
      <c r="BA399" s="201"/>
      <c r="BB399" s="201"/>
      <c r="BC399" s="201"/>
      <c r="BD399" s="465"/>
      <c r="BE399" s="465"/>
      <c r="BF399" s="465"/>
      <c r="BG399" s="465"/>
      <c r="BH399" s="465"/>
      <c r="BI399" s="465"/>
      <c r="BJ399" s="465"/>
      <c r="BK399" s="465"/>
      <c r="BL399" s="465"/>
      <c r="BM399" s="465"/>
      <c r="BN399" s="465"/>
      <c r="BO399" s="465"/>
      <c r="BP399" s="465"/>
      <c r="BQ399" s="465"/>
      <c r="BR399" s="465"/>
      <c r="BS399" s="465"/>
      <c r="BT399" s="465"/>
      <c r="BU399" s="465"/>
      <c r="BV399" s="465"/>
      <c r="BW399" s="465"/>
      <c r="BX399" s="465"/>
      <c r="BY399" s="465"/>
    </row>
    <row r="400" spans="2:77" s="28" customFormat="1">
      <c r="B400" s="201"/>
      <c r="D400" s="418"/>
      <c r="E400" s="29"/>
      <c r="G400" s="421"/>
      <c r="H400" s="422"/>
      <c r="I400" s="422"/>
      <c r="J400" s="422"/>
      <c r="K400" s="422"/>
      <c r="L400" s="422"/>
      <c r="P400" s="472"/>
      <c r="AJ400" s="31"/>
      <c r="AK400" s="31"/>
      <c r="AL400" s="32"/>
      <c r="AM400" s="33"/>
      <c r="AN400" s="32"/>
      <c r="AO400" s="33"/>
      <c r="AP400" s="32"/>
      <c r="AQ400" s="32"/>
      <c r="AR400" s="201"/>
      <c r="AS400" s="201"/>
      <c r="AT400" s="201"/>
      <c r="AU400" s="201"/>
      <c r="AV400" s="201"/>
      <c r="AW400" s="201"/>
      <c r="AX400" s="201"/>
      <c r="AY400" s="201"/>
      <c r="AZ400" s="201"/>
      <c r="BA400" s="201"/>
      <c r="BB400" s="201"/>
      <c r="BC400" s="201"/>
      <c r="BD400" s="465"/>
      <c r="BE400" s="465"/>
      <c r="BF400" s="465"/>
      <c r="BG400" s="465"/>
      <c r="BH400" s="465"/>
      <c r="BI400" s="465"/>
      <c r="BJ400" s="465"/>
      <c r="BK400" s="465"/>
      <c r="BL400" s="465"/>
      <c r="BM400" s="465"/>
      <c r="BN400" s="465"/>
      <c r="BO400" s="465"/>
      <c r="BP400" s="465"/>
      <c r="BQ400" s="465"/>
      <c r="BR400" s="465"/>
      <c r="BS400" s="465"/>
      <c r="BT400" s="465"/>
      <c r="BU400" s="465"/>
      <c r="BV400" s="465"/>
      <c r="BW400" s="465"/>
      <c r="BX400" s="465"/>
      <c r="BY400" s="465"/>
    </row>
    <row r="401" spans="2:77" s="28" customFormat="1">
      <c r="B401" s="201"/>
      <c r="D401" s="418"/>
      <c r="E401" s="29"/>
      <c r="G401" s="421"/>
      <c r="H401" s="422"/>
      <c r="I401" s="422"/>
      <c r="J401" s="422"/>
      <c r="K401" s="422"/>
      <c r="L401" s="422"/>
      <c r="P401" s="470"/>
      <c r="AJ401" s="31"/>
      <c r="AK401" s="31"/>
      <c r="AL401" s="32"/>
      <c r="AM401" s="33"/>
      <c r="AN401" s="32"/>
      <c r="AO401" s="33"/>
      <c r="AP401" s="32"/>
      <c r="AQ401" s="32"/>
      <c r="AR401" s="201"/>
      <c r="AS401" s="201"/>
      <c r="AT401" s="201"/>
      <c r="AU401" s="201"/>
      <c r="AV401" s="201"/>
      <c r="AW401" s="201"/>
      <c r="AX401" s="201"/>
      <c r="AY401" s="201"/>
      <c r="AZ401" s="201"/>
      <c r="BA401" s="201"/>
      <c r="BB401" s="201"/>
      <c r="BC401" s="201"/>
      <c r="BD401" s="465"/>
      <c r="BE401" s="465"/>
      <c r="BF401" s="465"/>
      <c r="BG401" s="465"/>
      <c r="BH401" s="465"/>
      <c r="BI401" s="465"/>
      <c r="BJ401" s="465"/>
      <c r="BK401" s="465"/>
      <c r="BL401" s="465"/>
      <c r="BM401" s="465"/>
      <c r="BN401" s="465"/>
      <c r="BO401" s="465"/>
      <c r="BP401" s="465"/>
      <c r="BQ401" s="465"/>
      <c r="BR401" s="465"/>
      <c r="BS401" s="465"/>
      <c r="BT401" s="465"/>
      <c r="BU401" s="465"/>
      <c r="BV401" s="465"/>
      <c r="BW401" s="465"/>
      <c r="BX401" s="465"/>
      <c r="BY401" s="465"/>
    </row>
    <row r="402" spans="2:77" s="28" customFormat="1">
      <c r="B402" s="201"/>
      <c r="D402" s="418"/>
      <c r="E402" s="29"/>
      <c r="G402" s="421"/>
      <c r="H402" s="422"/>
      <c r="I402" s="422"/>
      <c r="J402" s="422"/>
      <c r="K402" s="422"/>
      <c r="L402" s="422"/>
      <c r="P402" s="470"/>
      <c r="AJ402" s="31"/>
      <c r="AK402" s="31"/>
      <c r="AL402" s="32"/>
      <c r="AM402" s="33"/>
      <c r="AN402" s="32"/>
      <c r="AO402" s="33"/>
      <c r="AP402" s="32"/>
      <c r="AQ402" s="32"/>
      <c r="AR402" s="201"/>
      <c r="AS402" s="201"/>
      <c r="AT402" s="201"/>
      <c r="AU402" s="201"/>
      <c r="AV402" s="201"/>
      <c r="AW402" s="201"/>
      <c r="AX402" s="201"/>
      <c r="AY402" s="201"/>
      <c r="AZ402" s="201"/>
      <c r="BA402" s="201"/>
      <c r="BB402" s="201"/>
      <c r="BC402" s="201"/>
      <c r="BD402" s="465"/>
      <c r="BE402" s="465"/>
      <c r="BF402" s="465"/>
      <c r="BG402" s="465"/>
      <c r="BH402" s="465"/>
      <c r="BI402" s="465"/>
      <c r="BJ402" s="465"/>
      <c r="BK402" s="465"/>
      <c r="BL402" s="465"/>
      <c r="BM402" s="465"/>
      <c r="BN402" s="465"/>
      <c r="BO402" s="465"/>
      <c r="BP402" s="465"/>
      <c r="BQ402" s="465"/>
      <c r="BR402" s="465"/>
      <c r="BS402" s="465"/>
      <c r="BT402" s="465"/>
      <c r="BU402" s="465"/>
      <c r="BV402" s="465"/>
      <c r="BW402" s="465"/>
      <c r="BX402" s="465"/>
      <c r="BY402" s="465"/>
    </row>
    <row r="403" spans="2:77" s="28" customFormat="1">
      <c r="B403" s="201"/>
      <c r="D403" s="418"/>
      <c r="E403" s="29"/>
      <c r="G403" s="421"/>
      <c r="H403" s="422"/>
      <c r="I403" s="422"/>
      <c r="J403" s="422"/>
      <c r="K403" s="422"/>
      <c r="L403" s="422"/>
      <c r="P403" s="470"/>
      <c r="AJ403" s="31"/>
      <c r="AK403" s="31"/>
      <c r="AL403" s="32"/>
      <c r="AM403" s="33"/>
      <c r="AN403" s="32"/>
      <c r="AO403" s="33"/>
      <c r="AP403" s="32"/>
      <c r="AQ403" s="32"/>
      <c r="AR403" s="201"/>
      <c r="AS403" s="201"/>
      <c r="AT403" s="201"/>
      <c r="AU403" s="201"/>
      <c r="AV403" s="201"/>
      <c r="AW403" s="201"/>
      <c r="AX403" s="201"/>
      <c r="AY403" s="201"/>
      <c r="AZ403" s="201"/>
      <c r="BA403" s="201"/>
      <c r="BB403" s="201"/>
      <c r="BC403" s="201"/>
      <c r="BD403" s="465"/>
      <c r="BE403" s="465"/>
      <c r="BF403" s="465"/>
      <c r="BG403" s="465"/>
      <c r="BH403" s="465"/>
      <c r="BI403" s="465"/>
      <c r="BJ403" s="465"/>
      <c r="BK403" s="465"/>
      <c r="BL403" s="465"/>
      <c r="BM403" s="465"/>
      <c r="BN403" s="465"/>
      <c r="BO403" s="465"/>
      <c r="BP403" s="465"/>
      <c r="BQ403" s="465"/>
      <c r="BR403" s="465"/>
      <c r="BS403" s="465"/>
      <c r="BT403" s="465"/>
      <c r="BU403" s="465"/>
      <c r="BV403" s="465"/>
      <c r="BW403" s="465"/>
      <c r="BX403" s="465"/>
      <c r="BY403" s="465"/>
    </row>
    <row r="404" spans="2:77" s="28" customFormat="1">
      <c r="B404" s="201"/>
      <c r="D404" s="418"/>
      <c r="E404" s="29"/>
      <c r="G404" s="421"/>
      <c r="H404" s="422"/>
      <c r="I404" s="422"/>
      <c r="J404" s="422"/>
      <c r="K404" s="422"/>
      <c r="L404" s="422"/>
      <c r="P404" s="473"/>
      <c r="AJ404" s="31"/>
      <c r="AK404" s="31"/>
      <c r="AL404" s="32"/>
      <c r="AM404" s="33"/>
      <c r="AN404" s="32"/>
      <c r="AO404" s="33"/>
      <c r="AP404" s="32"/>
      <c r="AQ404" s="32"/>
      <c r="AR404" s="201"/>
      <c r="AS404" s="201"/>
      <c r="AT404" s="201"/>
      <c r="AU404" s="201"/>
      <c r="AV404" s="201"/>
      <c r="AW404" s="201"/>
      <c r="AX404" s="201"/>
      <c r="AY404" s="201"/>
      <c r="AZ404" s="201"/>
      <c r="BA404" s="201"/>
      <c r="BB404" s="201"/>
      <c r="BC404" s="201"/>
      <c r="BD404" s="465"/>
      <c r="BE404" s="465"/>
      <c r="BF404" s="465"/>
      <c r="BG404" s="465"/>
      <c r="BH404" s="465"/>
      <c r="BI404" s="465"/>
      <c r="BJ404" s="465"/>
      <c r="BK404" s="465"/>
      <c r="BL404" s="465"/>
      <c r="BM404" s="465"/>
      <c r="BN404" s="465"/>
      <c r="BO404" s="465"/>
      <c r="BP404" s="465"/>
      <c r="BQ404" s="465"/>
      <c r="BR404" s="465"/>
      <c r="BS404" s="465"/>
      <c r="BT404" s="465"/>
      <c r="BU404" s="465"/>
      <c r="BV404" s="465"/>
      <c r="BW404" s="465"/>
      <c r="BX404" s="465"/>
      <c r="BY404" s="465"/>
    </row>
    <row r="405" spans="2:77" s="28" customFormat="1">
      <c r="B405" s="201"/>
      <c r="D405" s="418"/>
      <c r="E405" s="29"/>
      <c r="G405" s="421"/>
      <c r="H405" s="422"/>
      <c r="I405" s="422"/>
      <c r="J405" s="422"/>
      <c r="K405" s="422"/>
      <c r="L405" s="422"/>
      <c r="P405" s="473"/>
      <c r="AJ405" s="31"/>
      <c r="AK405" s="31"/>
      <c r="AL405" s="32"/>
      <c r="AM405" s="33"/>
      <c r="AN405" s="32"/>
      <c r="AO405" s="33"/>
      <c r="AP405" s="32"/>
      <c r="AQ405" s="32"/>
      <c r="AR405" s="201"/>
      <c r="AS405" s="201"/>
      <c r="AT405" s="201"/>
      <c r="AU405" s="201"/>
      <c r="AV405" s="201"/>
      <c r="AW405" s="201"/>
      <c r="AX405" s="201"/>
      <c r="AY405" s="201"/>
      <c r="AZ405" s="201"/>
      <c r="BA405" s="201"/>
      <c r="BB405" s="201"/>
      <c r="BC405" s="201"/>
      <c r="BD405" s="465"/>
      <c r="BE405" s="465"/>
      <c r="BF405" s="465"/>
      <c r="BG405" s="465"/>
      <c r="BH405" s="465"/>
      <c r="BI405" s="465"/>
      <c r="BJ405" s="465"/>
      <c r="BK405" s="465"/>
      <c r="BL405" s="465"/>
      <c r="BM405" s="465"/>
      <c r="BN405" s="465"/>
      <c r="BO405" s="465"/>
      <c r="BP405" s="465"/>
      <c r="BQ405" s="465"/>
      <c r="BR405" s="465"/>
      <c r="BS405" s="465"/>
      <c r="BT405" s="465"/>
      <c r="BU405" s="465"/>
      <c r="BV405" s="465"/>
      <c r="BW405" s="465"/>
      <c r="BX405" s="465"/>
      <c r="BY405" s="465"/>
    </row>
    <row r="406" spans="2:77" s="28" customFormat="1">
      <c r="B406" s="201"/>
      <c r="D406" s="418"/>
      <c r="E406" s="29"/>
      <c r="G406" s="421"/>
      <c r="H406" s="422"/>
      <c r="I406" s="422"/>
      <c r="J406" s="422"/>
      <c r="K406" s="422"/>
      <c r="L406" s="422"/>
      <c r="P406" s="478"/>
      <c r="AJ406" s="31"/>
      <c r="AK406" s="31"/>
      <c r="AL406" s="32"/>
      <c r="AM406" s="33"/>
      <c r="AN406" s="32"/>
      <c r="AO406" s="33"/>
      <c r="AP406" s="32"/>
      <c r="AQ406" s="32"/>
      <c r="AR406" s="201"/>
      <c r="AS406" s="201"/>
      <c r="AT406" s="201"/>
      <c r="AU406" s="201"/>
      <c r="AV406" s="201"/>
      <c r="AW406" s="201"/>
      <c r="AX406" s="201"/>
      <c r="AY406" s="201"/>
      <c r="AZ406" s="201"/>
      <c r="BA406" s="201"/>
      <c r="BB406" s="201"/>
      <c r="BC406" s="201"/>
      <c r="BD406" s="465"/>
      <c r="BE406" s="465"/>
      <c r="BF406" s="465"/>
      <c r="BG406" s="465"/>
      <c r="BH406" s="465"/>
      <c r="BI406" s="465"/>
      <c r="BJ406" s="465"/>
      <c r="BK406" s="465"/>
      <c r="BL406" s="465"/>
      <c r="BM406" s="465"/>
      <c r="BN406" s="465"/>
      <c r="BO406" s="465"/>
      <c r="BP406" s="465"/>
      <c r="BQ406" s="465"/>
      <c r="BR406" s="465"/>
      <c r="BS406" s="465"/>
      <c r="BT406" s="465"/>
      <c r="BU406" s="465"/>
      <c r="BV406" s="465"/>
      <c r="BW406" s="465"/>
      <c r="BX406" s="465"/>
      <c r="BY406" s="465"/>
    </row>
    <row r="407" spans="2:77" s="28" customFormat="1">
      <c r="B407" s="201"/>
      <c r="D407" s="418"/>
      <c r="E407" s="29"/>
      <c r="G407" s="421"/>
      <c r="H407" s="422"/>
      <c r="I407" s="422"/>
      <c r="J407" s="422"/>
      <c r="K407" s="422"/>
      <c r="L407" s="422"/>
      <c r="P407" s="470"/>
      <c r="AJ407" s="31"/>
      <c r="AK407" s="31"/>
      <c r="AL407" s="32"/>
      <c r="AM407" s="33"/>
      <c r="AN407" s="32"/>
      <c r="AO407" s="33"/>
      <c r="AP407" s="32"/>
      <c r="AQ407" s="32"/>
      <c r="AR407" s="201"/>
      <c r="AS407" s="201"/>
      <c r="AT407" s="201"/>
      <c r="AU407" s="201"/>
      <c r="AV407" s="201"/>
      <c r="AW407" s="201"/>
      <c r="AX407" s="201"/>
      <c r="AY407" s="201"/>
      <c r="AZ407" s="201"/>
      <c r="BA407" s="201"/>
      <c r="BB407" s="201"/>
      <c r="BC407" s="201"/>
      <c r="BD407" s="465"/>
      <c r="BE407" s="465"/>
      <c r="BF407" s="465"/>
      <c r="BG407" s="465"/>
      <c r="BH407" s="465"/>
      <c r="BI407" s="465"/>
      <c r="BJ407" s="465"/>
      <c r="BK407" s="465"/>
      <c r="BL407" s="465"/>
      <c r="BM407" s="465"/>
      <c r="BN407" s="465"/>
      <c r="BO407" s="465"/>
      <c r="BP407" s="465"/>
      <c r="BQ407" s="465"/>
      <c r="BR407" s="465"/>
      <c r="BS407" s="465"/>
      <c r="BT407" s="465"/>
      <c r="BU407" s="465"/>
      <c r="BV407" s="465"/>
      <c r="BW407" s="465"/>
      <c r="BX407" s="465"/>
      <c r="BY407" s="465"/>
    </row>
    <row r="408" spans="2:77" s="28" customFormat="1">
      <c r="B408" s="201"/>
      <c r="D408" s="418"/>
      <c r="E408" s="29"/>
      <c r="G408" s="421"/>
      <c r="H408" s="422"/>
      <c r="I408" s="422"/>
      <c r="J408" s="422"/>
      <c r="K408" s="422"/>
      <c r="L408" s="422"/>
      <c r="P408" s="473"/>
      <c r="AJ408" s="31"/>
      <c r="AK408" s="31"/>
      <c r="AL408" s="32"/>
      <c r="AM408" s="33"/>
      <c r="AN408" s="32"/>
      <c r="AO408" s="33"/>
      <c r="AP408" s="32"/>
      <c r="AQ408" s="32"/>
      <c r="AR408" s="201"/>
      <c r="AS408" s="201"/>
      <c r="AT408" s="201"/>
      <c r="AU408" s="201"/>
      <c r="AV408" s="201"/>
      <c r="AW408" s="201"/>
      <c r="AX408" s="201"/>
      <c r="AY408" s="201"/>
      <c r="AZ408" s="201"/>
      <c r="BA408" s="201"/>
      <c r="BB408" s="201"/>
      <c r="BC408" s="201"/>
      <c r="BD408" s="465"/>
      <c r="BE408" s="465"/>
      <c r="BF408" s="465"/>
      <c r="BG408" s="465"/>
      <c r="BH408" s="465"/>
      <c r="BI408" s="465"/>
      <c r="BJ408" s="465"/>
      <c r="BK408" s="465"/>
      <c r="BL408" s="465"/>
      <c r="BM408" s="465"/>
      <c r="BN408" s="465"/>
      <c r="BO408" s="465"/>
      <c r="BP408" s="465"/>
      <c r="BQ408" s="465"/>
      <c r="BR408" s="465"/>
      <c r="BS408" s="465"/>
      <c r="BT408" s="465"/>
      <c r="BU408" s="465"/>
      <c r="BV408" s="465"/>
      <c r="BW408" s="465"/>
      <c r="BX408" s="465"/>
      <c r="BY408" s="465"/>
    </row>
    <row r="409" spans="2:77" s="28" customFormat="1">
      <c r="B409" s="201"/>
      <c r="D409" s="418"/>
      <c r="E409" s="29"/>
      <c r="G409" s="421"/>
      <c r="H409" s="422"/>
      <c r="I409" s="422"/>
      <c r="J409" s="422"/>
      <c r="K409" s="422"/>
      <c r="L409" s="422"/>
      <c r="P409" s="473"/>
      <c r="AJ409" s="31"/>
      <c r="AK409" s="31"/>
      <c r="AL409" s="32"/>
      <c r="AM409" s="33"/>
      <c r="AN409" s="32"/>
      <c r="AO409" s="33"/>
      <c r="AP409" s="32"/>
      <c r="AQ409" s="32"/>
      <c r="AR409" s="201"/>
      <c r="AS409" s="201"/>
      <c r="AT409" s="201"/>
      <c r="AU409" s="201"/>
      <c r="AV409" s="201"/>
      <c r="AW409" s="201"/>
      <c r="AX409" s="201"/>
      <c r="AY409" s="201"/>
      <c r="AZ409" s="201"/>
      <c r="BA409" s="201"/>
      <c r="BB409" s="201"/>
      <c r="BC409" s="201"/>
      <c r="BD409" s="465"/>
      <c r="BE409" s="465"/>
      <c r="BF409" s="465"/>
      <c r="BG409" s="465"/>
      <c r="BH409" s="465"/>
      <c r="BI409" s="465"/>
      <c r="BJ409" s="465"/>
      <c r="BK409" s="465"/>
      <c r="BL409" s="465"/>
      <c r="BM409" s="465"/>
      <c r="BN409" s="465"/>
      <c r="BO409" s="465"/>
      <c r="BP409" s="465"/>
      <c r="BQ409" s="465"/>
      <c r="BR409" s="465"/>
      <c r="BS409" s="465"/>
      <c r="BT409" s="465"/>
      <c r="BU409" s="465"/>
      <c r="BV409" s="465"/>
      <c r="BW409" s="465"/>
      <c r="BX409" s="465"/>
      <c r="BY409" s="465"/>
    </row>
    <row r="410" spans="2:77" s="28" customFormat="1">
      <c r="B410" s="201"/>
      <c r="D410" s="418"/>
      <c r="E410" s="29"/>
      <c r="G410" s="421"/>
      <c r="H410" s="422"/>
      <c r="I410" s="422"/>
      <c r="J410" s="422"/>
      <c r="K410" s="422"/>
      <c r="L410" s="422"/>
      <c r="P410" s="473"/>
      <c r="AJ410" s="31"/>
      <c r="AK410" s="31"/>
      <c r="AL410" s="32"/>
      <c r="AM410" s="33"/>
      <c r="AN410" s="32"/>
      <c r="AO410" s="33"/>
      <c r="AP410" s="32"/>
      <c r="AQ410" s="32"/>
      <c r="AR410" s="201"/>
      <c r="AS410" s="201"/>
      <c r="AT410" s="201"/>
      <c r="AU410" s="201"/>
      <c r="AV410" s="201"/>
      <c r="AW410" s="201"/>
      <c r="AX410" s="201"/>
      <c r="AY410" s="201"/>
      <c r="AZ410" s="201"/>
      <c r="BA410" s="201"/>
      <c r="BB410" s="201"/>
      <c r="BC410" s="201"/>
      <c r="BD410" s="465"/>
      <c r="BE410" s="465"/>
      <c r="BF410" s="465"/>
      <c r="BG410" s="465"/>
      <c r="BH410" s="465"/>
      <c r="BI410" s="465"/>
      <c r="BJ410" s="465"/>
      <c r="BK410" s="465"/>
      <c r="BL410" s="465"/>
      <c r="BM410" s="465"/>
      <c r="BN410" s="465"/>
      <c r="BO410" s="465"/>
      <c r="BP410" s="465"/>
      <c r="BQ410" s="465"/>
      <c r="BR410" s="465"/>
      <c r="BS410" s="465"/>
      <c r="BT410" s="465"/>
      <c r="BU410" s="465"/>
      <c r="BV410" s="465"/>
      <c r="BW410" s="465"/>
      <c r="BX410" s="465"/>
      <c r="BY410" s="465"/>
    </row>
    <row r="411" spans="2:77" s="28" customFormat="1">
      <c r="B411" s="201"/>
      <c r="D411" s="418"/>
      <c r="E411" s="29"/>
      <c r="G411" s="421"/>
      <c r="H411" s="422"/>
      <c r="I411" s="422"/>
      <c r="J411" s="422"/>
      <c r="K411" s="422"/>
      <c r="L411" s="422"/>
      <c r="P411" s="475"/>
      <c r="AJ411" s="31"/>
      <c r="AK411" s="31"/>
      <c r="AL411" s="32"/>
      <c r="AM411" s="33"/>
      <c r="AN411" s="32"/>
      <c r="AO411" s="33"/>
      <c r="AP411" s="32"/>
      <c r="AQ411" s="32"/>
      <c r="AR411" s="201"/>
      <c r="AS411" s="201"/>
      <c r="AT411" s="201"/>
      <c r="AU411" s="201"/>
      <c r="AV411" s="201"/>
      <c r="AW411" s="201"/>
      <c r="AX411" s="201"/>
      <c r="AY411" s="201"/>
      <c r="AZ411" s="201"/>
      <c r="BA411" s="201"/>
      <c r="BB411" s="201"/>
      <c r="BC411" s="201"/>
      <c r="BD411" s="465"/>
      <c r="BE411" s="465"/>
      <c r="BF411" s="465"/>
      <c r="BG411" s="465"/>
      <c r="BH411" s="465"/>
      <c r="BI411" s="465"/>
      <c r="BJ411" s="465"/>
      <c r="BK411" s="465"/>
      <c r="BL411" s="465"/>
      <c r="BM411" s="465"/>
      <c r="BN411" s="465"/>
      <c r="BO411" s="465"/>
      <c r="BP411" s="465"/>
      <c r="BQ411" s="465"/>
      <c r="BR411" s="465"/>
      <c r="BS411" s="465"/>
      <c r="BT411" s="465"/>
      <c r="BU411" s="465"/>
      <c r="BV411" s="465"/>
      <c r="BW411" s="465"/>
      <c r="BX411" s="465"/>
      <c r="BY411" s="465"/>
    </row>
    <row r="412" spans="2:77" s="28" customFormat="1">
      <c r="B412" s="201"/>
      <c r="D412" s="418"/>
      <c r="E412" s="29"/>
      <c r="G412" s="421"/>
      <c r="H412" s="422"/>
      <c r="I412" s="422"/>
      <c r="J412" s="422"/>
      <c r="K412" s="422"/>
      <c r="L412" s="422"/>
      <c r="P412" s="478"/>
      <c r="AJ412" s="31"/>
      <c r="AK412" s="31"/>
      <c r="AL412" s="32"/>
      <c r="AM412" s="33"/>
      <c r="AN412" s="32"/>
      <c r="AO412" s="33"/>
      <c r="AP412" s="32"/>
      <c r="AQ412" s="32"/>
      <c r="AR412" s="201"/>
      <c r="AS412" s="201"/>
      <c r="AT412" s="201"/>
      <c r="AU412" s="201"/>
      <c r="AV412" s="201"/>
      <c r="AW412" s="201"/>
      <c r="AX412" s="201"/>
      <c r="AY412" s="201"/>
      <c r="AZ412" s="201"/>
      <c r="BA412" s="201"/>
      <c r="BB412" s="201"/>
      <c r="BC412" s="201"/>
      <c r="BD412" s="465"/>
      <c r="BE412" s="465"/>
      <c r="BF412" s="465"/>
      <c r="BG412" s="465"/>
      <c r="BH412" s="465"/>
      <c r="BI412" s="465"/>
      <c r="BJ412" s="465"/>
      <c r="BK412" s="465"/>
      <c r="BL412" s="465"/>
      <c r="BM412" s="465"/>
      <c r="BN412" s="465"/>
      <c r="BO412" s="465"/>
      <c r="BP412" s="465"/>
      <c r="BQ412" s="465"/>
      <c r="BR412" s="465"/>
      <c r="BS412" s="465"/>
      <c r="BT412" s="465"/>
      <c r="BU412" s="465"/>
      <c r="BV412" s="465"/>
      <c r="BW412" s="465"/>
      <c r="BX412" s="465"/>
      <c r="BY412" s="465"/>
    </row>
    <row r="413" spans="2:77" s="28" customFormat="1">
      <c r="B413" s="201"/>
      <c r="D413" s="418"/>
      <c r="E413" s="29"/>
      <c r="G413" s="421"/>
      <c r="H413" s="422"/>
      <c r="I413" s="422"/>
      <c r="J413" s="422"/>
      <c r="K413" s="422"/>
      <c r="L413" s="422"/>
      <c r="P413" s="469"/>
      <c r="AJ413" s="31"/>
      <c r="AK413" s="31"/>
      <c r="AL413" s="32"/>
      <c r="AM413" s="33"/>
      <c r="AN413" s="32"/>
      <c r="AO413" s="33"/>
      <c r="AP413" s="32"/>
      <c r="AQ413" s="32"/>
      <c r="AR413" s="201"/>
      <c r="AS413" s="201"/>
      <c r="AT413" s="201"/>
      <c r="AU413" s="201"/>
      <c r="AV413" s="201"/>
      <c r="AW413" s="201"/>
      <c r="AX413" s="201"/>
      <c r="AY413" s="201"/>
      <c r="AZ413" s="201"/>
      <c r="BA413" s="201"/>
      <c r="BB413" s="201"/>
      <c r="BC413" s="201"/>
      <c r="BD413" s="465"/>
      <c r="BE413" s="465"/>
      <c r="BF413" s="465"/>
      <c r="BG413" s="465"/>
      <c r="BH413" s="465"/>
      <c r="BI413" s="465"/>
      <c r="BJ413" s="465"/>
      <c r="BK413" s="465"/>
      <c r="BL413" s="465"/>
      <c r="BM413" s="465"/>
      <c r="BN413" s="465"/>
      <c r="BO413" s="465"/>
      <c r="BP413" s="465"/>
      <c r="BQ413" s="465"/>
      <c r="BR413" s="465"/>
      <c r="BS413" s="465"/>
      <c r="BT413" s="465"/>
      <c r="BU413" s="465"/>
      <c r="BV413" s="465"/>
      <c r="BW413" s="465"/>
      <c r="BX413" s="465"/>
      <c r="BY413" s="465"/>
    </row>
    <row r="414" spans="2:77" s="28" customFormat="1">
      <c r="B414" s="201"/>
      <c r="D414" s="418"/>
      <c r="E414" s="29"/>
      <c r="G414" s="421"/>
      <c r="H414" s="422"/>
      <c r="I414" s="422"/>
      <c r="J414" s="422"/>
      <c r="K414" s="422"/>
      <c r="L414" s="422"/>
      <c r="P414" s="475"/>
      <c r="AJ414" s="31"/>
      <c r="AK414" s="31"/>
      <c r="AL414" s="32"/>
      <c r="AM414" s="33"/>
      <c r="AN414" s="32"/>
      <c r="AO414" s="33"/>
      <c r="AP414" s="32"/>
      <c r="AQ414" s="32"/>
      <c r="AR414" s="201"/>
      <c r="AS414" s="201"/>
      <c r="AT414" s="201"/>
      <c r="AU414" s="201"/>
      <c r="AV414" s="201"/>
      <c r="AW414" s="201"/>
      <c r="AX414" s="201"/>
      <c r="AY414" s="201"/>
      <c r="AZ414" s="201"/>
      <c r="BA414" s="201"/>
      <c r="BB414" s="201"/>
      <c r="BC414" s="201"/>
      <c r="BD414" s="465"/>
      <c r="BE414" s="465"/>
      <c r="BF414" s="465"/>
      <c r="BG414" s="465"/>
      <c r="BH414" s="465"/>
      <c r="BI414" s="465"/>
      <c r="BJ414" s="465"/>
      <c r="BK414" s="465"/>
      <c r="BL414" s="465"/>
      <c r="BM414" s="465"/>
      <c r="BN414" s="465"/>
      <c r="BO414" s="465"/>
      <c r="BP414" s="465"/>
      <c r="BQ414" s="465"/>
      <c r="BR414" s="465"/>
      <c r="BS414" s="465"/>
      <c r="BT414" s="465"/>
      <c r="BU414" s="465"/>
      <c r="BV414" s="465"/>
      <c r="BW414" s="465"/>
      <c r="BX414" s="465"/>
      <c r="BY414" s="465"/>
    </row>
    <row r="415" spans="2:77" s="28" customFormat="1">
      <c r="B415" s="201"/>
      <c r="D415" s="418"/>
      <c r="E415" s="29"/>
      <c r="G415" s="421"/>
      <c r="H415" s="422"/>
      <c r="I415" s="422"/>
      <c r="J415" s="422"/>
      <c r="K415" s="422"/>
      <c r="L415" s="422"/>
      <c r="P415" s="470"/>
      <c r="AJ415" s="31"/>
      <c r="AK415" s="31"/>
      <c r="AL415" s="32"/>
      <c r="AM415" s="33"/>
      <c r="AN415" s="32"/>
      <c r="AO415" s="33"/>
      <c r="AP415" s="32"/>
      <c r="AQ415" s="32"/>
      <c r="AR415" s="201"/>
      <c r="AS415" s="201"/>
      <c r="AT415" s="201"/>
      <c r="AU415" s="201"/>
      <c r="AV415" s="201"/>
      <c r="AW415" s="201"/>
      <c r="AX415" s="201"/>
      <c r="AY415" s="201"/>
      <c r="AZ415" s="201"/>
      <c r="BA415" s="201"/>
      <c r="BB415" s="201"/>
      <c r="BC415" s="201"/>
      <c r="BD415" s="465"/>
      <c r="BE415" s="465"/>
      <c r="BF415" s="465"/>
      <c r="BG415" s="465"/>
      <c r="BH415" s="465"/>
      <c r="BI415" s="465"/>
      <c r="BJ415" s="465"/>
      <c r="BK415" s="465"/>
      <c r="BL415" s="465"/>
      <c r="BM415" s="465"/>
      <c r="BN415" s="465"/>
      <c r="BO415" s="465"/>
      <c r="BP415" s="465"/>
      <c r="BQ415" s="465"/>
      <c r="BR415" s="465"/>
      <c r="BS415" s="465"/>
      <c r="BT415" s="465"/>
      <c r="BU415" s="465"/>
      <c r="BV415" s="465"/>
      <c r="BW415" s="465"/>
      <c r="BX415" s="465"/>
      <c r="BY415" s="465"/>
    </row>
    <row r="416" spans="2:77" s="28" customFormat="1">
      <c r="B416" s="201"/>
      <c r="D416" s="418"/>
      <c r="E416" s="29"/>
      <c r="G416" s="421"/>
      <c r="H416" s="422"/>
      <c r="I416" s="422"/>
      <c r="J416" s="422"/>
      <c r="K416" s="422"/>
      <c r="L416" s="422"/>
      <c r="P416" s="470"/>
      <c r="AJ416" s="31"/>
      <c r="AK416" s="31"/>
      <c r="AL416" s="32"/>
      <c r="AM416" s="33"/>
      <c r="AN416" s="32"/>
      <c r="AO416" s="33"/>
      <c r="AP416" s="32"/>
      <c r="AQ416" s="32"/>
      <c r="AR416" s="201"/>
      <c r="AS416" s="201"/>
      <c r="AT416" s="201"/>
      <c r="AU416" s="201"/>
      <c r="AV416" s="201"/>
      <c r="AW416" s="201"/>
      <c r="AX416" s="201"/>
      <c r="AY416" s="201"/>
      <c r="AZ416" s="201"/>
      <c r="BA416" s="201"/>
      <c r="BB416" s="201"/>
      <c r="BC416" s="201"/>
      <c r="BD416" s="465"/>
      <c r="BE416" s="465"/>
      <c r="BF416" s="465"/>
      <c r="BG416" s="465"/>
      <c r="BH416" s="465"/>
      <c r="BI416" s="465"/>
      <c r="BJ416" s="465"/>
      <c r="BK416" s="465"/>
      <c r="BL416" s="465"/>
      <c r="BM416" s="465"/>
      <c r="BN416" s="465"/>
      <c r="BO416" s="465"/>
      <c r="BP416" s="465"/>
      <c r="BQ416" s="465"/>
      <c r="BR416" s="465"/>
      <c r="BS416" s="465"/>
      <c r="BT416" s="465"/>
      <c r="BU416" s="465"/>
      <c r="BV416" s="465"/>
      <c r="BW416" s="465"/>
      <c r="BX416" s="465"/>
      <c r="BY416" s="465"/>
    </row>
    <row r="417" spans="2:77" s="28" customFormat="1">
      <c r="B417" s="201"/>
      <c r="D417" s="418"/>
      <c r="E417" s="29"/>
      <c r="G417" s="421"/>
      <c r="H417" s="422"/>
      <c r="I417" s="422"/>
      <c r="J417" s="422"/>
      <c r="K417" s="422"/>
      <c r="L417" s="422"/>
      <c r="P417" s="474"/>
      <c r="AJ417" s="31"/>
      <c r="AK417" s="31"/>
      <c r="AL417" s="32"/>
      <c r="AM417" s="33"/>
      <c r="AN417" s="32"/>
      <c r="AO417" s="33"/>
      <c r="AP417" s="32"/>
      <c r="AQ417" s="32"/>
      <c r="AR417" s="201"/>
      <c r="AS417" s="201"/>
      <c r="AT417" s="201"/>
      <c r="AU417" s="201"/>
      <c r="AV417" s="201"/>
      <c r="AW417" s="201"/>
      <c r="AX417" s="201"/>
      <c r="AY417" s="201"/>
      <c r="AZ417" s="201"/>
      <c r="BA417" s="201"/>
      <c r="BB417" s="201"/>
      <c r="BC417" s="201"/>
      <c r="BD417" s="465"/>
      <c r="BE417" s="465"/>
      <c r="BF417" s="465"/>
      <c r="BG417" s="465"/>
      <c r="BH417" s="465"/>
      <c r="BI417" s="465"/>
      <c r="BJ417" s="465"/>
      <c r="BK417" s="465"/>
      <c r="BL417" s="465"/>
      <c r="BM417" s="465"/>
      <c r="BN417" s="465"/>
      <c r="BO417" s="465"/>
      <c r="BP417" s="465"/>
      <c r="BQ417" s="465"/>
      <c r="BR417" s="465"/>
      <c r="BS417" s="465"/>
      <c r="BT417" s="465"/>
      <c r="BU417" s="465"/>
      <c r="BV417" s="465"/>
      <c r="BW417" s="465"/>
      <c r="BX417" s="465"/>
      <c r="BY417" s="465"/>
    </row>
    <row r="418" spans="2:77" s="28" customFormat="1">
      <c r="B418" s="201"/>
      <c r="D418" s="418"/>
      <c r="E418" s="29"/>
      <c r="G418" s="421"/>
      <c r="H418" s="422"/>
      <c r="I418" s="422"/>
      <c r="J418" s="422"/>
      <c r="K418" s="422"/>
      <c r="L418" s="422"/>
      <c r="P418" s="473"/>
      <c r="AJ418" s="31"/>
      <c r="AK418" s="31"/>
      <c r="AL418" s="32"/>
      <c r="AM418" s="33"/>
      <c r="AN418" s="32"/>
      <c r="AO418" s="33"/>
      <c r="AP418" s="32"/>
      <c r="AQ418" s="32"/>
      <c r="AR418" s="201"/>
      <c r="AS418" s="201"/>
      <c r="AT418" s="201"/>
      <c r="AU418" s="201"/>
      <c r="AV418" s="201"/>
      <c r="AW418" s="201"/>
      <c r="AX418" s="201"/>
      <c r="AY418" s="201"/>
      <c r="AZ418" s="201"/>
      <c r="BA418" s="201"/>
      <c r="BB418" s="201"/>
      <c r="BC418" s="201"/>
      <c r="BD418" s="465"/>
      <c r="BE418" s="465"/>
      <c r="BF418" s="465"/>
      <c r="BG418" s="465"/>
      <c r="BH418" s="465"/>
      <c r="BI418" s="465"/>
      <c r="BJ418" s="465"/>
      <c r="BK418" s="465"/>
      <c r="BL418" s="465"/>
      <c r="BM418" s="465"/>
      <c r="BN418" s="465"/>
      <c r="BO418" s="465"/>
      <c r="BP418" s="465"/>
      <c r="BQ418" s="465"/>
      <c r="BR418" s="465"/>
      <c r="BS418" s="465"/>
      <c r="BT418" s="465"/>
      <c r="BU418" s="465"/>
      <c r="BV418" s="465"/>
      <c r="BW418" s="465"/>
      <c r="BX418" s="465"/>
      <c r="BY418" s="465"/>
    </row>
    <row r="419" spans="2:77" s="28" customFormat="1">
      <c r="B419" s="201"/>
      <c r="D419" s="418"/>
      <c r="E419" s="29"/>
      <c r="G419" s="421"/>
      <c r="H419" s="422"/>
      <c r="I419" s="422"/>
      <c r="J419" s="422"/>
      <c r="K419" s="422"/>
      <c r="L419" s="422"/>
      <c r="P419" s="473"/>
      <c r="AJ419" s="31"/>
      <c r="AK419" s="31"/>
      <c r="AL419" s="32"/>
      <c r="AM419" s="33"/>
      <c r="AN419" s="32"/>
      <c r="AO419" s="33"/>
      <c r="AP419" s="32"/>
      <c r="AQ419" s="32"/>
      <c r="AR419" s="201"/>
      <c r="AS419" s="201"/>
      <c r="AT419" s="201"/>
      <c r="AU419" s="201"/>
      <c r="AV419" s="201"/>
      <c r="AW419" s="201"/>
      <c r="AX419" s="201"/>
      <c r="AY419" s="201"/>
      <c r="AZ419" s="201"/>
      <c r="BA419" s="201"/>
      <c r="BB419" s="201"/>
      <c r="BC419" s="201"/>
      <c r="BD419" s="465"/>
      <c r="BE419" s="465"/>
      <c r="BF419" s="465"/>
      <c r="BG419" s="465"/>
      <c r="BH419" s="465"/>
      <c r="BI419" s="465"/>
      <c r="BJ419" s="465"/>
      <c r="BK419" s="465"/>
      <c r="BL419" s="465"/>
      <c r="BM419" s="465"/>
      <c r="BN419" s="465"/>
      <c r="BO419" s="465"/>
      <c r="BP419" s="465"/>
      <c r="BQ419" s="465"/>
      <c r="BR419" s="465"/>
      <c r="BS419" s="465"/>
      <c r="BT419" s="465"/>
      <c r="BU419" s="465"/>
      <c r="BV419" s="465"/>
      <c r="BW419" s="465"/>
      <c r="BX419" s="465"/>
      <c r="BY419" s="465"/>
    </row>
    <row r="420" spans="2:77" s="28" customFormat="1">
      <c r="B420" s="201"/>
      <c r="D420" s="418"/>
      <c r="E420" s="29"/>
      <c r="G420" s="421"/>
      <c r="H420" s="422"/>
      <c r="I420" s="422"/>
      <c r="J420" s="422"/>
      <c r="K420" s="422"/>
      <c r="L420" s="422"/>
      <c r="P420" s="483"/>
      <c r="AJ420" s="31"/>
      <c r="AK420" s="31"/>
      <c r="AL420" s="32"/>
      <c r="AM420" s="33"/>
      <c r="AN420" s="32"/>
      <c r="AO420" s="33"/>
      <c r="AP420" s="32"/>
      <c r="AQ420" s="32"/>
      <c r="AR420" s="201"/>
      <c r="AS420" s="201"/>
      <c r="AT420" s="201"/>
      <c r="AU420" s="201"/>
      <c r="AV420" s="201"/>
      <c r="AW420" s="201"/>
      <c r="AX420" s="201"/>
      <c r="AY420" s="201"/>
      <c r="AZ420" s="201"/>
      <c r="BA420" s="201"/>
      <c r="BB420" s="201"/>
      <c r="BC420" s="201"/>
      <c r="BD420" s="465"/>
      <c r="BE420" s="465"/>
      <c r="BF420" s="465"/>
      <c r="BG420" s="465"/>
      <c r="BH420" s="465"/>
      <c r="BI420" s="465"/>
      <c r="BJ420" s="465"/>
      <c r="BK420" s="465"/>
      <c r="BL420" s="465"/>
      <c r="BM420" s="465"/>
      <c r="BN420" s="465"/>
      <c r="BO420" s="465"/>
      <c r="BP420" s="465"/>
      <c r="BQ420" s="465"/>
      <c r="BR420" s="465"/>
      <c r="BS420" s="465"/>
      <c r="BT420" s="465"/>
      <c r="BU420" s="465"/>
      <c r="BV420" s="465"/>
      <c r="BW420" s="465"/>
      <c r="BX420" s="465"/>
      <c r="BY420" s="465"/>
    </row>
    <row r="421" spans="2:77" s="28" customFormat="1">
      <c r="B421" s="201"/>
      <c r="D421" s="418"/>
      <c r="E421" s="29"/>
      <c r="G421" s="421"/>
      <c r="H421" s="422"/>
      <c r="I421" s="422"/>
      <c r="J421" s="422"/>
      <c r="K421" s="422"/>
      <c r="L421" s="422"/>
      <c r="P421" s="470"/>
      <c r="AJ421" s="31"/>
      <c r="AK421" s="31"/>
      <c r="AL421" s="32"/>
      <c r="AM421" s="33"/>
      <c r="AN421" s="32"/>
      <c r="AO421" s="33"/>
      <c r="AP421" s="32"/>
      <c r="AQ421" s="32"/>
      <c r="AR421" s="201"/>
      <c r="AS421" s="201"/>
      <c r="AT421" s="201"/>
      <c r="AU421" s="201"/>
      <c r="AV421" s="201"/>
      <c r="AW421" s="201"/>
      <c r="AX421" s="201"/>
      <c r="AY421" s="201"/>
      <c r="AZ421" s="201"/>
      <c r="BA421" s="201"/>
      <c r="BB421" s="201"/>
      <c r="BC421" s="201"/>
      <c r="BD421" s="465"/>
      <c r="BE421" s="465"/>
      <c r="BF421" s="465"/>
      <c r="BG421" s="465"/>
      <c r="BH421" s="465"/>
      <c r="BI421" s="465"/>
      <c r="BJ421" s="465"/>
      <c r="BK421" s="465"/>
      <c r="BL421" s="465"/>
      <c r="BM421" s="465"/>
      <c r="BN421" s="465"/>
      <c r="BO421" s="465"/>
      <c r="BP421" s="465"/>
      <c r="BQ421" s="465"/>
      <c r="BR421" s="465"/>
      <c r="BS421" s="465"/>
      <c r="BT421" s="465"/>
      <c r="BU421" s="465"/>
      <c r="BV421" s="465"/>
      <c r="BW421" s="465"/>
      <c r="BX421" s="465"/>
      <c r="BY421" s="465"/>
    </row>
    <row r="422" spans="2:77" s="28" customFormat="1">
      <c r="B422" s="201"/>
      <c r="D422" s="418"/>
      <c r="E422" s="29"/>
      <c r="G422" s="421"/>
      <c r="H422" s="422"/>
      <c r="I422" s="422"/>
      <c r="J422" s="422"/>
      <c r="K422" s="422"/>
      <c r="L422" s="422"/>
      <c r="P422" s="475"/>
      <c r="AJ422" s="31"/>
      <c r="AK422" s="31"/>
      <c r="AL422" s="32"/>
      <c r="AM422" s="33"/>
      <c r="AN422" s="32"/>
      <c r="AO422" s="33"/>
      <c r="AP422" s="32"/>
      <c r="AQ422" s="32"/>
      <c r="AR422" s="201"/>
      <c r="AS422" s="201"/>
      <c r="AT422" s="201"/>
      <c r="AU422" s="201"/>
      <c r="AV422" s="201"/>
      <c r="AW422" s="201"/>
      <c r="AX422" s="201"/>
      <c r="AY422" s="201"/>
      <c r="AZ422" s="201"/>
      <c r="BA422" s="201"/>
      <c r="BB422" s="201"/>
      <c r="BC422" s="201"/>
      <c r="BD422" s="465"/>
      <c r="BE422" s="465"/>
      <c r="BF422" s="465"/>
      <c r="BG422" s="465"/>
      <c r="BH422" s="465"/>
      <c r="BI422" s="465"/>
      <c r="BJ422" s="465"/>
      <c r="BK422" s="465"/>
      <c r="BL422" s="465"/>
      <c r="BM422" s="465"/>
      <c r="BN422" s="465"/>
      <c r="BO422" s="465"/>
      <c r="BP422" s="465"/>
      <c r="BQ422" s="465"/>
      <c r="BR422" s="465"/>
      <c r="BS422" s="465"/>
      <c r="BT422" s="465"/>
      <c r="BU422" s="465"/>
      <c r="BV422" s="465"/>
      <c r="BW422" s="465"/>
      <c r="BX422" s="465"/>
      <c r="BY422" s="465"/>
    </row>
    <row r="423" spans="2:77" s="28" customFormat="1">
      <c r="B423" s="201"/>
      <c r="D423" s="418"/>
      <c r="E423" s="29"/>
      <c r="G423" s="421"/>
      <c r="H423" s="422"/>
      <c r="I423" s="422"/>
      <c r="J423" s="422"/>
      <c r="K423" s="422"/>
      <c r="L423" s="422"/>
      <c r="P423" s="473"/>
      <c r="AJ423" s="31"/>
      <c r="AK423" s="31"/>
      <c r="AL423" s="32"/>
      <c r="AM423" s="33"/>
      <c r="AN423" s="32"/>
      <c r="AO423" s="33"/>
      <c r="AP423" s="32"/>
      <c r="AQ423" s="32"/>
      <c r="AR423" s="201"/>
      <c r="AS423" s="201"/>
      <c r="AT423" s="201"/>
      <c r="AU423" s="201"/>
      <c r="AV423" s="201"/>
      <c r="AW423" s="201"/>
      <c r="AX423" s="201"/>
      <c r="AY423" s="201"/>
      <c r="AZ423" s="201"/>
      <c r="BA423" s="201"/>
      <c r="BB423" s="201"/>
      <c r="BC423" s="201"/>
      <c r="BD423" s="465"/>
      <c r="BE423" s="465"/>
      <c r="BF423" s="465"/>
      <c r="BG423" s="465"/>
      <c r="BH423" s="465"/>
      <c r="BI423" s="465"/>
      <c r="BJ423" s="465"/>
      <c r="BK423" s="465"/>
      <c r="BL423" s="465"/>
      <c r="BM423" s="465"/>
      <c r="BN423" s="465"/>
      <c r="BO423" s="465"/>
      <c r="BP423" s="465"/>
      <c r="BQ423" s="465"/>
      <c r="BR423" s="465"/>
      <c r="BS423" s="465"/>
      <c r="BT423" s="465"/>
      <c r="BU423" s="465"/>
      <c r="BV423" s="465"/>
      <c r="BW423" s="465"/>
      <c r="BX423" s="465"/>
      <c r="BY423" s="465"/>
    </row>
    <row r="424" spans="2:77" s="28" customFormat="1">
      <c r="B424" s="201"/>
      <c r="D424" s="418"/>
      <c r="E424" s="29"/>
      <c r="G424" s="421"/>
      <c r="H424" s="422"/>
      <c r="I424" s="422"/>
      <c r="J424" s="422"/>
      <c r="K424" s="422"/>
      <c r="L424" s="422"/>
      <c r="P424" s="470"/>
      <c r="AJ424" s="31"/>
      <c r="AK424" s="31"/>
      <c r="AL424" s="32"/>
      <c r="AM424" s="33"/>
      <c r="AN424" s="32"/>
      <c r="AO424" s="33"/>
      <c r="AP424" s="32"/>
      <c r="AQ424" s="32"/>
      <c r="AR424" s="201"/>
      <c r="AS424" s="201"/>
      <c r="AT424" s="201"/>
      <c r="AU424" s="201"/>
      <c r="AV424" s="201"/>
      <c r="AW424" s="201"/>
      <c r="AX424" s="201"/>
      <c r="AY424" s="201"/>
      <c r="AZ424" s="201"/>
      <c r="BA424" s="201"/>
      <c r="BB424" s="201"/>
      <c r="BC424" s="201"/>
      <c r="BD424" s="465"/>
      <c r="BE424" s="465"/>
      <c r="BF424" s="465"/>
      <c r="BG424" s="465"/>
      <c r="BH424" s="465"/>
      <c r="BI424" s="465"/>
      <c r="BJ424" s="465"/>
      <c r="BK424" s="465"/>
      <c r="BL424" s="465"/>
      <c r="BM424" s="465"/>
      <c r="BN424" s="465"/>
      <c r="BO424" s="465"/>
      <c r="BP424" s="465"/>
      <c r="BQ424" s="465"/>
      <c r="BR424" s="465"/>
      <c r="BS424" s="465"/>
      <c r="BT424" s="465"/>
      <c r="BU424" s="465"/>
      <c r="BV424" s="465"/>
      <c r="BW424" s="465"/>
      <c r="BX424" s="465"/>
      <c r="BY424" s="465"/>
    </row>
    <row r="425" spans="2:77" s="28" customFormat="1">
      <c r="B425" s="201"/>
      <c r="D425" s="418"/>
      <c r="E425" s="29"/>
      <c r="G425" s="421"/>
      <c r="H425" s="422"/>
      <c r="I425" s="422"/>
      <c r="J425" s="422"/>
      <c r="K425" s="422"/>
      <c r="L425" s="422"/>
      <c r="P425" s="473"/>
      <c r="AJ425" s="31"/>
      <c r="AK425" s="31"/>
      <c r="AL425" s="32"/>
      <c r="AM425" s="33"/>
      <c r="AN425" s="32"/>
      <c r="AO425" s="33"/>
      <c r="AP425" s="32"/>
      <c r="AQ425" s="32"/>
      <c r="AR425" s="201"/>
      <c r="AS425" s="201"/>
      <c r="AT425" s="201"/>
      <c r="AU425" s="201"/>
      <c r="AV425" s="201"/>
      <c r="AW425" s="201"/>
      <c r="AX425" s="201"/>
      <c r="AY425" s="201"/>
      <c r="AZ425" s="201"/>
      <c r="BA425" s="201"/>
      <c r="BB425" s="201"/>
      <c r="BC425" s="201"/>
      <c r="BD425" s="465"/>
      <c r="BE425" s="465"/>
      <c r="BF425" s="465"/>
      <c r="BG425" s="465"/>
      <c r="BH425" s="465"/>
      <c r="BI425" s="465"/>
      <c r="BJ425" s="465"/>
      <c r="BK425" s="465"/>
      <c r="BL425" s="465"/>
      <c r="BM425" s="465"/>
      <c r="BN425" s="465"/>
      <c r="BO425" s="465"/>
      <c r="BP425" s="465"/>
      <c r="BQ425" s="465"/>
      <c r="BR425" s="465"/>
      <c r="BS425" s="465"/>
      <c r="BT425" s="465"/>
      <c r="BU425" s="465"/>
      <c r="BV425" s="465"/>
      <c r="BW425" s="465"/>
      <c r="BX425" s="465"/>
      <c r="BY425" s="465"/>
    </row>
    <row r="426" spans="2:77" s="28" customFormat="1">
      <c r="B426" s="201"/>
      <c r="D426" s="418"/>
      <c r="E426" s="29"/>
      <c r="G426" s="421"/>
      <c r="H426" s="422"/>
      <c r="I426" s="422"/>
      <c r="J426" s="422"/>
      <c r="K426" s="422"/>
      <c r="L426" s="422"/>
      <c r="P426" s="472"/>
      <c r="AJ426" s="31"/>
      <c r="AK426" s="31"/>
      <c r="AL426" s="32"/>
      <c r="AM426" s="33"/>
      <c r="AN426" s="32"/>
      <c r="AO426" s="33"/>
      <c r="AP426" s="32"/>
      <c r="AQ426" s="32"/>
      <c r="AR426" s="201"/>
      <c r="AS426" s="201"/>
      <c r="AT426" s="201"/>
      <c r="AU426" s="201"/>
      <c r="AV426" s="201"/>
      <c r="AW426" s="201"/>
      <c r="AX426" s="201"/>
      <c r="AY426" s="201"/>
      <c r="AZ426" s="201"/>
      <c r="BA426" s="201"/>
      <c r="BB426" s="201"/>
      <c r="BC426" s="201"/>
      <c r="BD426" s="465"/>
      <c r="BE426" s="465"/>
      <c r="BF426" s="465"/>
      <c r="BG426" s="465"/>
      <c r="BH426" s="465"/>
      <c r="BI426" s="465"/>
      <c r="BJ426" s="465"/>
      <c r="BK426" s="465"/>
      <c r="BL426" s="465"/>
      <c r="BM426" s="465"/>
      <c r="BN426" s="465"/>
      <c r="BO426" s="465"/>
      <c r="BP426" s="465"/>
      <c r="BQ426" s="465"/>
      <c r="BR426" s="465"/>
      <c r="BS426" s="465"/>
      <c r="BT426" s="465"/>
      <c r="BU426" s="465"/>
      <c r="BV426" s="465"/>
      <c r="BW426" s="465"/>
      <c r="BX426" s="465"/>
      <c r="BY426" s="465"/>
    </row>
    <row r="427" spans="2:77" s="28" customFormat="1">
      <c r="B427" s="201"/>
      <c r="D427" s="418"/>
      <c r="E427" s="29"/>
      <c r="G427" s="421"/>
      <c r="H427" s="422"/>
      <c r="I427" s="422"/>
      <c r="J427" s="422"/>
      <c r="K427" s="422"/>
      <c r="L427" s="422"/>
      <c r="P427" s="469"/>
      <c r="AJ427" s="31"/>
      <c r="AK427" s="31"/>
      <c r="AL427" s="32"/>
      <c r="AM427" s="33"/>
      <c r="AN427" s="32"/>
      <c r="AO427" s="33"/>
      <c r="AP427" s="32"/>
      <c r="AQ427" s="32"/>
      <c r="AR427" s="201"/>
      <c r="AS427" s="201"/>
      <c r="AT427" s="201"/>
      <c r="AU427" s="201"/>
      <c r="AV427" s="201"/>
      <c r="AW427" s="201"/>
      <c r="AX427" s="201"/>
      <c r="AY427" s="201"/>
      <c r="AZ427" s="201"/>
      <c r="BA427" s="201"/>
      <c r="BB427" s="201"/>
      <c r="BC427" s="201"/>
      <c r="BD427" s="465"/>
      <c r="BE427" s="465"/>
      <c r="BF427" s="465"/>
      <c r="BG427" s="465"/>
      <c r="BH427" s="465"/>
      <c r="BI427" s="465"/>
      <c r="BJ427" s="465"/>
      <c r="BK427" s="465"/>
      <c r="BL427" s="465"/>
      <c r="BM427" s="465"/>
      <c r="BN427" s="465"/>
      <c r="BO427" s="465"/>
      <c r="BP427" s="465"/>
      <c r="BQ427" s="465"/>
      <c r="BR427" s="465"/>
      <c r="BS427" s="465"/>
      <c r="BT427" s="465"/>
      <c r="BU427" s="465"/>
      <c r="BV427" s="465"/>
      <c r="BW427" s="465"/>
      <c r="BX427" s="465"/>
      <c r="BY427" s="465"/>
    </row>
    <row r="428" spans="2:77" s="28" customFormat="1">
      <c r="B428" s="201"/>
      <c r="D428" s="418"/>
      <c r="E428" s="29"/>
      <c r="G428" s="421"/>
      <c r="H428" s="422"/>
      <c r="I428" s="422"/>
      <c r="J428" s="422"/>
      <c r="K428" s="422"/>
      <c r="L428" s="422"/>
      <c r="P428" s="473"/>
      <c r="AJ428" s="31"/>
      <c r="AK428" s="31"/>
      <c r="AL428" s="32"/>
      <c r="AM428" s="33"/>
      <c r="AN428" s="32"/>
      <c r="AO428" s="33"/>
      <c r="AP428" s="32"/>
      <c r="AQ428" s="32"/>
      <c r="AR428" s="201"/>
      <c r="AS428" s="201"/>
      <c r="AT428" s="201"/>
      <c r="AU428" s="201"/>
      <c r="AV428" s="201"/>
      <c r="AW428" s="201"/>
      <c r="AX428" s="201"/>
      <c r="AY428" s="201"/>
      <c r="AZ428" s="201"/>
      <c r="BA428" s="201"/>
      <c r="BB428" s="201"/>
      <c r="BC428" s="201"/>
      <c r="BD428" s="465"/>
      <c r="BE428" s="465"/>
      <c r="BF428" s="465"/>
      <c r="BG428" s="465"/>
      <c r="BH428" s="465"/>
      <c r="BI428" s="465"/>
      <c r="BJ428" s="465"/>
      <c r="BK428" s="465"/>
      <c r="BL428" s="465"/>
      <c r="BM428" s="465"/>
      <c r="BN428" s="465"/>
      <c r="BO428" s="465"/>
      <c r="BP428" s="465"/>
      <c r="BQ428" s="465"/>
      <c r="BR428" s="465"/>
      <c r="BS428" s="465"/>
      <c r="BT428" s="465"/>
      <c r="BU428" s="465"/>
      <c r="BV428" s="465"/>
      <c r="BW428" s="465"/>
      <c r="BX428" s="465"/>
      <c r="BY428" s="465"/>
    </row>
    <row r="429" spans="2:77" s="28" customFormat="1">
      <c r="B429" s="201"/>
      <c r="D429" s="418"/>
      <c r="E429" s="29"/>
      <c r="G429" s="421"/>
      <c r="H429" s="422"/>
      <c r="I429" s="422"/>
      <c r="J429" s="422"/>
      <c r="K429" s="422"/>
      <c r="L429" s="422"/>
      <c r="P429" s="470"/>
      <c r="AJ429" s="31"/>
      <c r="AK429" s="31"/>
      <c r="AL429" s="32"/>
      <c r="AM429" s="33"/>
      <c r="AN429" s="32"/>
      <c r="AO429" s="33"/>
      <c r="AP429" s="32"/>
      <c r="AQ429" s="32"/>
      <c r="AR429" s="201"/>
      <c r="AS429" s="201"/>
      <c r="AT429" s="201"/>
      <c r="AU429" s="201"/>
      <c r="AV429" s="201"/>
      <c r="AW429" s="201"/>
      <c r="AX429" s="201"/>
      <c r="AY429" s="201"/>
      <c r="AZ429" s="201"/>
      <c r="BA429" s="201"/>
      <c r="BB429" s="201"/>
      <c r="BC429" s="201"/>
      <c r="BD429" s="465"/>
      <c r="BE429" s="465"/>
      <c r="BF429" s="465"/>
      <c r="BG429" s="465"/>
      <c r="BH429" s="465"/>
      <c r="BI429" s="465"/>
      <c r="BJ429" s="465"/>
      <c r="BK429" s="465"/>
      <c r="BL429" s="465"/>
      <c r="BM429" s="465"/>
      <c r="BN429" s="465"/>
      <c r="BO429" s="465"/>
      <c r="BP429" s="465"/>
      <c r="BQ429" s="465"/>
      <c r="BR429" s="465"/>
      <c r="BS429" s="465"/>
      <c r="BT429" s="465"/>
      <c r="BU429" s="465"/>
      <c r="BV429" s="465"/>
      <c r="BW429" s="465"/>
      <c r="BX429" s="465"/>
      <c r="BY429" s="465"/>
    </row>
    <row r="430" spans="2:77" s="28" customFormat="1">
      <c r="B430" s="201"/>
      <c r="D430" s="418"/>
      <c r="E430" s="29"/>
      <c r="G430" s="421"/>
      <c r="H430" s="422"/>
      <c r="I430" s="422"/>
      <c r="J430" s="422"/>
      <c r="K430" s="422"/>
      <c r="L430" s="422"/>
      <c r="P430" s="474"/>
      <c r="AJ430" s="31"/>
      <c r="AK430" s="31"/>
      <c r="AL430" s="32"/>
      <c r="AM430" s="33"/>
      <c r="AN430" s="32"/>
      <c r="AO430" s="33"/>
      <c r="AP430" s="32"/>
      <c r="AQ430" s="32"/>
      <c r="AR430" s="201"/>
      <c r="AS430" s="201"/>
      <c r="AT430" s="201"/>
      <c r="AU430" s="201"/>
      <c r="AV430" s="201"/>
      <c r="AW430" s="201"/>
      <c r="AX430" s="201"/>
      <c r="AY430" s="201"/>
      <c r="AZ430" s="201"/>
      <c r="BA430" s="201"/>
      <c r="BB430" s="201"/>
      <c r="BC430" s="201"/>
      <c r="BD430" s="465"/>
      <c r="BE430" s="465"/>
      <c r="BF430" s="465"/>
      <c r="BG430" s="465"/>
      <c r="BH430" s="465"/>
      <c r="BI430" s="465"/>
      <c r="BJ430" s="465"/>
      <c r="BK430" s="465"/>
      <c r="BL430" s="465"/>
      <c r="BM430" s="465"/>
      <c r="BN430" s="465"/>
      <c r="BO430" s="465"/>
      <c r="BP430" s="465"/>
      <c r="BQ430" s="465"/>
      <c r="BR430" s="465"/>
      <c r="BS430" s="465"/>
      <c r="BT430" s="465"/>
      <c r="BU430" s="465"/>
      <c r="BV430" s="465"/>
      <c r="BW430" s="465"/>
      <c r="BX430" s="465"/>
      <c r="BY430" s="465"/>
    </row>
    <row r="431" spans="2:77" s="28" customFormat="1">
      <c r="B431" s="201"/>
      <c r="D431" s="418"/>
      <c r="E431" s="29"/>
      <c r="G431" s="421"/>
      <c r="H431" s="422"/>
      <c r="I431" s="422"/>
      <c r="J431" s="422"/>
      <c r="K431" s="422"/>
      <c r="L431" s="422"/>
      <c r="P431" s="470"/>
      <c r="AJ431" s="31"/>
      <c r="AK431" s="31"/>
      <c r="AL431" s="32"/>
      <c r="AM431" s="33"/>
      <c r="AN431" s="32"/>
      <c r="AO431" s="33"/>
      <c r="AP431" s="32"/>
      <c r="AQ431" s="32"/>
      <c r="AR431" s="201"/>
      <c r="AS431" s="201"/>
      <c r="AT431" s="201"/>
      <c r="AU431" s="201"/>
      <c r="AV431" s="201"/>
      <c r="AW431" s="201"/>
      <c r="AX431" s="201"/>
      <c r="AY431" s="201"/>
      <c r="AZ431" s="201"/>
      <c r="BA431" s="201"/>
      <c r="BB431" s="201"/>
      <c r="BC431" s="201"/>
      <c r="BD431" s="465"/>
      <c r="BE431" s="465"/>
      <c r="BF431" s="465"/>
      <c r="BG431" s="465"/>
      <c r="BH431" s="465"/>
      <c r="BI431" s="465"/>
      <c r="BJ431" s="465"/>
      <c r="BK431" s="465"/>
      <c r="BL431" s="465"/>
      <c r="BM431" s="465"/>
      <c r="BN431" s="465"/>
      <c r="BO431" s="465"/>
      <c r="BP431" s="465"/>
      <c r="BQ431" s="465"/>
      <c r="BR431" s="465"/>
      <c r="BS431" s="465"/>
      <c r="BT431" s="465"/>
      <c r="BU431" s="465"/>
      <c r="BV431" s="465"/>
      <c r="BW431" s="465"/>
      <c r="BX431" s="465"/>
      <c r="BY431" s="465"/>
    </row>
    <row r="432" spans="2:77" s="28" customFormat="1">
      <c r="B432" s="201"/>
      <c r="D432" s="418"/>
      <c r="E432" s="29"/>
      <c r="G432" s="421"/>
      <c r="H432" s="422"/>
      <c r="I432" s="422"/>
      <c r="J432" s="422"/>
      <c r="K432" s="422"/>
      <c r="L432" s="422"/>
      <c r="P432" s="484"/>
      <c r="AJ432" s="31"/>
      <c r="AK432" s="31"/>
      <c r="AL432" s="32"/>
      <c r="AM432" s="33"/>
      <c r="AN432" s="32"/>
      <c r="AO432" s="33"/>
      <c r="AP432" s="32"/>
      <c r="AQ432" s="32"/>
      <c r="AR432" s="201"/>
      <c r="AS432" s="201"/>
      <c r="AT432" s="201"/>
      <c r="AU432" s="201"/>
      <c r="AV432" s="201"/>
      <c r="AW432" s="201"/>
      <c r="AX432" s="201"/>
      <c r="AY432" s="201"/>
      <c r="AZ432" s="201"/>
      <c r="BA432" s="201"/>
      <c r="BB432" s="201"/>
      <c r="BC432" s="201"/>
      <c r="BD432" s="465"/>
      <c r="BE432" s="465"/>
      <c r="BF432" s="465"/>
      <c r="BG432" s="465"/>
      <c r="BH432" s="465"/>
      <c r="BI432" s="465"/>
      <c r="BJ432" s="465"/>
      <c r="BK432" s="465"/>
      <c r="BL432" s="465"/>
      <c r="BM432" s="465"/>
      <c r="BN432" s="465"/>
      <c r="BO432" s="465"/>
      <c r="BP432" s="465"/>
      <c r="BQ432" s="465"/>
      <c r="BR432" s="465"/>
      <c r="BS432" s="465"/>
      <c r="BT432" s="465"/>
      <c r="BU432" s="465"/>
      <c r="BV432" s="465"/>
      <c r="BW432" s="465"/>
      <c r="BX432" s="465"/>
      <c r="BY432" s="465"/>
    </row>
    <row r="433" spans="2:77" s="28" customFormat="1">
      <c r="B433" s="201"/>
      <c r="D433" s="418"/>
      <c r="E433" s="29"/>
      <c r="G433" s="421"/>
      <c r="H433" s="422"/>
      <c r="I433" s="422"/>
      <c r="J433" s="422"/>
      <c r="K433" s="422"/>
      <c r="L433" s="422"/>
      <c r="P433" s="470"/>
      <c r="AJ433" s="31"/>
      <c r="AK433" s="31"/>
      <c r="AL433" s="32"/>
      <c r="AM433" s="33"/>
      <c r="AN433" s="32"/>
      <c r="AO433" s="33"/>
      <c r="AP433" s="32"/>
      <c r="AQ433" s="32"/>
      <c r="AR433" s="201"/>
      <c r="AS433" s="201"/>
      <c r="AT433" s="201"/>
      <c r="AU433" s="201"/>
      <c r="AV433" s="201"/>
      <c r="AW433" s="201"/>
      <c r="AX433" s="201"/>
      <c r="AY433" s="201"/>
      <c r="AZ433" s="201"/>
      <c r="BA433" s="201"/>
      <c r="BB433" s="201"/>
      <c r="BC433" s="201"/>
      <c r="BD433" s="465"/>
      <c r="BE433" s="465"/>
      <c r="BF433" s="465"/>
      <c r="BG433" s="465"/>
      <c r="BH433" s="465"/>
      <c r="BI433" s="465"/>
      <c r="BJ433" s="465"/>
      <c r="BK433" s="465"/>
      <c r="BL433" s="465"/>
      <c r="BM433" s="465"/>
      <c r="BN433" s="465"/>
      <c r="BO433" s="465"/>
      <c r="BP433" s="465"/>
      <c r="BQ433" s="465"/>
      <c r="BR433" s="465"/>
      <c r="BS433" s="465"/>
      <c r="BT433" s="465"/>
      <c r="BU433" s="465"/>
      <c r="BV433" s="465"/>
      <c r="BW433" s="465"/>
      <c r="BX433" s="465"/>
      <c r="BY433" s="465"/>
    </row>
    <row r="434" spans="2:77" s="28" customFormat="1">
      <c r="B434" s="201"/>
      <c r="D434" s="418"/>
      <c r="E434" s="29"/>
      <c r="G434" s="421"/>
      <c r="H434" s="422"/>
      <c r="I434" s="422"/>
      <c r="J434" s="422"/>
      <c r="K434" s="422"/>
      <c r="L434" s="422"/>
      <c r="P434" s="470"/>
      <c r="AJ434" s="31"/>
      <c r="AK434" s="31"/>
      <c r="AL434" s="32"/>
      <c r="AM434" s="33"/>
      <c r="AN434" s="32"/>
      <c r="AO434" s="33"/>
      <c r="AP434" s="32"/>
      <c r="AQ434" s="32"/>
      <c r="AR434" s="201"/>
      <c r="AS434" s="201"/>
      <c r="AT434" s="201"/>
      <c r="AU434" s="201"/>
      <c r="AV434" s="201"/>
      <c r="AW434" s="201"/>
      <c r="AX434" s="201"/>
      <c r="AY434" s="201"/>
      <c r="AZ434" s="201"/>
      <c r="BA434" s="201"/>
      <c r="BB434" s="201"/>
      <c r="BC434" s="201"/>
      <c r="BD434" s="465"/>
      <c r="BE434" s="465"/>
      <c r="BF434" s="465"/>
      <c r="BG434" s="465"/>
      <c r="BH434" s="465"/>
      <c r="BI434" s="465"/>
      <c r="BJ434" s="465"/>
      <c r="BK434" s="465"/>
      <c r="BL434" s="465"/>
      <c r="BM434" s="465"/>
      <c r="BN434" s="465"/>
      <c r="BO434" s="465"/>
      <c r="BP434" s="465"/>
      <c r="BQ434" s="465"/>
      <c r="BR434" s="465"/>
      <c r="BS434" s="465"/>
      <c r="BT434" s="465"/>
      <c r="BU434" s="465"/>
      <c r="BV434" s="465"/>
      <c r="BW434" s="465"/>
      <c r="BX434" s="465"/>
      <c r="BY434" s="465"/>
    </row>
    <row r="435" spans="2:77" s="28" customFormat="1">
      <c r="B435" s="201"/>
      <c r="D435" s="418"/>
      <c r="E435" s="29"/>
      <c r="G435" s="421"/>
      <c r="H435" s="422"/>
      <c r="I435" s="422"/>
      <c r="J435" s="422"/>
      <c r="K435" s="422"/>
      <c r="L435" s="422"/>
      <c r="P435" s="470"/>
      <c r="AJ435" s="31"/>
      <c r="AK435" s="31"/>
      <c r="AL435" s="32"/>
      <c r="AM435" s="33"/>
      <c r="AN435" s="32"/>
      <c r="AO435" s="33"/>
      <c r="AP435" s="32"/>
      <c r="AQ435" s="32"/>
      <c r="AR435" s="201"/>
      <c r="AS435" s="201"/>
      <c r="AT435" s="201"/>
      <c r="AU435" s="201"/>
      <c r="AV435" s="201"/>
      <c r="AW435" s="201"/>
      <c r="AX435" s="201"/>
      <c r="AY435" s="201"/>
      <c r="AZ435" s="201"/>
      <c r="BA435" s="201"/>
      <c r="BB435" s="201"/>
      <c r="BC435" s="201"/>
      <c r="BD435" s="465"/>
      <c r="BE435" s="465"/>
      <c r="BF435" s="465"/>
      <c r="BG435" s="465"/>
      <c r="BH435" s="465"/>
      <c r="BI435" s="465"/>
      <c r="BJ435" s="465"/>
      <c r="BK435" s="465"/>
      <c r="BL435" s="465"/>
      <c r="BM435" s="465"/>
      <c r="BN435" s="465"/>
      <c r="BO435" s="465"/>
      <c r="BP435" s="465"/>
      <c r="BQ435" s="465"/>
      <c r="BR435" s="465"/>
      <c r="BS435" s="465"/>
      <c r="BT435" s="465"/>
      <c r="BU435" s="465"/>
      <c r="BV435" s="465"/>
      <c r="BW435" s="465"/>
      <c r="BX435" s="465"/>
      <c r="BY435" s="465"/>
    </row>
    <row r="436" spans="2:77" s="28" customFormat="1">
      <c r="B436" s="201"/>
      <c r="D436" s="418"/>
      <c r="E436" s="29"/>
      <c r="G436" s="421"/>
      <c r="H436" s="422"/>
      <c r="I436" s="422"/>
      <c r="J436" s="422"/>
      <c r="K436" s="422"/>
      <c r="L436" s="422"/>
      <c r="P436" s="472"/>
      <c r="AJ436" s="31"/>
      <c r="AK436" s="31"/>
      <c r="AL436" s="32"/>
      <c r="AM436" s="33"/>
      <c r="AN436" s="32"/>
      <c r="AO436" s="33"/>
      <c r="AP436" s="32"/>
      <c r="AQ436" s="32"/>
      <c r="AR436" s="201"/>
      <c r="AS436" s="201"/>
      <c r="AT436" s="201"/>
      <c r="AU436" s="201"/>
      <c r="AV436" s="201"/>
      <c r="AW436" s="201"/>
      <c r="AX436" s="201"/>
      <c r="AY436" s="201"/>
      <c r="AZ436" s="201"/>
      <c r="BA436" s="201"/>
      <c r="BB436" s="201"/>
      <c r="BC436" s="201"/>
      <c r="BD436" s="465"/>
      <c r="BE436" s="465"/>
      <c r="BF436" s="465"/>
      <c r="BG436" s="465"/>
      <c r="BH436" s="465"/>
      <c r="BI436" s="465"/>
      <c r="BJ436" s="465"/>
      <c r="BK436" s="465"/>
      <c r="BL436" s="465"/>
      <c r="BM436" s="465"/>
      <c r="BN436" s="465"/>
      <c r="BO436" s="465"/>
      <c r="BP436" s="465"/>
      <c r="BQ436" s="465"/>
      <c r="BR436" s="465"/>
      <c r="BS436" s="465"/>
      <c r="BT436" s="465"/>
      <c r="BU436" s="465"/>
      <c r="BV436" s="465"/>
      <c r="BW436" s="465"/>
      <c r="BX436" s="465"/>
      <c r="BY436" s="465"/>
    </row>
    <row r="437" spans="2:77" s="28" customFormat="1">
      <c r="B437" s="201"/>
      <c r="D437" s="418"/>
      <c r="E437" s="29"/>
      <c r="G437" s="421"/>
      <c r="H437" s="422"/>
      <c r="I437" s="422"/>
      <c r="J437" s="422"/>
      <c r="K437" s="422"/>
      <c r="L437" s="422"/>
      <c r="P437" s="481"/>
      <c r="AJ437" s="31"/>
      <c r="AK437" s="31"/>
      <c r="AL437" s="32"/>
      <c r="AM437" s="33"/>
      <c r="AN437" s="32"/>
      <c r="AO437" s="33"/>
      <c r="AP437" s="32"/>
      <c r="AQ437" s="32"/>
      <c r="AR437" s="201"/>
      <c r="AS437" s="201"/>
      <c r="AT437" s="201"/>
      <c r="AU437" s="201"/>
      <c r="AV437" s="201"/>
      <c r="AW437" s="201"/>
      <c r="AX437" s="201"/>
      <c r="AY437" s="201"/>
      <c r="AZ437" s="201"/>
      <c r="BA437" s="201"/>
      <c r="BB437" s="201"/>
      <c r="BC437" s="201"/>
      <c r="BD437" s="465"/>
      <c r="BE437" s="465"/>
      <c r="BF437" s="465"/>
      <c r="BG437" s="465"/>
      <c r="BH437" s="465"/>
      <c r="BI437" s="465"/>
      <c r="BJ437" s="465"/>
      <c r="BK437" s="465"/>
      <c r="BL437" s="465"/>
      <c r="BM437" s="465"/>
      <c r="BN437" s="465"/>
      <c r="BO437" s="465"/>
      <c r="BP437" s="465"/>
      <c r="BQ437" s="465"/>
      <c r="BR437" s="465"/>
      <c r="BS437" s="465"/>
      <c r="BT437" s="465"/>
      <c r="BU437" s="465"/>
      <c r="BV437" s="465"/>
      <c r="BW437" s="465"/>
      <c r="BX437" s="465"/>
      <c r="BY437" s="465"/>
    </row>
    <row r="438" spans="2:77" s="28" customFormat="1">
      <c r="B438" s="201"/>
      <c r="D438" s="418"/>
      <c r="E438" s="29"/>
      <c r="G438" s="421"/>
      <c r="H438" s="422"/>
      <c r="I438" s="422"/>
      <c r="J438" s="422"/>
      <c r="K438" s="422"/>
      <c r="L438" s="422"/>
      <c r="P438" s="472"/>
      <c r="AJ438" s="31"/>
      <c r="AK438" s="31"/>
      <c r="AL438" s="32"/>
      <c r="AM438" s="33"/>
      <c r="AN438" s="32"/>
      <c r="AO438" s="33"/>
      <c r="AP438" s="32"/>
      <c r="AQ438" s="32"/>
      <c r="AR438" s="201"/>
      <c r="AS438" s="201"/>
      <c r="AT438" s="201"/>
      <c r="AU438" s="201"/>
      <c r="AV438" s="201"/>
      <c r="AW438" s="201"/>
      <c r="AX438" s="201"/>
      <c r="AY438" s="201"/>
      <c r="AZ438" s="201"/>
      <c r="BA438" s="201"/>
      <c r="BB438" s="201"/>
      <c r="BC438" s="201"/>
      <c r="BD438" s="465"/>
      <c r="BE438" s="465"/>
      <c r="BF438" s="465"/>
      <c r="BG438" s="465"/>
      <c r="BH438" s="465"/>
      <c r="BI438" s="465"/>
      <c r="BJ438" s="465"/>
      <c r="BK438" s="465"/>
      <c r="BL438" s="465"/>
      <c r="BM438" s="465"/>
      <c r="BN438" s="465"/>
      <c r="BO438" s="465"/>
      <c r="BP438" s="465"/>
      <c r="BQ438" s="465"/>
      <c r="BR438" s="465"/>
      <c r="BS438" s="465"/>
      <c r="BT438" s="465"/>
      <c r="BU438" s="465"/>
      <c r="BV438" s="465"/>
      <c r="BW438" s="465"/>
      <c r="BX438" s="465"/>
      <c r="BY438" s="465"/>
    </row>
    <row r="439" spans="2:77" s="28" customFormat="1">
      <c r="B439" s="201"/>
      <c r="D439" s="418"/>
      <c r="E439" s="29"/>
      <c r="G439" s="421"/>
      <c r="H439" s="422"/>
      <c r="I439" s="422"/>
      <c r="J439" s="422"/>
      <c r="K439" s="422"/>
      <c r="L439" s="422"/>
      <c r="P439" s="470"/>
      <c r="AJ439" s="31"/>
      <c r="AK439" s="31"/>
      <c r="AL439" s="32"/>
      <c r="AM439" s="33"/>
      <c r="AN439" s="32"/>
      <c r="AO439" s="33"/>
      <c r="AP439" s="32"/>
      <c r="AQ439" s="32"/>
      <c r="AR439" s="201"/>
      <c r="AS439" s="201"/>
      <c r="AT439" s="201"/>
      <c r="AU439" s="201"/>
      <c r="AV439" s="201"/>
      <c r="AW439" s="201"/>
      <c r="AX439" s="201"/>
      <c r="AY439" s="201"/>
      <c r="AZ439" s="201"/>
      <c r="BA439" s="201"/>
      <c r="BB439" s="201"/>
      <c r="BC439" s="201"/>
      <c r="BD439" s="465"/>
      <c r="BE439" s="465"/>
      <c r="BF439" s="465"/>
      <c r="BG439" s="465"/>
      <c r="BH439" s="465"/>
      <c r="BI439" s="465"/>
      <c r="BJ439" s="465"/>
      <c r="BK439" s="465"/>
      <c r="BL439" s="465"/>
      <c r="BM439" s="465"/>
      <c r="BN439" s="465"/>
      <c r="BO439" s="465"/>
      <c r="BP439" s="465"/>
      <c r="BQ439" s="465"/>
      <c r="BR439" s="465"/>
      <c r="BS439" s="465"/>
      <c r="BT439" s="465"/>
      <c r="BU439" s="465"/>
      <c r="BV439" s="465"/>
      <c r="BW439" s="465"/>
      <c r="BX439" s="465"/>
      <c r="BY439" s="465"/>
    </row>
    <row r="440" spans="2:77" s="28" customFormat="1">
      <c r="B440" s="201"/>
      <c r="D440" s="418"/>
      <c r="E440" s="29"/>
      <c r="G440" s="421"/>
      <c r="H440" s="422"/>
      <c r="I440" s="422"/>
      <c r="J440" s="422"/>
      <c r="K440" s="422"/>
      <c r="L440" s="422"/>
      <c r="P440" s="478"/>
      <c r="AJ440" s="31"/>
      <c r="AK440" s="31"/>
      <c r="AL440" s="32"/>
      <c r="AM440" s="33"/>
      <c r="AN440" s="32"/>
      <c r="AO440" s="33"/>
      <c r="AP440" s="32"/>
      <c r="AQ440" s="32"/>
      <c r="AR440" s="201"/>
      <c r="AS440" s="201"/>
      <c r="AT440" s="201"/>
      <c r="AU440" s="201"/>
      <c r="AV440" s="201"/>
      <c r="AW440" s="201"/>
      <c r="AX440" s="201"/>
      <c r="AY440" s="201"/>
      <c r="AZ440" s="201"/>
      <c r="BA440" s="201"/>
      <c r="BB440" s="201"/>
      <c r="BC440" s="201"/>
      <c r="BD440" s="465"/>
      <c r="BE440" s="465"/>
      <c r="BF440" s="465"/>
      <c r="BG440" s="465"/>
      <c r="BH440" s="465"/>
      <c r="BI440" s="465"/>
      <c r="BJ440" s="465"/>
      <c r="BK440" s="465"/>
      <c r="BL440" s="465"/>
      <c r="BM440" s="465"/>
      <c r="BN440" s="465"/>
      <c r="BO440" s="465"/>
      <c r="BP440" s="465"/>
      <c r="BQ440" s="465"/>
      <c r="BR440" s="465"/>
      <c r="BS440" s="465"/>
      <c r="BT440" s="465"/>
      <c r="BU440" s="465"/>
      <c r="BV440" s="465"/>
      <c r="BW440" s="465"/>
      <c r="BX440" s="465"/>
      <c r="BY440" s="465"/>
    </row>
    <row r="441" spans="2:77" s="28" customFormat="1">
      <c r="B441" s="201"/>
      <c r="D441" s="418"/>
      <c r="E441" s="29"/>
      <c r="G441" s="421"/>
      <c r="H441" s="422"/>
      <c r="I441" s="422"/>
      <c r="J441" s="422"/>
      <c r="K441" s="422"/>
      <c r="L441" s="422"/>
      <c r="P441" s="470"/>
      <c r="AJ441" s="31"/>
      <c r="AK441" s="31"/>
      <c r="AL441" s="32"/>
      <c r="AM441" s="33"/>
      <c r="AN441" s="32"/>
      <c r="AO441" s="33"/>
      <c r="AP441" s="32"/>
      <c r="AQ441" s="32"/>
      <c r="AR441" s="201"/>
      <c r="AS441" s="201"/>
      <c r="AT441" s="201"/>
      <c r="AU441" s="201"/>
      <c r="AV441" s="201"/>
      <c r="AW441" s="201"/>
      <c r="AX441" s="201"/>
      <c r="AY441" s="201"/>
      <c r="AZ441" s="201"/>
      <c r="BA441" s="201"/>
      <c r="BB441" s="201"/>
      <c r="BC441" s="201"/>
      <c r="BD441" s="465"/>
      <c r="BE441" s="465"/>
      <c r="BF441" s="465"/>
      <c r="BG441" s="465"/>
      <c r="BH441" s="465"/>
      <c r="BI441" s="465"/>
      <c r="BJ441" s="465"/>
      <c r="BK441" s="465"/>
      <c r="BL441" s="465"/>
      <c r="BM441" s="465"/>
      <c r="BN441" s="465"/>
      <c r="BO441" s="465"/>
      <c r="BP441" s="465"/>
      <c r="BQ441" s="465"/>
      <c r="BR441" s="465"/>
      <c r="BS441" s="465"/>
      <c r="BT441" s="465"/>
      <c r="BU441" s="465"/>
      <c r="BV441" s="465"/>
      <c r="BW441" s="465"/>
      <c r="BX441" s="465"/>
      <c r="BY441" s="465"/>
    </row>
    <row r="442" spans="2:77" s="28" customFormat="1">
      <c r="B442" s="201"/>
      <c r="D442" s="418"/>
      <c r="E442" s="29"/>
      <c r="G442" s="421"/>
      <c r="H442" s="422"/>
      <c r="I442" s="422"/>
      <c r="J442" s="422"/>
      <c r="K442" s="422"/>
      <c r="L442" s="422"/>
      <c r="P442" s="472"/>
      <c r="AJ442" s="31"/>
      <c r="AK442" s="31"/>
      <c r="AL442" s="32"/>
      <c r="AM442" s="33"/>
      <c r="AN442" s="32"/>
      <c r="AO442" s="33"/>
      <c r="AP442" s="32"/>
      <c r="AQ442" s="32"/>
      <c r="AR442" s="201"/>
      <c r="AS442" s="201"/>
      <c r="AT442" s="201"/>
      <c r="AU442" s="201"/>
      <c r="AV442" s="201"/>
      <c r="AW442" s="201"/>
      <c r="AX442" s="201"/>
      <c r="AY442" s="201"/>
      <c r="AZ442" s="201"/>
      <c r="BA442" s="201"/>
      <c r="BB442" s="201"/>
      <c r="BC442" s="201"/>
      <c r="BD442" s="465"/>
      <c r="BE442" s="465"/>
      <c r="BF442" s="465"/>
      <c r="BG442" s="465"/>
      <c r="BH442" s="465"/>
      <c r="BI442" s="465"/>
      <c r="BJ442" s="465"/>
      <c r="BK442" s="465"/>
      <c r="BL442" s="465"/>
      <c r="BM442" s="465"/>
      <c r="BN442" s="465"/>
      <c r="BO442" s="465"/>
      <c r="BP442" s="465"/>
      <c r="BQ442" s="465"/>
      <c r="BR442" s="465"/>
      <c r="BS442" s="465"/>
      <c r="BT442" s="465"/>
      <c r="BU442" s="465"/>
      <c r="BV442" s="465"/>
      <c r="BW442" s="465"/>
      <c r="BX442" s="465"/>
      <c r="BY442" s="465"/>
    </row>
    <row r="443" spans="2:77" s="28" customFormat="1">
      <c r="B443" s="201"/>
      <c r="D443" s="418"/>
      <c r="E443" s="29"/>
      <c r="G443" s="421"/>
      <c r="H443" s="422"/>
      <c r="I443" s="422"/>
      <c r="J443" s="422"/>
      <c r="K443" s="422"/>
      <c r="L443" s="422"/>
      <c r="P443" s="472"/>
      <c r="AJ443" s="31"/>
      <c r="AK443" s="31"/>
      <c r="AL443" s="32"/>
      <c r="AM443" s="33"/>
      <c r="AN443" s="32"/>
      <c r="AO443" s="33"/>
      <c r="AP443" s="32"/>
      <c r="AQ443" s="32"/>
      <c r="AR443" s="201"/>
      <c r="AS443" s="201"/>
      <c r="AT443" s="201"/>
      <c r="AU443" s="201"/>
      <c r="AV443" s="201"/>
      <c r="AW443" s="201"/>
      <c r="AX443" s="201"/>
      <c r="AY443" s="201"/>
      <c r="AZ443" s="201"/>
      <c r="BA443" s="201"/>
      <c r="BB443" s="201"/>
      <c r="BC443" s="201"/>
      <c r="BD443" s="465"/>
      <c r="BE443" s="465"/>
      <c r="BF443" s="465"/>
      <c r="BG443" s="465"/>
      <c r="BH443" s="465"/>
      <c r="BI443" s="465"/>
      <c r="BJ443" s="465"/>
      <c r="BK443" s="465"/>
      <c r="BL443" s="465"/>
      <c r="BM443" s="465"/>
      <c r="BN443" s="465"/>
      <c r="BO443" s="465"/>
      <c r="BP443" s="465"/>
      <c r="BQ443" s="465"/>
      <c r="BR443" s="465"/>
      <c r="BS443" s="465"/>
      <c r="BT443" s="465"/>
      <c r="BU443" s="465"/>
      <c r="BV443" s="465"/>
      <c r="BW443" s="465"/>
      <c r="BX443" s="465"/>
      <c r="BY443" s="465"/>
    </row>
    <row r="444" spans="2:77" s="28" customFormat="1">
      <c r="B444" s="201"/>
      <c r="D444" s="418"/>
      <c r="E444" s="29"/>
      <c r="G444" s="421"/>
      <c r="H444" s="422"/>
      <c r="I444" s="422"/>
      <c r="J444" s="422"/>
      <c r="K444" s="422"/>
      <c r="L444" s="422"/>
      <c r="P444" s="470"/>
      <c r="AJ444" s="31"/>
      <c r="AK444" s="31"/>
      <c r="AL444" s="32"/>
      <c r="AM444" s="33"/>
      <c r="AN444" s="32"/>
      <c r="AO444" s="33"/>
      <c r="AP444" s="32"/>
      <c r="AQ444" s="32"/>
      <c r="AR444" s="201"/>
      <c r="AS444" s="201"/>
      <c r="AT444" s="201"/>
      <c r="AU444" s="201"/>
      <c r="AV444" s="201"/>
      <c r="AW444" s="201"/>
      <c r="AX444" s="201"/>
      <c r="AY444" s="201"/>
      <c r="AZ444" s="201"/>
      <c r="BA444" s="201"/>
      <c r="BB444" s="201"/>
      <c r="BC444" s="201"/>
      <c r="BD444" s="465"/>
      <c r="BE444" s="465"/>
      <c r="BF444" s="465"/>
      <c r="BG444" s="465"/>
      <c r="BH444" s="465"/>
      <c r="BI444" s="465"/>
      <c r="BJ444" s="465"/>
      <c r="BK444" s="465"/>
      <c r="BL444" s="465"/>
      <c r="BM444" s="465"/>
      <c r="BN444" s="465"/>
      <c r="BO444" s="465"/>
      <c r="BP444" s="465"/>
      <c r="BQ444" s="465"/>
      <c r="BR444" s="465"/>
      <c r="BS444" s="465"/>
      <c r="BT444" s="465"/>
      <c r="BU444" s="465"/>
      <c r="BV444" s="465"/>
      <c r="BW444" s="465"/>
      <c r="BX444" s="465"/>
      <c r="BY444" s="465"/>
    </row>
    <row r="445" spans="2:77" s="28" customFormat="1">
      <c r="B445" s="201"/>
      <c r="D445" s="418"/>
      <c r="E445" s="29"/>
      <c r="G445" s="421"/>
      <c r="H445" s="422"/>
      <c r="I445" s="422"/>
      <c r="J445" s="422"/>
      <c r="K445" s="422"/>
      <c r="L445" s="422"/>
      <c r="P445" s="473"/>
      <c r="AJ445" s="31"/>
      <c r="AK445" s="31"/>
      <c r="AL445" s="32"/>
      <c r="AM445" s="33"/>
      <c r="AN445" s="32"/>
      <c r="AO445" s="33"/>
      <c r="AP445" s="32"/>
      <c r="AQ445" s="32"/>
      <c r="AR445" s="201"/>
      <c r="AS445" s="201"/>
      <c r="AT445" s="201"/>
      <c r="AU445" s="201"/>
      <c r="AV445" s="201"/>
      <c r="AW445" s="201"/>
      <c r="AX445" s="201"/>
      <c r="AY445" s="201"/>
      <c r="AZ445" s="201"/>
      <c r="BA445" s="201"/>
      <c r="BB445" s="201"/>
      <c r="BC445" s="201"/>
      <c r="BD445" s="465"/>
      <c r="BE445" s="465"/>
      <c r="BF445" s="465"/>
      <c r="BG445" s="465"/>
      <c r="BH445" s="465"/>
      <c r="BI445" s="465"/>
      <c r="BJ445" s="465"/>
      <c r="BK445" s="465"/>
      <c r="BL445" s="465"/>
      <c r="BM445" s="465"/>
      <c r="BN445" s="465"/>
      <c r="BO445" s="465"/>
      <c r="BP445" s="465"/>
      <c r="BQ445" s="465"/>
      <c r="BR445" s="465"/>
      <c r="BS445" s="465"/>
      <c r="BT445" s="465"/>
      <c r="BU445" s="465"/>
      <c r="BV445" s="465"/>
      <c r="BW445" s="465"/>
      <c r="BX445" s="465"/>
      <c r="BY445" s="465"/>
    </row>
    <row r="446" spans="2:77" s="28" customFormat="1">
      <c r="B446" s="201"/>
      <c r="D446" s="418"/>
      <c r="E446" s="29"/>
      <c r="G446" s="421"/>
      <c r="H446" s="422"/>
      <c r="I446" s="422"/>
      <c r="J446" s="422"/>
      <c r="K446" s="422"/>
      <c r="L446" s="422"/>
      <c r="P446" s="474"/>
      <c r="AJ446" s="31"/>
      <c r="AK446" s="31"/>
      <c r="AL446" s="32"/>
      <c r="AM446" s="33"/>
      <c r="AN446" s="32"/>
      <c r="AO446" s="33"/>
      <c r="AP446" s="32"/>
      <c r="AQ446" s="32"/>
      <c r="AR446" s="201"/>
      <c r="AS446" s="201"/>
      <c r="AT446" s="201"/>
      <c r="AU446" s="201"/>
      <c r="AV446" s="201"/>
      <c r="AW446" s="201"/>
      <c r="AX446" s="201"/>
      <c r="AY446" s="201"/>
      <c r="AZ446" s="201"/>
      <c r="BA446" s="201"/>
      <c r="BB446" s="201"/>
      <c r="BC446" s="201"/>
      <c r="BD446" s="465"/>
      <c r="BE446" s="465"/>
      <c r="BF446" s="465"/>
      <c r="BG446" s="465"/>
      <c r="BH446" s="465"/>
      <c r="BI446" s="465"/>
      <c r="BJ446" s="465"/>
      <c r="BK446" s="465"/>
      <c r="BL446" s="465"/>
      <c r="BM446" s="465"/>
      <c r="BN446" s="465"/>
      <c r="BO446" s="465"/>
      <c r="BP446" s="465"/>
      <c r="BQ446" s="465"/>
      <c r="BR446" s="465"/>
      <c r="BS446" s="465"/>
      <c r="BT446" s="465"/>
      <c r="BU446" s="465"/>
      <c r="BV446" s="465"/>
      <c r="BW446" s="465"/>
      <c r="BX446" s="465"/>
      <c r="BY446" s="465"/>
    </row>
    <row r="447" spans="2:77" s="28" customFormat="1">
      <c r="B447" s="201"/>
      <c r="D447" s="418"/>
      <c r="E447" s="29"/>
      <c r="G447" s="421"/>
      <c r="H447" s="422"/>
      <c r="I447" s="422"/>
      <c r="J447" s="422"/>
      <c r="K447" s="422"/>
      <c r="L447" s="422"/>
      <c r="P447" s="473"/>
      <c r="AJ447" s="31"/>
      <c r="AK447" s="31"/>
      <c r="AL447" s="32"/>
      <c r="AM447" s="33"/>
      <c r="AN447" s="32"/>
      <c r="AO447" s="33"/>
      <c r="AP447" s="32"/>
      <c r="AQ447" s="32"/>
      <c r="AR447" s="201"/>
      <c r="AS447" s="201"/>
      <c r="AT447" s="201"/>
      <c r="AU447" s="201"/>
      <c r="AV447" s="201"/>
      <c r="AW447" s="201"/>
      <c r="AX447" s="201"/>
      <c r="AY447" s="201"/>
      <c r="AZ447" s="201"/>
      <c r="BA447" s="201"/>
      <c r="BB447" s="201"/>
      <c r="BC447" s="201"/>
      <c r="BD447" s="465"/>
      <c r="BE447" s="465"/>
      <c r="BF447" s="465"/>
      <c r="BG447" s="465"/>
      <c r="BH447" s="465"/>
      <c r="BI447" s="465"/>
      <c r="BJ447" s="465"/>
      <c r="BK447" s="465"/>
      <c r="BL447" s="465"/>
      <c r="BM447" s="465"/>
      <c r="BN447" s="465"/>
      <c r="BO447" s="465"/>
      <c r="BP447" s="465"/>
      <c r="BQ447" s="465"/>
      <c r="BR447" s="465"/>
      <c r="BS447" s="465"/>
      <c r="BT447" s="465"/>
      <c r="BU447" s="465"/>
      <c r="BV447" s="465"/>
      <c r="BW447" s="465"/>
      <c r="BX447" s="465"/>
      <c r="BY447" s="465"/>
    </row>
    <row r="448" spans="2:77" s="28" customFormat="1">
      <c r="B448" s="201"/>
      <c r="D448" s="418"/>
      <c r="E448" s="29"/>
      <c r="G448" s="421"/>
      <c r="H448" s="422"/>
      <c r="I448" s="422"/>
      <c r="J448" s="422"/>
      <c r="K448" s="422"/>
      <c r="L448" s="422"/>
      <c r="P448" s="475"/>
      <c r="AJ448" s="31"/>
      <c r="AK448" s="31"/>
      <c r="AL448" s="32"/>
      <c r="AM448" s="33"/>
      <c r="AN448" s="32"/>
      <c r="AO448" s="33"/>
      <c r="AP448" s="32"/>
      <c r="AQ448" s="32"/>
      <c r="AR448" s="201"/>
      <c r="AS448" s="201"/>
      <c r="AT448" s="201"/>
      <c r="AU448" s="201"/>
      <c r="AV448" s="201"/>
      <c r="AW448" s="201"/>
      <c r="AX448" s="201"/>
      <c r="AY448" s="201"/>
      <c r="AZ448" s="201"/>
      <c r="BA448" s="201"/>
      <c r="BB448" s="201"/>
      <c r="BC448" s="201"/>
      <c r="BD448" s="465"/>
      <c r="BE448" s="465"/>
      <c r="BF448" s="465"/>
      <c r="BG448" s="465"/>
      <c r="BH448" s="465"/>
      <c r="BI448" s="465"/>
      <c r="BJ448" s="465"/>
      <c r="BK448" s="465"/>
      <c r="BL448" s="465"/>
      <c r="BM448" s="465"/>
      <c r="BN448" s="465"/>
      <c r="BO448" s="465"/>
      <c r="BP448" s="465"/>
      <c r="BQ448" s="465"/>
      <c r="BR448" s="465"/>
      <c r="BS448" s="465"/>
      <c r="BT448" s="465"/>
      <c r="BU448" s="465"/>
      <c r="BV448" s="465"/>
      <c r="BW448" s="465"/>
      <c r="BX448" s="465"/>
      <c r="BY448" s="465"/>
    </row>
    <row r="449" spans="2:77" s="28" customFormat="1">
      <c r="B449" s="201"/>
      <c r="D449" s="418"/>
      <c r="E449" s="29"/>
      <c r="G449" s="421"/>
      <c r="H449" s="422"/>
      <c r="I449" s="422"/>
      <c r="J449" s="422"/>
      <c r="K449" s="422"/>
      <c r="L449" s="422"/>
      <c r="P449" s="470"/>
      <c r="AJ449" s="31"/>
      <c r="AK449" s="31"/>
      <c r="AL449" s="32"/>
      <c r="AM449" s="33"/>
      <c r="AN449" s="32"/>
      <c r="AO449" s="33"/>
      <c r="AP449" s="32"/>
      <c r="AQ449" s="32"/>
      <c r="AR449" s="201"/>
      <c r="AS449" s="201"/>
      <c r="AT449" s="201"/>
      <c r="AU449" s="201"/>
      <c r="AV449" s="201"/>
      <c r="AW449" s="201"/>
      <c r="AX449" s="201"/>
      <c r="AY449" s="201"/>
      <c r="AZ449" s="201"/>
      <c r="BA449" s="201"/>
      <c r="BB449" s="201"/>
      <c r="BC449" s="201"/>
      <c r="BD449" s="465"/>
      <c r="BE449" s="465"/>
      <c r="BF449" s="465"/>
      <c r="BG449" s="465"/>
      <c r="BH449" s="465"/>
      <c r="BI449" s="465"/>
      <c r="BJ449" s="465"/>
      <c r="BK449" s="465"/>
      <c r="BL449" s="465"/>
      <c r="BM449" s="465"/>
      <c r="BN449" s="465"/>
      <c r="BO449" s="465"/>
      <c r="BP449" s="465"/>
      <c r="BQ449" s="465"/>
      <c r="BR449" s="465"/>
      <c r="BS449" s="465"/>
      <c r="BT449" s="465"/>
      <c r="BU449" s="465"/>
      <c r="BV449" s="465"/>
      <c r="BW449" s="465"/>
      <c r="BX449" s="465"/>
      <c r="BY449" s="465"/>
    </row>
    <row r="450" spans="2:77" s="28" customFormat="1">
      <c r="B450" s="201"/>
      <c r="D450" s="418"/>
      <c r="E450" s="29"/>
      <c r="G450" s="421"/>
      <c r="H450" s="422"/>
      <c r="I450" s="422"/>
      <c r="J450" s="422"/>
      <c r="K450" s="422"/>
      <c r="L450" s="422"/>
      <c r="P450" s="473"/>
      <c r="AJ450" s="31"/>
      <c r="AK450" s="31"/>
      <c r="AL450" s="32"/>
      <c r="AM450" s="33"/>
      <c r="AN450" s="32"/>
      <c r="AO450" s="33"/>
      <c r="AP450" s="32"/>
      <c r="AQ450" s="32"/>
      <c r="AR450" s="201"/>
      <c r="AS450" s="201"/>
      <c r="AT450" s="201"/>
      <c r="AU450" s="201"/>
      <c r="AV450" s="201"/>
      <c r="AW450" s="201"/>
      <c r="AX450" s="201"/>
      <c r="AY450" s="201"/>
      <c r="AZ450" s="201"/>
      <c r="BA450" s="201"/>
      <c r="BB450" s="201"/>
      <c r="BC450" s="201"/>
      <c r="BD450" s="465"/>
      <c r="BE450" s="465"/>
      <c r="BF450" s="465"/>
      <c r="BG450" s="465"/>
      <c r="BH450" s="465"/>
      <c r="BI450" s="465"/>
      <c r="BJ450" s="465"/>
      <c r="BK450" s="465"/>
      <c r="BL450" s="465"/>
      <c r="BM450" s="465"/>
      <c r="BN450" s="465"/>
      <c r="BO450" s="465"/>
      <c r="BP450" s="465"/>
      <c r="BQ450" s="465"/>
      <c r="BR450" s="465"/>
      <c r="BS450" s="465"/>
      <c r="BT450" s="465"/>
      <c r="BU450" s="465"/>
      <c r="BV450" s="465"/>
      <c r="BW450" s="465"/>
      <c r="BX450" s="465"/>
      <c r="BY450" s="465"/>
    </row>
    <row r="451" spans="2:77" s="28" customFormat="1">
      <c r="B451" s="201"/>
      <c r="D451" s="418"/>
      <c r="E451" s="29"/>
      <c r="G451" s="421"/>
      <c r="H451" s="422"/>
      <c r="I451" s="422"/>
      <c r="J451" s="422"/>
      <c r="K451" s="422"/>
      <c r="L451" s="422"/>
      <c r="P451" s="470"/>
      <c r="AJ451" s="31"/>
      <c r="AK451" s="31"/>
      <c r="AL451" s="32"/>
      <c r="AM451" s="33"/>
      <c r="AN451" s="32"/>
      <c r="AO451" s="33"/>
      <c r="AP451" s="32"/>
      <c r="AQ451" s="32"/>
      <c r="AR451" s="201"/>
      <c r="AS451" s="201"/>
      <c r="AT451" s="201"/>
      <c r="AU451" s="201"/>
      <c r="AV451" s="201"/>
      <c r="AW451" s="201"/>
      <c r="AX451" s="201"/>
      <c r="AY451" s="201"/>
      <c r="AZ451" s="201"/>
      <c r="BA451" s="201"/>
      <c r="BB451" s="201"/>
      <c r="BC451" s="201"/>
      <c r="BD451" s="465"/>
      <c r="BE451" s="465"/>
      <c r="BF451" s="465"/>
      <c r="BG451" s="465"/>
      <c r="BH451" s="465"/>
      <c r="BI451" s="465"/>
      <c r="BJ451" s="465"/>
      <c r="BK451" s="465"/>
      <c r="BL451" s="465"/>
      <c r="BM451" s="465"/>
      <c r="BN451" s="465"/>
      <c r="BO451" s="465"/>
      <c r="BP451" s="465"/>
      <c r="BQ451" s="465"/>
      <c r="BR451" s="465"/>
      <c r="BS451" s="465"/>
      <c r="BT451" s="465"/>
      <c r="BU451" s="465"/>
      <c r="BV451" s="465"/>
      <c r="BW451" s="465"/>
      <c r="BX451" s="465"/>
      <c r="BY451" s="465"/>
    </row>
    <row r="452" spans="2:77" s="28" customFormat="1">
      <c r="B452" s="201"/>
      <c r="D452" s="418"/>
      <c r="E452" s="29"/>
      <c r="G452" s="421"/>
      <c r="H452" s="422"/>
      <c r="I452" s="422"/>
      <c r="J452" s="422"/>
      <c r="K452" s="422"/>
      <c r="L452" s="422"/>
      <c r="P452" s="470"/>
      <c r="AJ452" s="31"/>
      <c r="AK452" s="31"/>
      <c r="AL452" s="32"/>
      <c r="AM452" s="33"/>
      <c r="AN452" s="32"/>
      <c r="AO452" s="33"/>
      <c r="AP452" s="32"/>
      <c r="AQ452" s="32"/>
      <c r="AR452" s="201"/>
      <c r="AS452" s="201"/>
      <c r="AT452" s="201"/>
      <c r="AU452" s="201"/>
      <c r="AV452" s="201"/>
      <c r="AW452" s="201"/>
      <c r="AX452" s="201"/>
      <c r="AY452" s="201"/>
      <c r="AZ452" s="201"/>
      <c r="BA452" s="201"/>
      <c r="BB452" s="201"/>
      <c r="BC452" s="201"/>
      <c r="BD452" s="465"/>
      <c r="BE452" s="465"/>
      <c r="BF452" s="465"/>
      <c r="BG452" s="465"/>
      <c r="BH452" s="465"/>
      <c r="BI452" s="465"/>
      <c r="BJ452" s="465"/>
      <c r="BK452" s="465"/>
      <c r="BL452" s="465"/>
      <c r="BM452" s="465"/>
      <c r="BN452" s="465"/>
      <c r="BO452" s="465"/>
      <c r="BP452" s="465"/>
      <c r="BQ452" s="465"/>
      <c r="BR452" s="465"/>
      <c r="BS452" s="465"/>
      <c r="BT452" s="465"/>
      <c r="BU452" s="465"/>
      <c r="BV452" s="465"/>
      <c r="BW452" s="465"/>
      <c r="BX452" s="465"/>
      <c r="BY452" s="465"/>
    </row>
    <row r="453" spans="2:77" s="28" customFormat="1">
      <c r="B453" s="201"/>
      <c r="D453" s="418"/>
      <c r="E453" s="29"/>
      <c r="G453" s="421"/>
      <c r="H453" s="422"/>
      <c r="I453" s="422"/>
      <c r="J453" s="422"/>
      <c r="K453" s="422"/>
      <c r="L453" s="422"/>
      <c r="P453" s="470"/>
      <c r="AJ453" s="31"/>
      <c r="AK453" s="31"/>
      <c r="AL453" s="32"/>
      <c r="AM453" s="33"/>
      <c r="AN453" s="32"/>
      <c r="AO453" s="33"/>
      <c r="AP453" s="32"/>
      <c r="AQ453" s="32"/>
      <c r="AR453" s="201"/>
      <c r="AS453" s="201"/>
      <c r="AT453" s="201"/>
      <c r="AU453" s="201"/>
      <c r="AV453" s="201"/>
      <c r="AW453" s="201"/>
      <c r="AX453" s="201"/>
      <c r="AY453" s="201"/>
      <c r="AZ453" s="201"/>
      <c r="BA453" s="201"/>
      <c r="BB453" s="201"/>
      <c r="BC453" s="201"/>
      <c r="BD453" s="465"/>
      <c r="BE453" s="465"/>
      <c r="BF453" s="465"/>
      <c r="BG453" s="465"/>
      <c r="BH453" s="465"/>
      <c r="BI453" s="465"/>
      <c r="BJ453" s="465"/>
      <c r="BK453" s="465"/>
      <c r="BL453" s="465"/>
      <c r="BM453" s="465"/>
      <c r="BN453" s="465"/>
      <c r="BO453" s="465"/>
      <c r="BP453" s="465"/>
      <c r="BQ453" s="465"/>
      <c r="BR453" s="465"/>
      <c r="BS453" s="465"/>
      <c r="BT453" s="465"/>
      <c r="BU453" s="465"/>
      <c r="BV453" s="465"/>
      <c r="BW453" s="465"/>
      <c r="BX453" s="465"/>
      <c r="BY453" s="465"/>
    </row>
    <row r="454" spans="2:77" s="28" customFormat="1">
      <c r="B454" s="201"/>
      <c r="D454" s="418"/>
      <c r="E454" s="29"/>
      <c r="G454" s="421"/>
      <c r="H454" s="422"/>
      <c r="I454" s="422"/>
      <c r="J454" s="422"/>
      <c r="K454" s="422"/>
      <c r="L454" s="422"/>
      <c r="P454" s="471"/>
      <c r="AJ454" s="31"/>
      <c r="AK454" s="31"/>
      <c r="AL454" s="32"/>
      <c r="AM454" s="33"/>
      <c r="AN454" s="32"/>
      <c r="AO454" s="33"/>
      <c r="AP454" s="32"/>
      <c r="AQ454" s="32"/>
      <c r="AR454" s="201"/>
      <c r="AS454" s="201"/>
      <c r="AT454" s="201"/>
      <c r="AU454" s="201"/>
      <c r="AV454" s="201"/>
      <c r="AW454" s="201"/>
      <c r="AX454" s="201"/>
      <c r="AY454" s="201"/>
      <c r="AZ454" s="201"/>
      <c r="BA454" s="201"/>
      <c r="BB454" s="201"/>
      <c r="BC454" s="201"/>
      <c r="BD454" s="465"/>
      <c r="BE454" s="465"/>
      <c r="BF454" s="465"/>
      <c r="BG454" s="465"/>
      <c r="BH454" s="465"/>
      <c r="BI454" s="465"/>
      <c r="BJ454" s="465"/>
      <c r="BK454" s="465"/>
      <c r="BL454" s="465"/>
      <c r="BM454" s="465"/>
      <c r="BN454" s="465"/>
      <c r="BO454" s="465"/>
      <c r="BP454" s="465"/>
      <c r="BQ454" s="465"/>
      <c r="BR454" s="465"/>
      <c r="BS454" s="465"/>
      <c r="BT454" s="465"/>
      <c r="BU454" s="465"/>
      <c r="BV454" s="465"/>
      <c r="BW454" s="465"/>
      <c r="BX454" s="465"/>
      <c r="BY454" s="465"/>
    </row>
    <row r="455" spans="2:77" s="28" customFormat="1">
      <c r="B455" s="201"/>
      <c r="D455" s="418"/>
      <c r="E455" s="29"/>
      <c r="G455" s="421"/>
      <c r="H455" s="422"/>
      <c r="I455" s="422"/>
      <c r="J455" s="422"/>
      <c r="K455" s="422"/>
      <c r="L455" s="422"/>
      <c r="P455" s="475"/>
      <c r="AJ455" s="31"/>
      <c r="AK455" s="31"/>
      <c r="AL455" s="32"/>
      <c r="AM455" s="33"/>
      <c r="AN455" s="32"/>
      <c r="AO455" s="33"/>
      <c r="AP455" s="32"/>
      <c r="AQ455" s="32"/>
      <c r="AR455" s="201"/>
      <c r="AS455" s="201"/>
      <c r="AT455" s="201"/>
      <c r="AU455" s="201"/>
      <c r="AV455" s="201"/>
      <c r="AW455" s="201"/>
      <c r="AX455" s="201"/>
      <c r="AY455" s="201"/>
      <c r="AZ455" s="201"/>
      <c r="BA455" s="201"/>
      <c r="BB455" s="201"/>
      <c r="BC455" s="201"/>
      <c r="BD455" s="465"/>
      <c r="BE455" s="465"/>
      <c r="BF455" s="465"/>
      <c r="BG455" s="465"/>
      <c r="BH455" s="465"/>
      <c r="BI455" s="465"/>
      <c r="BJ455" s="465"/>
      <c r="BK455" s="465"/>
      <c r="BL455" s="465"/>
      <c r="BM455" s="465"/>
      <c r="BN455" s="465"/>
      <c r="BO455" s="465"/>
      <c r="BP455" s="465"/>
      <c r="BQ455" s="465"/>
      <c r="BR455" s="465"/>
      <c r="BS455" s="465"/>
      <c r="BT455" s="465"/>
      <c r="BU455" s="465"/>
      <c r="BV455" s="465"/>
      <c r="BW455" s="465"/>
      <c r="BX455" s="465"/>
      <c r="BY455" s="465"/>
    </row>
    <row r="456" spans="2:77" s="28" customFormat="1">
      <c r="B456" s="201"/>
      <c r="D456" s="418"/>
      <c r="E456" s="29"/>
      <c r="G456" s="421"/>
      <c r="H456" s="422"/>
      <c r="I456" s="422"/>
      <c r="J456" s="422"/>
      <c r="K456" s="422"/>
      <c r="L456" s="422"/>
      <c r="P456" s="473"/>
      <c r="AJ456" s="31"/>
      <c r="AK456" s="31"/>
      <c r="AL456" s="32"/>
      <c r="AM456" s="33"/>
      <c r="AN456" s="32"/>
      <c r="AO456" s="33"/>
      <c r="AP456" s="32"/>
      <c r="AQ456" s="32"/>
      <c r="AR456" s="201"/>
      <c r="AS456" s="201"/>
      <c r="AT456" s="201"/>
      <c r="AU456" s="201"/>
      <c r="AV456" s="201"/>
      <c r="AW456" s="201"/>
      <c r="AX456" s="201"/>
      <c r="AY456" s="201"/>
      <c r="AZ456" s="201"/>
      <c r="BA456" s="201"/>
      <c r="BB456" s="201"/>
      <c r="BC456" s="201"/>
      <c r="BD456" s="465"/>
      <c r="BE456" s="465"/>
      <c r="BF456" s="465"/>
      <c r="BG456" s="465"/>
      <c r="BH456" s="465"/>
      <c r="BI456" s="465"/>
      <c r="BJ456" s="465"/>
      <c r="BK456" s="465"/>
      <c r="BL456" s="465"/>
      <c r="BM456" s="465"/>
      <c r="BN456" s="465"/>
      <c r="BO456" s="465"/>
      <c r="BP456" s="465"/>
      <c r="BQ456" s="465"/>
      <c r="BR456" s="465"/>
      <c r="BS456" s="465"/>
      <c r="BT456" s="465"/>
      <c r="BU456" s="465"/>
      <c r="BV456" s="465"/>
      <c r="BW456" s="465"/>
      <c r="BX456" s="465"/>
      <c r="BY456" s="465"/>
    </row>
    <row r="457" spans="2:77" s="28" customFormat="1">
      <c r="B457" s="201"/>
      <c r="D457" s="418"/>
      <c r="E457" s="29"/>
      <c r="G457" s="421"/>
      <c r="H457" s="422"/>
      <c r="I457" s="422"/>
      <c r="J457" s="422"/>
      <c r="K457" s="422"/>
      <c r="L457" s="422"/>
      <c r="P457" s="470"/>
      <c r="AJ457" s="31"/>
      <c r="AK457" s="31"/>
      <c r="AL457" s="32"/>
      <c r="AM457" s="33"/>
      <c r="AN457" s="32"/>
      <c r="AO457" s="33"/>
      <c r="AP457" s="32"/>
      <c r="AQ457" s="32"/>
      <c r="AR457" s="201"/>
      <c r="AS457" s="201"/>
      <c r="AT457" s="201"/>
      <c r="AU457" s="201"/>
      <c r="AV457" s="201"/>
      <c r="AW457" s="201"/>
      <c r="AX457" s="201"/>
      <c r="AY457" s="201"/>
      <c r="AZ457" s="201"/>
      <c r="BA457" s="201"/>
      <c r="BB457" s="201"/>
      <c r="BC457" s="201"/>
      <c r="BD457" s="465"/>
      <c r="BE457" s="465"/>
      <c r="BF457" s="465"/>
      <c r="BG457" s="465"/>
      <c r="BH457" s="465"/>
      <c r="BI457" s="465"/>
      <c r="BJ457" s="465"/>
      <c r="BK457" s="465"/>
      <c r="BL457" s="465"/>
      <c r="BM457" s="465"/>
      <c r="BN457" s="465"/>
      <c r="BO457" s="465"/>
      <c r="BP457" s="465"/>
      <c r="BQ457" s="465"/>
      <c r="BR457" s="465"/>
      <c r="BS457" s="465"/>
      <c r="BT457" s="465"/>
      <c r="BU457" s="465"/>
      <c r="BV457" s="465"/>
      <c r="BW457" s="465"/>
      <c r="BX457" s="465"/>
      <c r="BY457" s="465"/>
    </row>
    <row r="458" spans="2:77" s="28" customFormat="1">
      <c r="B458" s="201"/>
      <c r="D458" s="418"/>
      <c r="E458" s="29"/>
      <c r="G458" s="421"/>
      <c r="H458" s="422"/>
      <c r="I458" s="422"/>
      <c r="J458" s="422"/>
      <c r="K458" s="422"/>
      <c r="L458" s="422"/>
      <c r="P458" s="470"/>
      <c r="AJ458" s="31"/>
      <c r="AK458" s="31"/>
      <c r="AL458" s="32"/>
      <c r="AM458" s="33"/>
      <c r="AN458" s="32"/>
      <c r="AO458" s="33"/>
      <c r="AP458" s="32"/>
      <c r="AQ458" s="32"/>
      <c r="AR458" s="201"/>
      <c r="AS458" s="201"/>
      <c r="AT458" s="201"/>
      <c r="AU458" s="201"/>
      <c r="AV458" s="201"/>
      <c r="AW458" s="201"/>
      <c r="AX458" s="201"/>
      <c r="AY458" s="201"/>
      <c r="AZ458" s="201"/>
      <c r="BA458" s="201"/>
      <c r="BB458" s="201"/>
      <c r="BC458" s="201"/>
      <c r="BD458" s="465"/>
      <c r="BE458" s="465"/>
      <c r="BF458" s="465"/>
      <c r="BG458" s="465"/>
      <c r="BH458" s="465"/>
      <c r="BI458" s="465"/>
      <c r="BJ458" s="465"/>
      <c r="BK458" s="465"/>
      <c r="BL458" s="465"/>
      <c r="BM458" s="465"/>
      <c r="BN458" s="465"/>
      <c r="BO458" s="465"/>
      <c r="BP458" s="465"/>
      <c r="BQ458" s="465"/>
      <c r="BR458" s="465"/>
      <c r="BS458" s="465"/>
      <c r="BT458" s="465"/>
      <c r="BU458" s="465"/>
      <c r="BV458" s="465"/>
      <c r="BW458" s="465"/>
      <c r="BX458" s="465"/>
      <c r="BY458" s="465"/>
    </row>
    <row r="459" spans="2:77" s="28" customFormat="1">
      <c r="B459" s="201"/>
      <c r="D459" s="418"/>
      <c r="E459" s="29"/>
      <c r="G459" s="421"/>
      <c r="H459" s="422"/>
      <c r="I459" s="422"/>
      <c r="J459" s="422"/>
      <c r="K459" s="422"/>
      <c r="L459" s="422"/>
      <c r="P459" s="472"/>
      <c r="AJ459" s="31"/>
      <c r="AK459" s="31"/>
      <c r="AL459" s="32"/>
      <c r="AM459" s="33"/>
      <c r="AN459" s="32"/>
      <c r="AO459" s="33"/>
      <c r="AP459" s="32"/>
      <c r="AQ459" s="32"/>
      <c r="AR459" s="201"/>
      <c r="AS459" s="201"/>
      <c r="AT459" s="201"/>
      <c r="AU459" s="201"/>
      <c r="AV459" s="201"/>
      <c r="AW459" s="201"/>
      <c r="AX459" s="201"/>
      <c r="AY459" s="201"/>
      <c r="AZ459" s="201"/>
      <c r="BA459" s="201"/>
      <c r="BB459" s="201"/>
      <c r="BC459" s="201"/>
      <c r="BD459" s="465"/>
      <c r="BE459" s="465"/>
      <c r="BF459" s="465"/>
      <c r="BG459" s="465"/>
      <c r="BH459" s="465"/>
      <c r="BI459" s="465"/>
      <c r="BJ459" s="465"/>
      <c r="BK459" s="465"/>
      <c r="BL459" s="465"/>
      <c r="BM459" s="465"/>
      <c r="BN459" s="465"/>
      <c r="BO459" s="465"/>
      <c r="BP459" s="465"/>
      <c r="BQ459" s="465"/>
      <c r="BR459" s="465"/>
      <c r="BS459" s="465"/>
      <c r="BT459" s="465"/>
      <c r="BU459" s="465"/>
      <c r="BV459" s="465"/>
      <c r="BW459" s="465"/>
      <c r="BX459" s="465"/>
      <c r="BY459" s="465"/>
    </row>
    <row r="460" spans="2:77" s="28" customFormat="1">
      <c r="B460" s="201"/>
      <c r="D460" s="418"/>
      <c r="E460" s="29"/>
      <c r="G460" s="421"/>
      <c r="H460" s="422"/>
      <c r="I460" s="422"/>
      <c r="J460" s="422"/>
      <c r="K460" s="422"/>
      <c r="L460" s="422"/>
      <c r="P460" s="469"/>
      <c r="AJ460" s="31"/>
      <c r="AK460" s="31"/>
      <c r="AL460" s="32"/>
      <c r="AM460" s="33"/>
      <c r="AN460" s="32"/>
      <c r="AO460" s="33"/>
      <c r="AP460" s="32"/>
      <c r="AQ460" s="32"/>
      <c r="AR460" s="201"/>
      <c r="AS460" s="201"/>
      <c r="AT460" s="201"/>
      <c r="AU460" s="201"/>
      <c r="AV460" s="201"/>
      <c r="AW460" s="201"/>
      <c r="AX460" s="201"/>
      <c r="AY460" s="201"/>
      <c r="AZ460" s="201"/>
      <c r="BA460" s="201"/>
      <c r="BB460" s="201"/>
      <c r="BC460" s="201"/>
      <c r="BD460" s="465"/>
      <c r="BE460" s="465"/>
      <c r="BF460" s="465"/>
      <c r="BG460" s="465"/>
      <c r="BH460" s="465"/>
      <c r="BI460" s="465"/>
      <c r="BJ460" s="465"/>
      <c r="BK460" s="465"/>
      <c r="BL460" s="465"/>
      <c r="BM460" s="465"/>
      <c r="BN460" s="465"/>
      <c r="BO460" s="465"/>
      <c r="BP460" s="465"/>
      <c r="BQ460" s="465"/>
      <c r="BR460" s="465"/>
      <c r="BS460" s="465"/>
      <c r="BT460" s="465"/>
      <c r="BU460" s="465"/>
      <c r="BV460" s="465"/>
      <c r="BW460" s="465"/>
      <c r="BX460" s="465"/>
      <c r="BY460" s="465"/>
    </row>
    <row r="461" spans="2:77" s="28" customFormat="1">
      <c r="B461" s="201"/>
      <c r="D461" s="418"/>
      <c r="E461" s="29"/>
      <c r="G461" s="421"/>
      <c r="H461" s="422"/>
      <c r="I461" s="422"/>
      <c r="J461" s="422"/>
      <c r="K461" s="422"/>
      <c r="L461" s="422"/>
      <c r="P461" s="470"/>
      <c r="AJ461" s="31"/>
      <c r="AK461" s="31"/>
      <c r="AL461" s="32"/>
      <c r="AM461" s="33"/>
      <c r="AN461" s="32"/>
      <c r="AO461" s="33"/>
      <c r="AP461" s="32"/>
      <c r="AQ461" s="32"/>
      <c r="AR461" s="201"/>
      <c r="AS461" s="201"/>
      <c r="AT461" s="201"/>
      <c r="AU461" s="201"/>
      <c r="AV461" s="201"/>
      <c r="AW461" s="201"/>
      <c r="AX461" s="201"/>
      <c r="AY461" s="201"/>
      <c r="AZ461" s="201"/>
      <c r="BA461" s="201"/>
      <c r="BB461" s="201"/>
      <c r="BC461" s="201"/>
      <c r="BD461" s="465"/>
      <c r="BE461" s="465"/>
      <c r="BF461" s="465"/>
      <c r="BG461" s="465"/>
      <c r="BH461" s="465"/>
      <c r="BI461" s="465"/>
      <c r="BJ461" s="465"/>
      <c r="BK461" s="465"/>
      <c r="BL461" s="465"/>
      <c r="BM461" s="465"/>
      <c r="BN461" s="465"/>
      <c r="BO461" s="465"/>
      <c r="BP461" s="465"/>
      <c r="BQ461" s="465"/>
      <c r="BR461" s="465"/>
      <c r="BS461" s="465"/>
      <c r="BT461" s="465"/>
      <c r="BU461" s="465"/>
      <c r="BV461" s="465"/>
      <c r="BW461" s="465"/>
      <c r="BX461" s="465"/>
      <c r="BY461" s="465"/>
    </row>
    <row r="462" spans="2:77" s="28" customFormat="1">
      <c r="B462" s="201"/>
      <c r="D462" s="418"/>
      <c r="E462" s="29"/>
      <c r="G462" s="421"/>
      <c r="H462" s="422"/>
      <c r="I462" s="422"/>
      <c r="J462" s="422"/>
      <c r="K462" s="422"/>
      <c r="L462" s="422"/>
      <c r="P462" s="475"/>
      <c r="AJ462" s="31"/>
      <c r="AK462" s="31"/>
      <c r="AL462" s="32"/>
      <c r="AM462" s="33"/>
      <c r="AN462" s="32"/>
      <c r="AO462" s="33"/>
      <c r="AP462" s="32"/>
      <c r="AQ462" s="32"/>
      <c r="AR462" s="201"/>
      <c r="AS462" s="201"/>
      <c r="AT462" s="201"/>
      <c r="AU462" s="201"/>
      <c r="AV462" s="201"/>
      <c r="AW462" s="201"/>
      <c r="AX462" s="201"/>
      <c r="AY462" s="201"/>
      <c r="AZ462" s="201"/>
      <c r="BA462" s="201"/>
      <c r="BB462" s="201"/>
      <c r="BC462" s="201"/>
      <c r="BD462" s="465"/>
      <c r="BE462" s="465"/>
      <c r="BF462" s="465"/>
      <c r="BG462" s="465"/>
      <c r="BH462" s="465"/>
      <c r="BI462" s="465"/>
      <c r="BJ462" s="465"/>
      <c r="BK462" s="465"/>
      <c r="BL462" s="465"/>
      <c r="BM462" s="465"/>
      <c r="BN462" s="465"/>
      <c r="BO462" s="465"/>
      <c r="BP462" s="465"/>
      <c r="BQ462" s="465"/>
      <c r="BR462" s="465"/>
      <c r="BS462" s="465"/>
      <c r="BT462" s="465"/>
      <c r="BU462" s="465"/>
      <c r="BV462" s="465"/>
      <c r="BW462" s="465"/>
      <c r="BX462" s="465"/>
      <c r="BY462" s="465"/>
    </row>
    <row r="463" spans="2:77" s="28" customFormat="1">
      <c r="B463" s="201"/>
      <c r="D463" s="418"/>
      <c r="E463" s="29"/>
      <c r="G463" s="421"/>
      <c r="H463" s="422"/>
      <c r="I463" s="422"/>
      <c r="J463" s="422"/>
      <c r="K463" s="422"/>
      <c r="L463" s="422"/>
      <c r="P463" s="473"/>
      <c r="AJ463" s="31"/>
      <c r="AK463" s="31"/>
      <c r="AL463" s="32"/>
      <c r="AM463" s="33"/>
      <c r="AN463" s="32"/>
      <c r="AO463" s="33"/>
      <c r="AP463" s="32"/>
      <c r="AQ463" s="32"/>
      <c r="AR463" s="201"/>
      <c r="AS463" s="201"/>
      <c r="AT463" s="201"/>
      <c r="AU463" s="201"/>
      <c r="AV463" s="201"/>
      <c r="AW463" s="201"/>
      <c r="AX463" s="201"/>
      <c r="AY463" s="201"/>
      <c r="AZ463" s="201"/>
      <c r="BA463" s="201"/>
      <c r="BB463" s="201"/>
      <c r="BC463" s="201"/>
      <c r="BD463" s="465"/>
      <c r="BE463" s="465"/>
      <c r="BF463" s="465"/>
      <c r="BG463" s="465"/>
      <c r="BH463" s="465"/>
      <c r="BI463" s="465"/>
      <c r="BJ463" s="465"/>
      <c r="BK463" s="465"/>
      <c r="BL463" s="465"/>
      <c r="BM463" s="465"/>
      <c r="BN463" s="465"/>
      <c r="BO463" s="465"/>
      <c r="BP463" s="465"/>
      <c r="BQ463" s="465"/>
      <c r="BR463" s="465"/>
      <c r="BS463" s="465"/>
      <c r="BT463" s="465"/>
      <c r="BU463" s="465"/>
      <c r="BV463" s="465"/>
      <c r="BW463" s="465"/>
      <c r="BX463" s="465"/>
      <c r="BY463" s="465"/>
    </row>
    <row r="464" spans="2:77" s="28" customFormat="1">
      <c r="B464" s="201"/>
      <c r="D464" s="418"/>
      <c r="E464" s="29"/>
      <c r="G464" s="421"/>
      <c r="H464" s="422"/>
      <c r="I464" s="422"/>
      <c r="J464" s="422"/>
      <c r="K464" s="422"/>
      <c r="L464" s="422"/>
      <c r="P464" s="470"/>
      <c r="AJ464" s="31"/>
      <c r="AK464" s="31"/>
      <c r="AL464" s="32"/>
      <c r="AM464" s="33"/>
      <c r="AN464" s="32"/>
      <c r="AO464" s="33"/>
      <c r="AP464" s="32"/>
      <c r="AQ464" s="32"/>
      <c r="AR464" s="201"/>
      <c r="AS464" s="201"/>
      <c r="AT464" s="201"/>
      <c r="AU464" s="201"/>
      <c r="AV464" s="201"/>
      <c r="AW464" s="201"/>
      <c r="AX464" s="201"/>
      <c r="AY464" s="201"/>
      <c r="AZ464" s="201"/>
      <c r="BA464" s="201"/>
      <c r="BB464" s="201"/>
      <c r="BC464" s="201"/>
      <c r="BD464" s="465"/>
      <c r="BE464" s="465"/>
      <c r="BF464" s="465"/>
      <c r="BG464" s="465"/>
      <c r="BH464" s="465"/>
      <c r="BI464" s="465"/>
      <c r="BJ464" s="465"/>
      <c r="BK464" s="465"/>
      <c r="BL464" s="465"/>
      <c r="BM464" s="465"/>
      <c r="BN464" s="465"/>
      <c r="BO464" s="465"/>
      <c r="BP464" s="465"/>
      <c r="BQ464" s="465"/>
      <c r="BR464" s="465"/>
      <c r="BS464" s="465"/>
      <c r="BT464" s="465"/>
      <c r="BU464" s="465"/>
      <c r="BV464" s="465"/>
      <c r="BW464" s="465"/>
      <c r="BX464" s="465"/>
      <c r="BY464" s="465"/>
    </row>
    <row r="465" spans="2:77" s="28" customFormat="1">
      <c r="B465" s="201"/>
      <c r="D465" s="418"/>
      <c r="E465" s="29"/>
      <c r="G465" s="421"/>
      <c r="H465" s="422"/>
      <c r="I465" s="422"/>
      <c r="J465" s="422"/>
      <c r="K465" s="422"/>
      <c r="L465" s="422"/>
      <c r="P465" s="474"/>
      <c r="AJ465" s="31"/>
      <c r="AK465" s="31"/>
      <c r="AL465" s="32"/>
      <c r="AM465" s="33"/>
      <c r="AN465" s="32"/>
      <c r="AO465" s="33"/>
      <c r="AP465" s="32"/>
      <c r="AQ465" s="32"/>
      <c r="AR465" s="201"/>
      <c r="AS465" s="201"/>
      <c r="AT465" s="201"/>
      <c r="AU465" s="201"/>
      <c r="AV465" s="201"/>
      <c r="AW465" s="201"/>
      <c r="AX465" s="201"/>
      <c r="AY465" s="201"/>
      <c r="AZ465" s="201"/>
      <c r="BA465" s="201"/>
      <c r="BB465" s="201"/>
      <c r="BC465" s="201"/>
      <c r="BD465" s="465"/>
      <c r="BE465" s="465"/>
      <c r="BF465" s="465"/>
      <c r="BG465" s="465"/>
      <c r="BH465" s="465"/>
      <c r="BI465" s="465"/>
      <c r="BJ465" s="465"/>
      <c r="BK465" s="465"/>
      <c r="BL465" s="465"/>
      <c r="BM465" s="465"/>
      <c r="BN465" s="465"/>
      <c r="BO465" s="465"/>
      <c r="BP465" s="465"/>
      <c r="BQ465" s="465"/>
      <c r="BR465" s="465"/>
      <c r="BS465" s="465"/>
      <c r="BT465" s="465"/>
      <c r="BU465" s="465"/>
      <c r="BV465" s="465"/>
      <c r="BW465" s="465"/>
      <c r="BX465" s="465"/>
      <c r="BY465" s="465"/>
    </row>
    <row r="466" spans="2:77" s="28" customFormat="1">
      <c r="B466" s="201"/>
      <c r="D466" s="418"/>
      <c r="E466" s="29"/>
      <c r="G466" s="421"/>
      <c r="H466" s="422"/>
      <c r="I466" s="422"/>
      <c r="J466" s="422"/>
      <c r="K466" s="422"/>
      <c r="L466" s="422"/>
      <c r="P466" s="470"/>
      <c r="AJ466" s="31"/>
      <c r="AK466" s="31"/>
      <c r="AL466" s="32"/>
      <c r="AM466" s="33"/>
      <c r="AN466" s="32"/>
      <c r="AO466" s="33"/>
      <c r="AP466" s="32"/>
      <c r="AQ466" s="32"/>
      <c r="AR466" s="201"/>
      <c r="AS466" s="201"/>
      <c r="AT466" s="201"/>
      <c r="AU466" s="201"/>
      <c r="AV466" s="201"/>
      <c r="AW466" s="201"/>
      <c r="AX466" s="201"/>
      <c r="AY466" s="201"/>
      <c r="AZ466" s="201"/>
      <c r="BA466" s="201"/>
      <c r="BB466" s="201"/>
      <c r="BC466" s="201"/>
      <c r="BD466" s="465"/>
      <c r="BE466" s="465"/>
      <c r="BF466" s="465"/>
      <c r="BG466" s="465"/>
      <c r="BH466" s="465"/>
      <c r="BI466" s="465"/>
      <c r="BJ466" s="465"/>
      <c r="BK466" s="465"/>
      <c r="BL466" s="465"/>
      <c r="BM466" s="465"/>
      <c r="BN466" s="465"/>
      <c r="BO466" s="465"/>
      <c r="BP466" s="465"/>
      <c r="BQ466" s="465"/>
      <c r="BR466" s="465"/>
      <c r="BS466" s="465"/>
      <c r="BT466" s="465"/>
      <c r="BU466" s="465"/>
      <c r="BV466" s="465"/>
      <c r="BW466" s="465"/>
      <c r="BX466" s="465"/>
      <c r="BY466" s="465"/>
    </row>
    <row r="467" spans="2:77" s="28" customFormat="1">
      <c r="B467" s="201"/>
      <c r="D467" s="418"/>
      <c r="E467" s="29"/>
      <c r="G467" s="421"/>
      <c r="H467" s="422"/>
      <c r="I467" s="422"/>
      <c r="J467" s="422"/>
      <c r="K467" s="422"/>
      <c r="L467" s="422"/>
      <c r="P467" s="470"/>
      <c r="AJ467" s="31"/>
      <c r="AK467" s="31"/>
      <c r="AL467" s="32"/>
      <c r="AM467" s="33"/>
      <c r="AN467" s="32"/>
      <c r="AO467" s="33"/>
      <c r="AP467" s="32"/>
      <c r="AQ467" s="32"/>
      <c r="AR467" s="201"/>
      <c r="AS467" s="201"/>
      <c r="AT467" s="201"/>
      <c r="AU467" s="201"/>
      <c r="AV467" s="201"/>
      <c r="AW467" s="201"/>
      <c r="AX467" s="201"/>
      <c r="AY467" s="201"/>
      <c r="AZ467" s="201"/>
      <c r="BA467" s="201"/>
      <c r="BB467" s="201"/>
      <c r="BC467" s="201"/>
      <c r="BD467" s="465"/>
      <c r="BE467" s="465"/>
      <c r="BF467" s="465"/>
      <c r="BG467" s="465"/>
      <c r="BH467" s="465"/>
      <c r="BI467" s="465"/>
      <c r="BJ467" s="465"/>
      <c r="BK467" s="465"/>
      <c r="BL467" s="465"/>
      <c r="BM467" s="465"/>
      <c r="BN467" s="465"/>
      <c r="BO467" s="465"/>
      <c r="BP467" s="465"/>
      <c r="BQ467" s="465"/>
      <c r="BR467" s="465"/>
      <c r="BS467" s="465"/>
      <c r="BT467" s="465"/>
      <c r="BU467" s="465"/>
      <c r="BV467" s="465"/>
      <c r="BW467" s="465"/>
      <c r="BX467" s="465"/>
      <c r="BY467" s="465"/>
    </row>
    <row r="468" spans="2:77" s="28" customFormat="1">
      <c r="B468" s="201"/>
      <c r="D468" s="418"/>
      <c r="E468" s="29"/>
      <c r="G468" s="421"/>
      <c r="H468" s="422"/>
      <c r="I468" s="422"/>
      <c r="J468" s="422"/>
      <c r="K468" s="422"/>
      <c r="L468" s="422"/>
      <c r="P468" s="472"/>
      <c r="AJ468" s="31"/>
      <c r="AK468" s="31"/>
      <c r="AL468" s="32"/>
      <c r="AM468" s="33"/>
      <c r="AN468" s="32"/>
      <c r="AO468" s="33"/>
      <c r="AP468" s="32"/>
      <c r="AQ468" s="32"/>
      <c r="AR468" s="201"/>
      <c r="AS468" s="201"/>
      <c r="AT468" s="201"/>
      <c r="AU468" s="201"/>
      <c r="AV468" s="201"/>
      <c r="AW468" s="201"/>
      <c r="AX468" s="201"/>
      <c r="AY468" s="201"/>
      <c r="AZ468" s="201"/>
      <c r="BA468" s="201"/>
      <c r="BB468" s="201"/>
      <c r="BC468" s="201"/>
      <c r="BD468" s="465"/>
      <c r="BE468" s="465"/>
      <c r="BF468" s="465"/>
      <c r="BG468" s="465"/>
      <c r="BH468" s="465"/>
      <c r="BI468" s="465"/>
      <c r="BJ468" s="465"/>
      <c r="BK468" s="465"/>
      <c r="BL468" s="465"/>
      <c r="BM468" s="465"/>
      <c r="BN468" s="465"/>
      <c r="BO468" s="465"/>
      <c r="BP468" s="465"/>
      <c r="BQ468" s="465"/>
      <c r="BR468" s="465"/>
      <c r="BS468" s="465"/>
      <c r="BT468" s="465"/>
      <c r="BU468" s="465"/>
      <c r="BV468" s="465"/>
      <c r="BW468" s="465"/>
      <c r="BX468" s="465"/>
      <c r="BY468" s="465"/>
    </row>
    <row r="469" spans="2:77" s="28" customFormat="1">
      <c r="B469" s="201"/>
      <c r="D469" s="418"/>
      <c r="E469" s="29"/>
      <c r="G469" s="421"/>
      <c r="H469" s="422"/>
      <c r="I469" s="422"/>
      <c r="J469" s="422"/>
      <c r="K469" s="422"/>
      <c r="L469" s="422"/>
      <c r="P469" s="470"/>
      <c r="AJ469" s="31"/>
      <c r="AK469" s="31"/>
      <c r="AL469" s="32"/>
      <c r="AM469" s="33"/>
      <c r="AN469" s="32"/>
      <c r="AO469" s="33"/>
      <c r="AP469" s="32"/>
      <c r="AQ469" s="32"/>
      <c r="AR469" s="201"/>
      <c r="AS469" s="201"/>
      <c r="AT469" s="201"/>
      <c r="AU469" s="201"/>
      <c r="AV469" s="201"/>
      <c r="AW469" s="201"/>
      <c r="AX469" s="201"/>
      <c r="AY469" s="201"/>
      <c r="AZ469" s="201"/>
      <c r="BA469" s="201"/>
      <c r="BB469" s="201"/>
      <c r="BC469" s="201"/>
      <c r="BD469" s="465"/>
      <c r="BE469" s="465"/>
      <c r="BF469" s="465"/>
      <c r="BG469" s="465"/>
      <c r="BH469" s="465"/>
      <c r="BI469" s="465"/>
      <c r="BJ469" s="465"/>
      <c r="BK469" s="465"/>
      <c r="BL469" s="465"/>
      <c r="BM469" s="465"/>
      <c r="BN469" s="465"/>
      <c r="BO469" s="465"/>
      <c r="BP469" s="465"/>
      <c r="BQ469" s="465"/>
      <c r="BR469" s="465"/>
      <c r="BS469" s="465"/>
      <c r="BT469" s="465"/>
      <c r="BU469" s="465"/>
      <c r="BV469" s="465"/>
      <c r="BW469" s="465"/>
      <c r="BX469" s="465"/>
      <c r="BY469" s="465"/>
    </row>
    <row r="470" spans="2:77" s="28" customFormat="1">
      <c r="B470" s="201"/>
      <c r="D470" s="418"/>
      <c r="E470" s="29"/>
      <c r="G470" s="421"/>
      <c r="H470" s="422"/>
      <c r="I470" s="422"/>
      <c r="J470" s="422"/>
      <c r="K470" s="422"/>
      <c r="L470" s="422"/>
      <c r="P470" s="470"/>
      <c r="AJ470" s="31"/>
      <c r="AK470" s="31"/>
      <c r="AL470" s="32"/>
      <c r="AM470" s="33"/>
      <c r="AN470" s="32"/>
      <c r="AO470" s="33"/>
      <c r="AP470" s="32"/>
      <c r="AQ470" s="32"/>
      <c r="AR470" s="201"/>
      <c r="AS470" s="201"/>
      <c r="AT470" s="201"/>
      <c r="AU470" s="201"/>
      <c r="AV470" s="201"/>
      <c r="AW470" s="201"/>
      <c r="AX470" s="201"/>
      <c r="AY470" s="201"/>
      <c r="AZ470" s="201"/>
      <c r="BA470" s="201"/>
      <c r="BB470" s="201"/>
      <c r="BC470" s="201"/>
      <c r="BD470" s="465"/>
      <c r="BE470" s="465"/>
      <c r="BF470" s="465"/>
      <c r="BG470" s="465"/>
      <c r="BH470" s="465"/>
      <c r="BI470" s="465"/>
      <c r="BJ470" s="465"/>
      <c r="BK470" s="465"/>
      <c r="BL470" s="465"/>
      <c r="BM470" s="465"/>
      <c r="BN470" s="465"/>
      <c r="BO470" s="465"/>
      <c r="BP470" s="465"/>
      <c r="BQ470" s="465"/>
      <c r="BR470" s="465"/>
      <c r="BS470" s="465"/>
      <c r="BT470" s="465"/>
      <c r="BU470" s="465"/>
      <c r="BV470" s="465"/>
      <c r="BW470" s="465"/>
      <c r="BX470" s="465"/>
      <c r="BY470" s="465"/>
    </row>
    <row r="471" spans="2:77" s="28" customFormat="1">
      <c r="B471" s="201"/>
      <c r="D471" s="418"/>
      <c r="E471" s="29"/>
      <c r="G471" s="421"/>
      <c r="H471" s="422"/>
      <c r="I471" s="422"/>
      <c r="J471" s="422"/>
      <c r="K471" s="422"/>
      <c r="L471" s="422"/>
      <c r="P471" s="469"/>
      <c r="AJ471" s="31"/>
      <c r="AK471" s="31"/>
      <c r="AL471" s="32"/>
      <c r="AM471" s="33"/>
      <c r="AN471" s="32"/>
      <c r="AO471" s="33"/>
      <c r="AP471" s="32"/>
      <c r="AQ471" s="32"/>
      <c r="AR471" s="201"/>
      <c r="AS471" s="201"/>
      <c r="AT471" s="201"/>
      <c r="AU471" s="201"/>
      <c r="AV471" s="201"/>
      <c r="AW471" s="201"/>
      <c r="AX471" s="201"/>
      <c r="AY471" s="201"/>
      <c r="AZ471" s="201"/>
      <c r="BA471" s="201"/>
      <c r="BB471" s="201"/>
      <c r="BC471" s="201"/>
      <c r="BD471" s="465"/>
      <c r="BE471" s="465"/>
      <c r="BF471" s="465"/>
      <c r="BG471" s="465"/>
      <c r="BH471" s="465"/>
      <c r="BI471" s="465"/>
      <c r="BJ471" s="465"/>
      <c r="BK471" s="465"/>
      <c r="BL471" s="465"/>
      <c r="BM471" s="465"/>
      <c r="BN471" s="465"/>
      <c r="BO471" s="465"/>
      <c r="BP471" s="465"/>
      <c r="BQ471" s="465"/>
      <c r="BR471" s="465"/>
      <c r="BS471" s="465"/>
      <c r="BT471" s="465"/>
      <c r="BU471" s="465"/>
      <c r="BV471" s="465"/>
      <c r="BW471" s="465"/>
      <c r="BX471" s="465"/>
      <c r="BY471" s="465"/>
    </row>
    <row r="472" spans="2:77" s="28" customFormat="1">
      <c r="B472" s="201"/>
      <c r="D472" s="418"/>
      <c r="E472" s="29"/>
      <c r="G472" s="421"/>
      <c r="H472" s="422"/>
      <c r="I472" s="422"/>
      <c r="J472" s="422"/>
      <c r="K472" s="422"/>
      <c r="L472" s="422"/>
      <c r="P472" s="473"/>
      <c r="AJ472" s="31"/>
      <c r="AK472" s="31"/>
      <c r="AL472" s="32"/>
      <c r="AM472" s="33"/>
      <c r="AN472" s="32"/>
      <c r="AO472" s="33"/>
      <c r="AP472" s="32"/>
      <c r="AQ472" s="32"/>
      <c r="AR472" s="201"/>
      <c r="AS472" s="201"/>
      <c r="AT472" s="201"/>
      <c r="AU472" s="201"/>
      <c r="AV472" s="201"/>
      <c r="AW472" s="201"/>
      <c r="AX472" s="201"/>
      <c r="AY472" s="201"/>
      <c r="AZ472" s="201"/>
      <c r="BA472" s="201"/>
      <c r="BB472" s="201"/>
      <c r="BC472" s="201"/>
      <c r="BD472" s="465"/>
      <c r="BE472" s="465"/>
      <c r="BF472" s="465"/>
      <c r="BG472" s="465"/>
      <c r="BH472" s="465"/>
      <c r="BI472" s="465"/>
      <c r="BJ472" s="465"/>
      <c r="BK472" s="465"/>
      <c r="BL472" s="465"/>
      <c r="BM472" s="465"/>
      <c r="BN472" s="465"/>
      <c r="BO472" s="465"/>
      <c r="BP472" s="465"/>
      <c r="BQ472" s="465"/>
      <c r="BR472" s="465"/>
      <c r="BS472" s="465"/>
      <c r="BT472" s="465"/>
      <c r="BU472" s="465"/>
      <c r="BV472" s="465"/>
      <c r="BW472" s="465"/>
      <c r="BX472" s="465"/>
      <c r="BY472" s="465"/>
    </row>
    <row r="473" spans="2:77" s="28" customFormat="1">
      <c r="B473" s="201"/>
      <c r="D473" s="418"/>
      <c r="E473" s="29"/>
      <c r="G473" s="421"/>
      <c r="H473" s="422"/>
      <c r="I473" s="422"/>
      <c r="J473" s="422"/>
      <c r="K473" s="422"/>
      <c r="L473" s="422"/>
      <c r="P473" s="473"/>
      <c r="AJ473" s="31"/>
      <c r="AK473" s="31"/>
      <c r="AL473" s="32"/>
      <c r="AM473" s="33"/>
      <c r="AN473" s="32"/>
      <c r="AO473" s="33"/>
      <c r="AP473" s="32"/>
      <c r="AQ473" s="32"/>
      <c r="AR473" s="201"/>
      <c r="AS473" s="201"/>
      <c r="AT473" s="201"/>
      <c r="AU473" s="201"/>
      <c r="AV473" s="201"/>
      <c r="AW473" s="201"/>
      <c r="AX473" s="201"/>
      <c r="AY473" s="201"/>
      <c r="AZ473" s="201"/>
      <c r="BA473" s="201"/>
      <c r="BB473" s="201"/>
      <c r="BC473" s="201"/>
      <c r="BD473" s="465"/>
      <c r="BE473" s="465"/>
      <c r="BF473" s="465"/>
      <c r="BG473" s="465"/>
      <c r="BH473" s="465"/>
      <c r="BI473" s="465"/>
      <c r="BJ473" s="465"/>
      <c r="BK473" s="465"/>
      <c r="BL473" s="465"/>
      <c r="BM473" s="465"/>
      <c r="BN473" s="465"/>
      <c r="BO473" s="465"/>
      <c r="BP473" s="465"/>
      <c r="BQ473" s="465"/>
      <c r="BR473" s="465"/>
      <c r="BS473" s="465"/>
      <c r="BT473" s="465"/>
      <c r="BU473" s="465"/>
      <c r="BV473" s="465"/>
      <c r="BW473" s="465"/>
      <c r="BX473" s="465"/>
      <c r="BY473" s="465"/>
    </row>
    <row r="474" spans="2:77" s="28" customFormat="1">
      <c r="B474" s="201"/>
      <c r="D474" s="418"/>
      <c r="E474" s="29"/>
      <c r="G474" s="421"/>
      <c r="H474" s="422"/>
      <c r="I474" s="422"/>
      <c r="J474" s="422"/>
      <c r="K474" s="422"/>
      <c r="L474" s="422"/>
      <c r="P474" s="473"/>
      <c r="AJ474" s="31"/>
      <c r="AK474" s="31"/>
      <c r="AL474" s="32"/>
      <c r="AM474" s="33"/>
      <c r="AN474" s="32"/>
      <c r="AO474" s="33"/>
      <c r="AP474" s="32"/>
      <c r="AQ474" s="32"/>
      <c r="AR474" s="201"/>
      <c r="AS474" s="201"/>
      <c r="AT474" s="201"/>
      <c r="AU474" s="201"/>
      <c r="AV474" s="201"/>
      <c r="AW474" s="201"/>
      <c r="AX474" s="201"/>
      <c r="AY474" s="201"/>
      <c r="AZ474" s="201"/>
      <c r="BA474" s="201"/>
      <c r="BB474" s="201"/>
      <c r="BC474" s="201"/>
      <c r="BD474" s="465"/>
      <c r="BE474" s="465"/>
      <c r="BF474" s="465"/>
      <c r="BG474" s="465"/>
      <c r="BH474" s="465"/>
      <c r="BI474" s="465"/>
      <c r="BJ474" s="465"/>
      <c r="BK474" s="465"/>
      <c r="BL474" s="465"/>
      <c r="BM474" s="465"/>
      <c r="BN474" s="465"/>
      <c r="BO474" s="465"/>
      <c r="BP474" s="465"/>
      <c r="BQ474" s="465"/>
      <c r="BR474" s="465"/>
      <c r="BS474" s="465"/>
      <c r="BT474" s="465"/>
      <c r="BU474" s="465"/>
      <c r="BV474" s="465"/>
      <c r="BW474" s="465"/>
      <c r="BX474" s="465"/>
      <c r="BY474" s="465"/>
    </row>
    <row r="475" spans="2:77" s="28" customFormat="1">
      <c r="B475" s="201"/>
      <c r="D475" s="418"/>
      <c r="E475" s="29"/>
      <c r="G475" s="421"/>
      <c r="H475" s="422"/>
      <c r="I475" s="422"/>
      <c r="J475" s="422"/>
      <c r="K475" s="422"/>
      <c r="L475" s="422"/>
      <c r="P475" s="470"/>
      <c r="AJ475" s="31"/>
      <c r="AK475" s="31"/>
      <c r="AL475" s="32"/>
      <c r="AM475" s="33"/>
      <c r="AN475" s="32"/>
      <c r="AO475" s="33"/>
      <c r="AP475" s="32"/>
      <c r="AQ475" s="32"/>
      <c r="AR475" s="201"/>
      <c r="AS475" s="201"/>
      <c r="AT475" s="201"/>
      <c r="AU475" s="201"/>
      <c r="AV475" s="201"/>
      <c r="AW475" s="201"/>
      <c r="AX475" s="201"/>
      <c r="AY475" s="201"/>
      <c r="AZ475" s="201"/>
      <c r="BA475" s="201"/>
      <c r="BB475" s="201"/>
      <c r="BC475" s="201"/>
      <c r="BD475" s="465"/>
      <c r="BE475" s="465"/>
      <c r="BF475" s="465"/>
      <c r="BG475" s="465"/>
      <c r="BH475" s="465"/>
      <c r="BI475" s="465"/>
      <c r="BJ475" s="465"/>
      <c r="BK475" s="465"/>
      <c r="BL475" s="465"/>
      <c r="BM475" s="465"/>
      <c r="BN475" s="465"/>
      <c r="BO475" s="465"/>
      <c r="BP475" s="465"/>
      <c r="BQ475" s="465"/>
      <c r="BR475" s="465"/>
      <c r="BS475" s="465"/>
      <c r="BT475" s="465"/>
      <c r="BU475" s="465"/>
      <c r="BV475" s="465"/>
      <c r="BW475" s="465"/>
      <c r="BX475" s="465"/>
      <c r="BY475" s="465"/>
    </row>
    <row r="476" spans="2:77" s="28" customFormat="1">
      <c r="B476" s="201"/>
      <c r="D476" s="418"/>
      <c r="E476" s="29"/>
      <c r="G476" s="421"/>
      <c r="H476" s="422"/>
      <c r="I476" s="422"/>
      <c r="J476" s="422"/>
      <c r="K476" s="422"/>
      <c r="L476" s="422"/>
      <c r="P476" s="470"/>
      <c r="AJ476" s="31"/>
      <c r="AK476" s="31"/>
      <c r="AL476" s="32"/>
      <c r="AM476" s="33"/>
      <c r="AN476" s="32"/>
      <c r="AO476" s="33"/>
      <c r="AP476" s="32"/>
      <c r="AQ476" s="32"/>
      <c r="AR476" s="201"/>
      <c r="AS476" s="201"/>
      <c r="AT476" s="201"/>
      <c r="AU476" s="201"/>
      <c r="AV476" s="201"/>
      <c r="AW476" s="201"/>
      <c r="AX476" s="201"/>
      <c r="AY476" s="201"/>
      <c r="AZ476" s="201"/>
      <c r="BA476" s="201"/>
      <c r="BB476" s="201"/>
      <c r="BC476" s="201"/>
      <c r="BD476" s="465"/>
      <c r="BE476" s="465"/>
      <c r="BF476" s="465"/>
      <c r="BG476" s="465"/>
      <c r="BH476" s="465"/>
      <c r="BI476" s="465"/>
      <c r="BJ476" s="465"/>
      <c r="BK476" s="465"/>
      <c r="BL476" s="465"/>
      <c r="BM476" s="465"/>
      <c r="BN476" s="465"/>
      <c r="BO476" s="465"/>
      <c r="BP476" s="465"/>
      <c r="BQ476" s="465"/>
      <c r="BR476" s="465"/>
      <c r="BS476" s="465"/>
      <c r="BT476" s="465"/>
      <c r="BU476" s="465"/>
      <c r="BV476" s="465"/>
      <c r="BW476" s="465"/>
      <c r="BX476" s="465"/>
      <c r="BY476" s="465"/>
    </row>
    <row r="477" spans="2:77" s="28" customFormat="1">
      <c r="B477" s="201"/>
      <c r="D477" s="418"/>
      <c r="E477" s="29"/>
      <c r="G477" s="421"/>
      <c r="H477" s="422"/>
      <c r="I477" s="422"/>
      <c r="J477" s="422"/>
      <c r="K477" s="422"/>
      <c r="L477" s="422"/>
      <c r="P477" s="470"/>
      <c r="AJ477" s="31"/>
      <c r="AK477" s="31"/>
      <c r="AL477" s="32"/>
      <c r="AM477" s="33"/>
      <c r="AN477" s="32"/>
      <c r="AO477" s="33"/>
      <c r="AP477" s="32"/>
      <c r="AQ477" s="32"/>
      <c r="AR477" s="201"/>
      <c r="AS477" s="201"/>
      <c r="AT477" s="201"/>
      <c r="AU477" s="201"/>
      <c r="AV477" s="201"/>
      <c r="AW477" s="201"/>
      <c r="AX477" s="201"/>
      <c r="AY477" s="201"/>
      <c r="AZ477" s="201"/>
      <c r="BA477" s="201"/>
      <c r="BB477" s="201"/>
      <c r="BC477" s="201"/>
      <c r="BD477" s="465"/>
      <c r="BE477" s="465"/>
      <c r="BF477" s="465"/>
      <c r="BG477" s="465"/>
      <c r="BH477" s="465"/>
      <c r="BI477" s="465"/>
      <c r="BJ477" s="465"/>
      <c r="BK477" s="465"/>
      <c r="BL477" s="465"/>
      <c r="BM477" s="465"/>
      <c r="BN477" s="465"/>
      <c r="BO477" s="465"/>
      <c r="BP477" s="465"/>
      <c r="BQ477" s="465"/>
      <c r="BR477" s="465"/>
      <c r="BS477" s="465"/>
      <c r="BT477" s="465"/>
      <c r="BU477" s="465"/>
      <c r="BV477" s="465"/>
      <c r="BW477" s="465"/>
      <c r="BX477" s="465"/>
      <c r="BY477" s="465"/>
    </row>
    <row r="478" spans="2:77" s="28" customFormat="1">
      <c r="B478" s="201"/>
      <c r="D478" s="418"/>
      <c r="E478" s="29"/>
      <c r="G478" s="421"/>
      <c r="H478" s="422"/>
      <c r="I478" s="422"/>
      <c r="J478" s="422"/>
      <c r="K478" s="422"/>
      <c r="L478" s="422"/>
      <c r="P478" s="473"/>
      <c r="AJ478" s="31"/>
      <c r="AK478" s="31"/>
      <c r="AL478" s="32"/>
      <c r="AM478" s="33"/>
      <c r="AN478" s="32"/>
      <c r="AO478" s="33"/>
      <c r="AP478" s="32"/>
      <c r="AQ478" s="32"/>
      <c r="AR478" s="201"/>
      <c r="AS478" s="201"/>
      <c r="AT478" s="201"/>
      <c r="AU478" s="201"/>
      <c r="AV478" s="201"/>
      <c r="AW478" s="201"/>
      <c r="AX478" s="201"/>
      <c r="AY478" s="201"/>
      <c r="AZ478" s="201"/>
      <c r="BA478" s="201"/>
      <c r="BB478" s="201"/>
      <c r="BC478" s="201"/>
      <c r="BD478" s="465"/>
      <c r="BE478" s="465"/>
      <c r="BF478" s="465"/>
      <c r="BG478" s="465"/>
      <c r="BH478" s="465"/>
      <c r="BI478" s="465"/>
      <c r="BJ478" s="465"/>
      <c r="BK478" s="465"/>
      <c r="BL478" s="465"/>
      <c r="BM478" s="465"/>
      <c r="BN478" s="465"/>
      <c r="BO478" s="465"/>
      <c r="BP478" s="465"/>
      <c r="BQ478" s="465"/>
      <c r="BR478" s="465"/>
      <c r="BS478" s="465"/>
      <c r="BT478" s="465"/>
      <c r="BU478" s="465"/>
      <c r="BV478" s="465"/>
      <c r="BW478" s="465"/>
      <c r="BX478" s="465"/>
      <c r="BY478" s="465"/>
    </row>
    <row r="479" spans="2:77" s="28" customFormat="1">
      <c r="B479" s="201"/>
      <c r="D479" s="418"/>
      <c r="E479" s="29"/>
      <c r="G479" s="421"/>
      <c r="H479" s="422"/>
      <c r="I479" s="422"/>
      <c r="J479" s="422"/>
      <c r="K479" s="422"/>
      <c r="L479" s="422"/>
      <c r="P479" s="470"/>
      <c r="AJ479" s="31"/>
      <c r="AK479" s="31"/>
      <c r="AL479" s="32"/>
      <c r="AM479" s="33"/>
      <c r="AN479" s="32"/>
      <c r="AO479" s="33"/>
      <c r="AP479" s="32"/>
      <c r="AQ479" s="32"/>
      <c r="AR479" s="201"/>
      <c r="AS479" s="201"/>
      <c r="AT479" s="201"/>
      <c r="AU479" s="201"/>
      <c r="AV479" s="201"/>
      <c r="AW479" s="201"/>
      <c r="AX479" s="201"/>
      <c r="AY479" s="201"/>
      <c r="AZ479" s="201"/>
      <c r="BA479" s="201"/>
      <c r="BB479" s="201"/>
      <c r="BC479" s="201"/>
      <c r="BD479" s="465"/>
      <c r="BE479" s="465"/>
      <c r="BF479" s="465"/>
      <c r="BG479" s="465"/>
      <c r="BH479" s="465"/>
      <c r="BI479" s="465"/>
      <c r="BJ479" s="465"/>
      <c r="BK479" s="465"/>
      <c r="BL479" s="465"/>
      <c r="BM479" s="465"/>
      <c r="BN479" s="465"/>
      <c r="BO479" s="465"/>
      <c r="BP479" s="465"/>
      <c r="BQ479" s="465"/>
      <c r="BR479" s="465"/>
      <c r="BS479" s="465"/>
      <c r="BT479" s="465"/>
      <c r="BU479" s="465"/>
      <c r="BV479" s="465"/>
      <c r="BW479" s="465"/>
      <c r="BX479" s="465"/>
      <c r="BY479" s="465"/>
    </row>
    <row r="480" spans="2:77" s="28" customFormat="1">
      <c r="B480" s="201"/>
      <c r="D480" s="418"/>
      <c r="E480" s="29"/>
      <c r="G480" s="421"/>
      <c r="H480" s="422"/>
      <c r="I480" s="422"/>
      <c r="J480" s="422"/>
      <c r="K480" s="422"/>
      <c r="L480" s="422"/>
      <c r="P480" s="470"/>
      <c r="AJ480" s="31"/>
      <c r="AK480" s="31"/>
      <c r="AL480" s="32"/>
      <c r="AM480" s="33"/>
      <c r="AN480" s="32"/>
      <c r="AO480" s="33"/>
      <c r="AP480" s="32"/>
      <c r="AQ480" s="32"/>
      <c r="AR480" s="201"/>
      <c r="AS480" s="201"/>
      <c r="AT480" s="201"/>
      <c r="AU480" s="201"/>
      <c r="AV480" s="201"/>
      <c r="AW480" s="201"/>
      <c r="AX480" s="201"/>
      <c r="AY480" s="201"/>
      <c r="AZ480" s="201"/>
      <c r="BA480" s="201"/>
      <c r="BB480" s="201"/>
      <c r="BC480" s="201"/>
      <c r="BD480" s="465"/>
      <c r="BE480" s="465"/>
      <c r="BF480" s="465"/>
      <c r="BG480" s="465"/>
      <c r="BH480" s="465"/>
      <c r="BI480" s="465"/>
      <c r="BJ480" s="465"/>
      <c r="BK480" s="465"/>
      <c r="BL480" s="465"/>
      <c r="BM480" s="465"/>
      <c r="BN480" s="465"/>
      <c r="BO480" s="465"/>
      <c r="BP480" s="465"/>
      <c r="BQ480" s="465"/>
      <c r="BR480" s="465"/>
      <c r="BS480" s="465"/>
      <c r="BT480" s="465"/>
      <c r="BU480" s="465"/>
      <c r="BV480" s="465"/>
      <c r="BW480" s="465"/>
      <c r="BX480" s="465"/>
      <c r="BY480" s="465"/>
    </row>
    <row r="481" spans="2:77" s="28" customFormat="1">
      <c r="B481" s="201"/>
      <c r="D481" s="418"/>
      <c r="E481" s="29"/>
      <c r="G481" s="421"/>
      <c r="H481" s="422"/>
      <c r="I481" s="422"/>
      <c r="J481" s="422"/>
      <c r="K481" s="422"/>
      <c r="L481" s="422"/>
      <c r="P481" s="473"/>
      <c r="AJ481" s="31"/>
      <c r="AK481" s="31"/>
      <c r="AL481" s="32"/>
      <c r="AM481" s="33"/>
      <c r="AN481" s="32"/>
      <c r="AO481" s="33"/>
      <c r="AP481" s="32"/>
      <c r="AQ481" s="32"/>
      <c r="AR481" s="201"/>
      <c r="AS481" s="201"/>
      <c r="AT481" s="201"/>
      <c r="AU481" s="201"/>
      <c r="AV481" s="201"/>
      <c r="AW481" s="201"/>
      <c r="AX481" s="201"/>
      <c r="AY481" s="201"/>
      <c r="AZ481" s="201"/>
      <c r="BA481" s="201"/>
      <c r="BB481" s="201"/>
      <c r="BC481" s="201"/>
      <c r="BD481" s="465"/>
      <c r="BE481" s="465"/>
      <c r="BF481" s="465"/>
      <c r="BG481" s="465"/>
      <c r="BH481" s="465"/>
      <c r="BI481" s="465"/>
      <c r="BJ481" s="465"/>
      <c r="BK481" s="465"/>
      <c r="BL481" s="465"/>
      <c r="BM481" s="465"/>
      <c r="BN481" s="465"/>
      <c r="BO481" s="465"/>
      <c r="BP481" s="465"/>
      <c r="BQ481" s="465"/>
      <c r="BR481" s="465"/>
      <c r="BS481" s="465"/>
      <c r="BT481" s="465"/>
      <c r="BU481" s="465"/>
      <c r="BV481" s="465"/>
      <c r="BW481" s="465"/>
      <c r="BX481" s="465"/>
      <c r="BY481" s="465"/>
    </row>
    <row r="482" spans="2:77" s="28" customFormat="1">
      <c r="B482" s="201"/>
      <c r="D482" s="418"/>
      <c r="E482" s="29"/>
      <c r="G482" s="421"/>
      <c r="H482" s="422"/>
      <c r="I482" s="422"/>
      <c r="J482" s="422"/>
      <c r="K482" s="422"/>
      <c r="L482" s="422"/>
      <c r="P482" s="476"/>
      <c r="AJ482" s="31"/>
      <c r="AK482" s="31"/>
      <c r="AL482" s="32"/>
      <c r="AM482" s="33"/>
      <c r="AN482" s="32"/>
      <c r="AO482" s="33"/>
      <c r="AP482" s="32"/>
      <c r="AQ482" s="32"/>
      <c r="AR482" s="201"/>
      <c r="AS482" s="201"/>
      <c r="AT482" s="201"/>
      <c r="AU482" s="201"/>
      <c r="AV482" s="201"/>
      <c r="AW482" s="201"/>
      <c r="AX482" s="201"/>
      <c r="AY482" s="201"/>
      <c r="AZ482" s="201"/>
      <c r="BA482" s="201"/>
      <c r="BB482" s="201"/>
      <c r="BC482" s="201"/>
      <c r="BD482" s="465"/>
      <c r="BE482" s="465"/>
      <c r="BF482" s="465"/>
      <c r="BG482" s="465"/>
      <c r="BH482" s="465"/>
      <c r="BI482" s="465"/>
      <c r="BJ482" s="465"/>
      <c r="BK482" s="465"/>
      <c r="BL482" s="465"/>
      <c r="BM482" s="465"/>
      <c r="BN482" s="465"/>
      <c r="BO482" s="465"/>
      <c r="BP482" s="465"/>
      <c r="BQ482" s="465"/>
      <c r="BR482" s="465"/>
      <c r="BS482" s="465"/>
      <c r="BT482" s="465"/>
      <c r="BU482" s="465"/>
      <c r="BV482" s="465"/>
      <c r="BW482" s="465"/>
      <c r="BX482" s="465"/>
      <c r="BY482" s="465"/>
    </row>
    <row r="483" spans="2:77" s="28" customFormat="1">
      <c r="B483" s="201"/>
      <c r="D483" s="418"/>
      <c r="E483" s="29"/>
      <c r="G483" s="421"/>
      <c r="H483" s="422"/>
      <c r="I483" s="422"/>
      <c r="J483" s="422"/>
      <c r="K483" s="422"/>
      <c r="L483" s="422"/>
      <c r="P483" s="475"/>
      <c r="AJ483" s="31"/>
      <c r="AK483" s="31"/>
      <c r="AL483" s="32"/>
      <c r="AM483" s="33"/>
      <c r="AN483" s="32"/>
      <c r="AO483" s="33"/>
      <c r="AP483" s="32"/>
      <c r="AQ483" s="32"/>
      <c r="AR483" s="201"/>
      <c r="AS483" s="201"/>
      <c r="AT483" s="201"/>
      <c r="AU483" s="201"/>
      <c r="AV483" s="201"/>
      <c r="AW483" s="201"/>
      <c r="AX483" s="201"/>
      <c r="AY483" s="201"/>
      <c r="AZ483" s="201"/>
      <c r="BA483" s="201"/>
      <c r="BB483" s="201"/>
      <c r="BC483" s="201"/>
      <c r="BD483" s="465"/>
      <c r="BE483" s="465"/>
      <c r="BF483" s="465"/>
      <c r="BG483" s="465"/>
      <c r="BH483" s="465"/>
      <c r="BI483" s="465"/>
      <c r="BJ483" s="465"/>
      <c r="BK483" s="465"/>
      <c r="BL483" s="465"/>
      <c r="BM483" s="465"/>
      <c r="BN483" s="465"/>
      <c r="BO483" s="465"/>
      <c r="BP483" s="465"/>
      <c r="BQ483" s="465"/>
      <c r="BR483" s="465"/>
      <c r="BS483" s="465"/>
      <c r="BT483" s="465"/>
      <c r="BU483" s="465"/>
      <c r="BV483" s="465"/>
      <c r="BW483" s="465"/>
      <c r="BX483" s="465"/>
      <c r="BY483" s="465"/>
    </row>
    <row r="484" spans="2:77" s="28" customFormat="1">
      <c r="B484" s="201"/>
      <c r="D484" s="418"/>
      <c r="E484" s="29"/>
      <c r="G484" s="421"/>
      <c r="H484" s="422"/>
      <c r="I484" s="422"/>
      <c r="J484" s="422"/>
      <c r="K484" s="422"/>
      <c r="L484" s="422"/>
      <c r="P484" s="470"/>
      <c r="AJ484" s="31"/>
      <c r="AK484" s="31"/>
      <c r="AL484" s="32"/>
      <c r="AM484" s="33"/>
      <c r="AN484" s="32"/>
      <c r="AO484" s="33"/>
      <c r="AP484" s="32"/>
      <c r="AQ484" s="32"/>
      <c r="AR484" s="201"/>
      <c r="AS484" s="201"/>
      <c r="AT484" s="201"/>
      <c r="AU484" s="201"/>
      <c r="AV484" s="201"/>
      <c r="AW484" s="201"/>
      <c r="AX484" s="201"/>
      <c r="AY484" s="201"/>
      <c r="AZ484" s="201"/>
      <c r="BA484" s="201"/>
      <c r="BB484" s="201"/>
      <c r="BC484" s="201"/>
      <c r="BD484" s="465"/>
      <c r="BE484" s="465"/>
      <c r="BF484" s="465"/>
      <c r="BG484" s="465"/>
      <c r="BH484" s="465"/>
      <c r="BI484" s="465"/>
      <c r="BJ484" s="465"/>
      <c r="BK484" s="465"/>
      <c r="BL484" s="465"/>
      <c r="BM484" s="465"/>
      <c r="BN484" s="465"/>
      <c r="BO484" s="465"/>
      <c r="BP484" s="465"/>
      <c r="BQ484" s="465"/>
      <c r="BR484" s="465"/>
      <c r="BS484" s="465"/>
      <c r="BT484" s="465"/>
      <c r="BU484" s="465"/>
      <c r="BV484" s="465"/>
      <c r="BW484" s="465"/>
      <c r="BX484" s="465"/>
      <c r="BY484" s="465"/>
    </row>
    <row r="485" spans="2:77" s="28" customFormat="1">
      <c r="B485" s="201"/>
      <c r="D485" s="418"/>
      <c r="E485" s="29"/>
      <c r="G485" s="421"/>
      <c r="H485" s="422"/>
      <c r="I485" s="422"/>
      <c r="J485" s="422"/>
      <c r="K485" s="422"/>
      <c r="L485" s="422"/>
      <c r="P485" s="475"/>
      <c r="AJ485" s="31"/>
      <c r="AK485" s="31"/>
      <c r="AL485" s="32"/>
      <c r="AM485" s="33"/>
      <c r="AN485" s="32"/>
      <c r="AO485" s="33"/>
      <c r="AP485" s="32"/>
      <c r="AQ485" s="32"/>
      <c r="AR485" s="201"/>
      <c r="AS485" s="201"/>
      <c r="AT485" s="201"/>
      <c r="AU485" s="201"/>
      <c r="AV485" s="201"/>
      <c r="AW485" s="201"/>
      <c r="AX485" s="201"/>
      <c r="AY485" s="201"/>
      <c r="AZ485" s="201"/>
      <c r="BA485" s="201"/>
      <c r="BB485" s="201"/>
      <c r="BC485" s="201"/>
      <c r="BD485" s="465"/>
      <c r="BE485" s="465"/>
      <c r="BF485" s="465"/>
      <c r="BG485" s="465"/>
      <c r="BH485" s="465"/>
      <c r="BI485" s="465"/>
      <c r="BJ485" s="465"/>
      <c r="BK485" s="465"/>
      <c r="BL485" s="465"/>
      <c r="BM485" s="465"/>
      <c r="BN485" s="465"/>
      <c r="BO485" s="465"/>
      <c r="BP485" s="465"/>
      <c r="BQ485" s="465"/>
      <c r="BR485" s="465"/>
      <c r="BS485" s="465"/>
      <c r="BT485" s="465"/>
      <c r="BU485" s="465"/>
      <c r="BV485" s="465"/>
      <c r="BW485" s="465"/>
      <c r="BX485" s="465"/>
      <c r="BY485" s="465"/>
    </row>
    <row r="486" spans="2:77" s="28" customFormat="1">
      <c r="B486" s="201"/>
      <c r="D486" s="418"/>
      <c r="E486" s="29"/>
      <c r="G486" s="421"/>
      <c r="H486" s="422"/>
      <c r="I486" s="422"/>
      <c r="J486" s="422"/>
      <c r="K486" s="422"/>
      <c r="L486" s="422"/>
      <c r="P486" s="470"/>
      <c r="AJ486" s="31"/>
      <c r="AK486" s="31"/>
      <c r="AL486" s="32"/>
      <c r="AM486" s="33"/>
      <c r="AN486" s="32"/>
      <c r="AO486" s="33"/>
      <c r="AP486" s="32"/>
      <c r="AQ486" s="32"/>
      <c r="AR486" s="201"/>
      <c r="AS486" s="201"/>
      <c r="AT486" s="201"/>
      <c r="AU486" s="201"/>
      <c r="AV486" s="201"/>
      <c r="AW486" s="201"/>
      <c r="AX486" s="201"/>
      <c r="AY486" s="201"/>
      <c r="AZ486" s="201"/>
      <c r="BA486" s="201"/>
      <c r="BB486" s="201"/>
      <c r="BC486" s="201"/>
      <c r="BD486" s="465"/>
      <c r="BE486" s="465"/>
      <c r="BF486" s="465"/>
      <c r="BG486" s="465"/>
      <c r="BH486" s="465"/>
      <c r="BI486" s="465"/>
      <c r="BJ486" s="465"/>
      <c r="BK486" s="465"/>
      <c r="BL486" s="465"/>
      <c r="BM486" s="465"/>
      <c r="BN486" s="465"/>
      <c r="BO486" s="465"/>
      <c r="BP486" s="465"/>
      <c r="BQ486" s="465"/>
      <c r="BR486" s="465"/>
      <c r="BS486" s="465"/>
      <c r="BT486" s="465"/>
      <c r="BU486" s="465"/>
      <c r="BV486" s="465"/>
      <c r="BW486" s="465"/>
      <c r="BX486" s="465"/>
      <c r="BY486" s="465"/>
    </row>
    <row r="487" spans="2:77" s="28" customFormat="1">
      <c r="B487" s="201"/>
      <c r="D487" s="418"/>
      <c r="E487" s="29"/>
      <c r="G487" s="421"/>
      <c r="H487" s="422"/>
      <c r="I487" s="422"/>
      <c r="J487" s="422"/>
      <c r="K487" s="422"/>
      <c r="L487" s="422"/>
      <c r="P487" s="474"/>
      <c r="AJ487" s="31"/>
      <c r="AK487" s="31"/>
      <c r="AL487" s="32"/>
      <c r="AM487" s="33"/>
      <c r="AN487" s="32"/>
      <c r="AO487" s="33"/>
      <c r="AP487" s="32"/>
      <c r="AQ487" s="32"/>
      <c r="AR487" s="201"/>
      <c r="AS487" s="201"/>
      <c r="AT487" s="201"/>
      <c r="AU487" s="201"/>
      <c r="AV487" s="201"/>
      <c r="AW487" s="201"/>
      <c r="AX487" s="201"/>
      <c r="AY487" s="201"/>
      <c r="AZ487" s="201"/>
      <c r="BA487" s="201"/>
      <c r="BB487" s="201"/>
      <c r="BC487" s="201"/>
      <c r="BD487" s="465"/>
      <c r="BE487" s="465"/>
      <c r="BF487" s="465"/>
      <c r="BG487" s="465"/>
      <c r="BH487" s="465"/>
      <c r="BI487" s="465"/>
      <c r="BJ487" s="465"/>
      <c r="BK487" s="465"/>
      <c r="BL487" s="465"/>
      <c r="BM487" s="465"/>
      <c r="BN487" s="465"/>
      <c r="BO487" s="465"/>
      <c r="BP487" s="465"/>
      <c r="BQ487" s="465"/>
      <c r="BR487" s="465"/>
      <c r="BS487" s="465"/>
      <c r="BT487" s="465"/>
      <c r="BU487" s="465"/>
      <c r="BV487" s="465"/>
      <c r="BW487" s="465"/>
      <c r="BX487" s="465"/>
      <c r="BY487" s="465"/>
    </row>
    <row r="488" spans="2:77" s="28" customFormat="1">
      <c r="B488" s="201"/>
      <c r="D488" s="418"/>
      <c r="E488" s="29"/>
      <c r="G488" s="421"/>
      <c r="H488" s="422"/>
      <c r="I488" s="422"/>
      <c r="J488" s="422"/>
      <c r="K488" s="422"/>
      <c r="L488" s="422"/>
      <c r="P488" s="470"/>
      <c r="AJ488" s="31"/>
      <c r="AK488" s="31"/>
      <c r="AL488" s="32"/>
      <c r="AM488" s="33"/>
      <c r="AN488" s="32"/>
      <c r="AO488" s="33"/>
      <c r="AP488" s="32"/>
      <c r="AQ488" s="32"/>
      <c r="AR488" s="201"/>
      <c r="AS488" s="201"/>
      <c r="AT488" s="201"/>
      <c r="AU488" s="201"/>
      <c r="AV488" s="201"/>
      <c r="AW488" s="201"/>
      <c r="AX488" s="201"/>
      <c r="AY488" s="201"/>
      <c r="AZ488" s="201"/>
      <c r="BA488" s="201"/>
      <c r="BB488" s="201"/>
      <c r="BC488" s="201"/>
      <c r="BD488" s="465"/>
      <c r="BE488" s="465"/>
      <c r="BF488" s="465"/>
      <c r="BG488" s="465"/>
      <c r="BH488" s="465"/>
      <c r="BI488" s="465"/>
      <c r="BJ488" s="465"/>
      <c r="BK488" s="465"/>
      <c r="BL488" s="465"/>
      <c r="BM488" s="465"/>
      <c r="BN488" s="465"/>
      <c r="BO488" s="465"/>
      <c r="BP488" s="465"/>
      <c r="BQ488" s="465"/>
      <c r="BR488" s="465"/>
      <c r="BS488" s="465"/>
      <c r="BT488" s="465"/>
      <c r="BU488" s="465"/>
      <c r="BV488" s="465"/>
      <c r="BW488" s="465"/>
      <c r="BX488" s="465"/>
      <c r="BY488" s="465"/>
    </row>
    <row r="489" spans="2:77" s="28" customFormat="1">
      <c r="B489" s="201"/>
      <c r="D489" s="418"/>
      <c r="E489" s="29"/>
      <c r="G489" s="421"/>
      <c r="H489" s="422"/>
      <c r="I489" s="422"/>
      <c r="J489" s="422"/>
      <c r="K489" s="422"/>
      <c r="L489" s="422"/>
      <c r="P489" s="473"/>
      <c r="AJ489" s="31"/>
      <c r="AK489" s="31"/>
      <c r="AL489" s="32"/>
      <c r="AM489" s="33"/>
      <c r="AN489" s="32"/>
      <c r="AO489" s="33"/>
      <c r="AP489" s="32"/>
      <c r="AQ489" s="32"/>
      <c r="AR489" s="201"/>
      <c r="AS489" s="201"/>
      <c r="AT489" s="201"/>
      <c r="AU489" s="201"/>
      <c r="AV489" s="201"/>
      <c r="AW489" s="201"/>
      <c r="AX489" s="201"/>
      <c r="AY489" s="201"/>
      <c r="AZ489" s="201"/>
      <c r="BA489" s="201"/>
      <c r="BB489" s="201"/>
      <c r="BC489" s="201"/>
      <c r="BD489" s="465"/>
      <c r="BE489" s="465"/>
      <c r="BF489" s="465"/>
      <c r="BG489" s="465"/>
      <c r="BH489" s="465"/>
      <c r="BI489" s="465"/>
      <c r="BJ489" s="465"/>
      <c r="BK489" s="465"/>
      <c r="BL489" s="465"/>
      <c r="BM489" s="465"/>
      <c r="BN489" s="465"/>
      <c r="BO489" s="465"/>
      <c r="BP489" s="465"/>
      <c r="BQ489" s="465"/>
      <c r="BR489" s="465"/>
      <c r="BS489" s="465"/>
      <c r="BT489" s="465"/>
      <c r="BU489" s="465"/>
      <c r="BV489" s="465"/>
      <c r="BW489" s="465"/>
      <c r="BX489" s="465"/>
      <c r="BY489" s="465"/>
    </row>
    <row r="490" spans="2:77" s="28" customFormat="1">
      <c r="B490" s="201"/>
      <c r="D490" s="418"/>
      <c r="E490" s="29"/>
      <c r="G490" s="421"/>
      <c r="H490" s="422"/>
      <c r="I490" s="422"/>
      <c r="J490" s="422"/>
      <c r="K490" s="422"/>
      <c r="L490" s="422"/>
      <c r="P490" s="474"/>
      <c r="AJ490" s="31"/>
      <c r="AK490" s="31"/>
      <c r="AL490" s="32"/>
      <c r="AM490" s="33"/>
      <c r="AN490" s="32"/>
      <c r="AO490" s="33"/>
      <c r="AP490" s="32"/>
      <c r="AQ490" s="32"/>
      <c r="AR490" s="201"/>
      <c r="AS490" s="201"/>
      <c r="AT490" s="201"/>
      <c r="AU490" s="201"/>
      <c r="AV490" s="201"/>
      <c r="AW490" s="201"/>
      <c r="AX490" s="201"/>
      <c r="AY490" s="201"/>
      <c r="AZ490" s="201"/>
      <c r="BA490" s="201"/>
      <c r="BB490" s="201"/>
      <c r="BC490" s="201"/>
      <c r="BD490" s="465"/>
      <c r="BE490" s="465"/>
      <c r="BF490" s="465"/>
      <c r="BG490" s="465"/>
      <c r="BH490" s="465"/>
      <c r="BI490" s="465"/>
      <c r="BJ490" s="465"/>
      <c r="BK490" s="465"/>
      <c r="BL490" s="465"/>
      <c r="BM490" s="465"/>
      <c r="BN490" s="465"/>
      <c r="BO490" s="465"/>
      <c r="BP490" s="465"/>
      <c r="BQ490" s="465"/>
      <c r="BR490" s="465"/>
      <c r="BS490" s="465"/>
      <c r="BT490" s="465"/>
      <c r="BU490" s="465"/>
      <c r="BV490" s="465"/>
      <c r="BW490" s="465"/>
      <c r="BX490" s="465"/>
      <c r="BY490" s="465"/>
    </row>
    <row r="491" spans="2:77" s="28" customFormat="1">
      <c r="B491" s="201"/>
      <c r="D491" s="418"/>
      <c r="E491" s="29"/>
      <c r="G491" s="421"/>
      <c r="H491" s="422"/>
      <c r="I491" s="422"/>
      <c r="J491" s="422"/>
      <c r="K491" s="422"/>
      <c r="L491" s="422"/>
      <c r="P491" s="472"/>
      <c r="AJ491" s="31"/>
      <c r="AK491" s="31"/>
      <c r="AL491" s="32"/>
      <c r="AM491" s="33"/>
      <c r="AN491" s="32"/>
      <c r="AO491" s="33"/>
      <c r="AP491" s="32"/>
      <c r="AQ491" s="32"/>
      <c r="AR491" s="201"/>
      <c r="AS491" s="201"/>
      <c r="AT491" s="201"/>
      <c r="AU491" s="201"/>
      <c r="AV491" s="201"/>
      <c r="AW491" s="201"/>
      <c r="AX491" s="201"/>
      <c r="AY491" s="201"/>
      <c r="AZ491" s="201"/>
      <c r="BA491" s="201"/>
      <c r="BB491" s="201"/>
      <c r="BC491" s="201"/>
      <c r="BD491" s="465"/>
      <c r="BE491" s="465"/>
      <c r="BF491" s="465"/>
      <c r="BG491" s="465"/>
      <c r="BH491" s="465"/>
      <c r="BI491" s="465"/>
      <c r="BJ491" s="465"/>
      <c r="BK491" s="465"/>
      <c r="BL491" s="465"/>
      <c r="BM491" s="465"/>
      <c r="BN491" s="465"/>
      <c r="BO491" s="465"/>
      <c r="BP491" s="465"/>
      <c r="BQ491" s="465"/>
      <c r="BR491" s="465"/>
      <c r="BS491" s="465"/>
      <c r="BT491" s="465"/>
      <c r="BU491" s="465"/>
      <c r="BV491" s="465"/>
      <c r="BW491" s="465"/>
      <c r="BX491" s="465"/>
      <c r="BY491" s="465"/>
    </row>
    <row r="492" spans="2:77" s="28" customFormat="1">
      <c r="B492" s="201"/>
      <c r="D492" s="418"/>
      <c r="E492" s="29"/>
      <c r="G492" s="421"/>
      <c r="H492" s="422"/>
      <c r="I492" s="422"/>
      <c r="J492" s="422"/>
      <c r="K492" s="422"/>
      <c r="L492" s="422"/>
      <c r="P492" s="481"/>
      <c r="AJ492" s="31"/>
      <c r="AK492" s="31"/>
      <c r="AL492" s="32"/>
      <c r="AM492" s="33"/>
      <c r="AN492" s="32"/>
      <c r="AO492" s="33"/>
      <c r="AP492" s="32"/>
      <c r="AQ492" s="32"/>
      <c r="AR492" s="201"/>
      <c r="AS492" s="201"/>
      <c r="AT492" s="201"/>
      <c r="AU492" s="201"/>
      <c r="AV492" s="201"/>
      <c r="AW492" s="201"/>
      <c r="AX492" s="201"/>
      <c r="AY492" s="201"/>
      <c r="AZ492" s="201"/>
      <c r="BA492" s="201"/>
      <c r="BB492" s="201"/>
      <c r="BC492" s="201"/>
      <c r="BD492" s="465"/>
      <c r="BE492" s="465"/>
      <c r="BF492" s="465"/>
      <c r="BG492" s="465"/>
      <c r="BH492" s="465"/>
      <c r="BI492" s="465"/>
      <c r="BJ492" s="465"/>
      <c r="BK492" s="465"/>
      <c r="BL492" s="465"/>
      <c r="BM492" s="465"/>
      <c r="BN492" s="465"/>
      <c r="BO492" s="465"/>
      <c r="BP492" s="465"/>
      <c r="BQ492" s="465"/>
      <c r="BR492" s="465"/>
      <c r="BS492" s="465"/>
      <c r="BT492" s="465"/>
      <c r="BU492" s="465"/>
      <c r="BV492" s="465"/>
      <c r="BW492" s="465"/>
      <c r="BX492" s="465"/>
      <c r="BY492" s="465"/>
    </row>
    <row r="493" spans="2:77" s="28" customFormat="1">
      <c r="B493" s="201"/>
      <c r="D493" s="418"/>
      <c r="E493" s="29"/>
      <c r="G493" s="421"/>
      <c r="H493" s="422"/>
      <c r="I493" s="422"/>
      <c r="J493" s="422"/>
      <c r="K493" s="422"/>
      <c r="L493" s="422"/>
      <c r="P493" s="474"/>
      <c r="AJ493" s="31"/>
      <c r="AK493" s="31"/>
      <c r="AL493" s="32"/>
      <c r="AM493" s="33"/>
      <c r="AN493" s="32"/>
      <c r="AO493" s="33"/>
      <c r="AP493" s="32"/>
      <c r="AQ493" s="32"/>
      <c r="AR493" s="201"/>
      <c r="AS493" s="201"/>
      <c r="AT493" s="201"/>
      <c r="AU493" s="201"/>
      <c r="AV493" s="201"/>
      <c r="AW493" s="201"/>
      <c r="AX493" s="201"/>
      <c r="AY493" s="201"/>
      <c r="AZ493" s="201"/>
      <c r="BA493" s="201"/>
      <c r="BB493" s="201"/>
      <c r="BC493" s="201"/>
      <c r="BD493" s="465"/>
      <c r="BE493" s="465"/>
      <c r="BF493" s="465"/>
      <c r="BG493" s="465"/>
      <c r="BH493" s="465"/>
      <c r="BI493" s="465"/>
      <c r="BJ493" s="465"/>
      <c r="BK493" s="465"/>
      <c r="BL493" s="465"/>
      <c r="BM493" s="465"/>
      <c r="BN493" s="465"/>
      <c r="BO493" s="465"/>
      <c r="BP493" s="465"/>
      <c r="BQ493" s="465"/>
      <c r="BR493" s="465"/>
      <c r="BS493" s="465"/>
      <c r="BT493" s="465"/>
      <c r="BU493" s="465"/>
      <c r="BV493" s="465"/>
      <c r="BW493" s="465"/>
      <c r="BX493" s="465"/>
      <c r="BY493" s="465"/>
    </row>
    <row r="494" spans="2:77" s="28" customFormat="1">
      <c r="B494" s="201"/>
      <c r="D494" s="418"/>
      <c r="E494" s="29"/>
      <c r="G494" s="421"/>
      <c r="H494" s="422"/>
      <c r="I494" s="422"/>
      <c r="J494" s="422"/>
      <c r="K494" s="422"/>
      <c r="L494" s="422"/>
      <c r="P494" s="470"/>
      <c r="AJ494" s="31"/>
      <c r="AK494" s="31"/>
      <c r="AL494" s="32"/>
      <c r="AM494" s="33"/>
      <c r="AN494" s="32"/>
      <c r="AO494" s="33"/>
      <c r="AP494" s="32"/>
      <c r="AQ494" s="32"/>
      <c r="AR494" s="201"/>
      <c r="AS494" s="201"/>
      <c r="AT494" s="201"/>
      <c r="AU494" s="201"/>
      <c r="AV494" s="201"/>
      <c r="AW494" s="201"/>
      <c r="AX494" s="201"/>
      <c r="AY494" s="201"/>
      <c r="AZ494" s="201"/>
      <c r="BA494" s="201"/>
      <c r="BB494" s="201"/>
      <c r="BC494" s="201"/>
      <c r="BD494" s="465"/>
      <c r="BE494" s="465"/>
      <c r="BF494" s="465"/>
      <c r="BG494" s="465"/>
      <c r="BH494" s="465"/>
      <c r="BI494" s="465"/>
      <c r="BJ494" s="465"/>
      <c r="BK494" s="465"/>
      <c r="BL494" s="465"/>
      <c r="BM494" s="465"/>
      <c r="BN494" s="465"/>
      <c r="BO494" s="465"/>
      <c r="BP494" s="465"/>
      <c r="BQ494" s="465"/>
      <c r="BR494" s="465"/>
      <c r="BS494" s="465"/>
      <c r="BT494" s="465"/>
      <c r="BU494" s="465"/>
      <c r="BV494" s="465"/>
      <c r="BW494" s="465"/>
      <c r="BX494" s="465"/>
      <c r="BY494" s="465"/>
    </row>
    <row r="495" spans="2:77" s="28" customFormat="1">
      <c r="B495" s="201"/>
      <c r="D495" s="418"/>
      <c r="E495" s="29"/>
      <c r="G495" s="421"/>
      <c r="H495" s="422"/>
      <c r="I495" s="422"/>
      <c r="J495" s="422"/>
      <c r="K495" s="422"/>
      <c r="L495" s="422"/>
      <c r="P495" s="474"/>
      <c r="AJ495" s="31"/>
      <c r="AK495" s="31"/>
      <c r="AL495" s="32"/>
      <c r="AM495" s="33"/>
      <c r="AN495" s="32"/>
      <c r="AO495" s="33"/>
      <c r="AP495" s="32"/>
      <c r="AQ495" s="32"/>
      <c r="AR495" s="201"/>
      <c r="AS495" s="201"/>
      <c r="AT495" s="201"/>
      <c r="AU495" s="201"/>
      <c r="AV495" s="201"/>
      <c r="AW495" s="201"/>
      <c r="AX495" s="201"/>
      <c r="AY495" s="201"/>
      <c r="AZ495" s="201"/>
      <c r="BA495" s="201"/>
      <c r="BB495" s="201"/>
      <c r="BC495" s="201"/>
      <c r="BD495" s="465"/>
      <c r="BE495" s="465"/>
      <c r="BF495" s="465"/>
      <c r="BG495" s="465"/>
      <c r="BH495" s="465"/>
      <c r="BI495" s="465"/>
      <c r="BJ495" s="465"/>
      <c r="BK495" s="465"/>
      <c r="BL495" s="465"/>
      <c r="BM495" s="465"/>
      <c r="BN495" s="465"/>
      <c r="BO495" s="465"/>
      <c r="BP495" s="465"/>
      <c r="BQ495" s="465"/>
      <c r="BR495" s="465"/>
      <c r="BS495" s="465"/>
      <c r="BT495" s="465"/>
      <c r="BU495" s="465"/>
      <c r="BV495" s="465"/>
      <c r="BW495" s="465"/>
      <c r="BX495" s="465"/>
      <c r="BY495" s="465"/>
    </row>
    <row r="496" spans="2:77" s="28" customFormat="1">
      <c r="B496" s="201"/>
      <c r="D496" s="418"/>
      <c r="E496" s="29"/>
      <c r="G496" s="421"/>
      <c r="H496" s="422"/>
      <c r="I496" s="422"/>
      <c r="J496" s="422"/>
      <c r="K496" s="422"/>
      <c r="L496" s="422"/>
      <c r="P496" s="473"/>
      <c r="AJ496" s="31"/>
      <c r="AK496" s="31"/>
      <c r="AL496" s="32"/>
      <c r="AM496" s="33"/>
      <c r="AN496" s="32"/>
      <c r="AO496" s="33"/>
      <c r="AP496" s="32"/>
      <c r="AQ496" s="32"/>
      <c r="AR496" s="201"/>
      <c r="AS496" s="201"/>
      <c r="AT496" s="201"/>
      <c r="AU496" s="201"/>
      <c r="AV496" s="201"/>
      <c r="AW496" s="201"/>
      <c r="AX496" s="201"/>
      <c r="AY496" s="201"/>
      <c r="AZ496" s="201"/>
      <c r="BA496" s="201"/>
      <c r="BB496" s="201"/>
      <c r="BC496" s="201"/>
      <c r="BD496" s="465"/>
      <c r="BE496" s="465"/>
      <c r="BF496" s="465"/>
      <c r="BG496" s="465"/>
      <c r="BH496" s="465"/>
      <c r="BI496" s="465"/>
      <c r="BJ496" s="465"/>
      <c r="BK496" s="465"/>
      <c r="BL496" s="465"/>
      <c r="BM496" s="465"/>
      <c r="BN496" s="465"/>
      <c r="BO496" s="465"/>
      <c r="BP496" s="465"/>
      <c r="BQ496" s="465"/>
      <c r="BR496" s="465"/>
      <c r="BS496" s="465"/>
      <c r="BT496" s="465"/>
      <c r="BU496" s="465"/>
      <c r="BV496" s="465"/>
      <c r="BW496" s="465"/>
      <c r="BX496" s="465"/>
      <c r="BY496" s="465"/>
    </row>
    <row r="497" spans="2:77" s="28" customFormat="1">
      <c r="B497" s="201"/>
      <c r="D497" s="418"/>
      <c r="E497" s="29"/>
      <c r="G497" s="421"/>
      <c r="H497" s="422"/>
      <c r="I497" s="422"/>
      <c r="J497" s="422"/>
      <c r="K497" s="422"/>
      <c r="L497" s="422"/>
      <c r="P497" s="470"/>
      <c r="AJ497" s="31"/>
      <c r="AK497" s="31"/>
      <c r="AL497" s="32"/>
      <c r="AM497" s="33"/>
      <c r="AN497" s="32"/>
      <c r="AO497" s="33"/>
      <c r="AP497" s="32"/>
      <c r="AQ497" s="32"/>
      <c r="AR497" s="201"/>
      <c r="AS497" s="201"/>
      <c r="AT497" s="201"/>
      <c r="AU497" s="201"/>
      <c r="AV497" s="201"/>
      <c r="AW497" s="201"/>
      <c r="AX497" s="201"/>
      <c r="AY497" s="201"/>
      <c r="AZ497" s="201"/>
      <c r="BA497" s="201"/>
      <c r="BB497" s="201"/>
      <c r="BC497" s="201"/>
      <c r="BD497" s="465"/>
      <c r="BE497" s="465"/>
      <c r="BF497" s="465"/>
      <c r="BG497" s="465"/>
      <c r="BH497" s="465"/>
      <c r="BI497" s="465"/>
      <c r="BJ497" s="465"/>
      <c r="BK497" s="465"/>
      <c r="BL497" s="465"/>
      <c r="BM497" s="465"/>
      <c r="BN497" s="465"/>
      <c r="BO497" s="465"/>
      <c r="BP497" s="465"/>
      <c r="BQ497" s="465"/>
      <c r="BR497" s="465"/>
      <c r="BS497" s="465"/>
      <c r="BT497" s="465"/>
      <c r="BU497" s="465"/>
      <c r="BV497" s="465"/>
      <c r="BW497" s="465"/>
      <c r="BX497" s="465"/>
      <c r="BY497" s="465"/>
    </row>
    <row r="498" spans="2:77" s="28" customFormat="1">
      <c r="B498" s="201"/>
      <c r="D498" s="418"/>
      <c r="E498" s="29"/>
      <c r="G498" s="421"/>
      <c r="H498" s="422"/>
      <c r="I498" s="422"/>
      <c r="J498" s="422"/>
      <c r="K498" s="422"/>
      <c r="L498" s="422"/>
      <c r="P498" s="470"/>
      <c r="AJ498" s="31"/>
      <c r="AK498" s="31"/>
      <c r="AL498" s="32"/>
      <c r="AM498" s="33"/>
      <c r="AN498" s="32"/>
      <c r="AO498" s="33"/>
      <c r="AP498" s="32"/>
      <c r="AQ498" s="32"/>
      <c r="AR498" s="201"/>
      <c r="AS498" s="201"/>
      <c r="AT498" s="201"/>
      <c r="AU498" s="201"/>
      <c r="AV498" s="201"/>
      <c r="AW498" s="201"/>
      <c r="AX498" s="201"/>
      <c r="AY498" s="201"/>
      <c r="AZ498" s="201"/>
      <c r="BA498" s="201"/>
      <c r="BB498" s="201"/>
      <c r="BC498" s="201"/>
      <c r="BD498" s="465"/>
      <c r="BE498" s="465"/>
      <c r="BF498" s="465"/>
      <c r="BG498" s="465"/>
      <c r="BH498" s="465"/>
      <c r="BI498" s="465"/>
      <c r="BJ498" s="465"/>
      <c r="BK498" s="465"/>
      <c r="BL498" s="465"/>
      <c r="BM498" s="465"/>
      <c r="BN498" s="465"/>
      <c r="BO498" s="465"/>
      <c r="BP498" s="465"/>
      <c r="BQ498" s="465"/>
      <c r="BR498" s="465"/>
      <c r="BS498" s="465"/>
      <c r="BT498" s="465"/>
      <c r="BU498" s="465"/>
      <c r="BV498" s="465"/>
      <c r="BW498" s="465"/>
      <c r="BX498" s="465"/>
      <c r="BY498" s="465"/>
    </row>
    <row r="499" spans="2:77" s="28" customFormat="1">
      <c r="B499" s="201"/>
      <c r="D499" s="418"/>
      <c r="E499" s="29"/>
      <c r="G499" s="421"/>
      <c r="H499" s="422"/>
      <c r="I499" s="422"/>
      <c r="J499" s="422"/>
      <c r="K499" s="422"/>
      <c r="L499" s="422"/>
      <c r="P499" s="475"/>
      <c r="AJ499" s="31"/>
      <c r="AK499" s="31"/>
      <c r="AL499" s="32"/>
      <c r="AM499" s="33"/>
      <c r="AN499" s="32"/>
      <c r="AO499" s="33"/>
      <c r="AP499" s="32"/>
      <c r="AQ499" s="32"/>
      <c r="AR499" s="201"/>
      <c r="AS499" s="201"/>
      <c r="AT499" s="201"/>
      <c r="AU499" s="201"/>
      <c r="AV499" s="201"/>
      <c r="AW499" s="201"/>
      <c r="AX499" s="201"/>
      <c r="AY499" s="201"/>
      <c r="AZ499" s="201"/>
      <c r="BA499" s="201"/>
      <c r="BB499" s="201"/>
      <c r="BC499" s="201"/>
      <c r="BD499" s="465"/>
      <c r="BE499" s="465"/>
      <c r="BF499" s="465"/>
      <c r="BG499" s="465"/>
      <c r="BH499" s="465"/>
      <c r="BI499" s="465"/>
      <c r="BJ499" s="465"/>
      <c r="BK499" s="465"/>
      <c r="BL499" s="465"/>
      <c r="BM499" s="465"/>
      <c r="BN499" s="465"/>
      <c r="BO499" s="465"/>
      <c r="BP499" s="465"/>
      <c r="BQ499" s="465"/>
      <c r="BR499" s="465"/>
      <c r="BS499" s="465"/>
      <c r="BT499" s="465"/>
      <c r="BU499" s="465"/>
      <c r="BV499" s="465"/>
      <c r="BW499" s="465"/>
      <c r="BX499" s="465"/>
      <c r="BY499" s="465"/>
    </row>
    <row r="500" spans="2:77" s="28" customFormat="1">
      <c r="B500" s="201"/>
      <c r="D500" s="418"/>
      <c r="E500" s="29"/>
      <c r="G500" s="421"/>
      <c r="H500" s="422"/>
      <c r="I500" s="422"/>
      <c r="J500" s="422"/>
      <c r="K500" s="422"/>
      <c r="L500" s="422"/>
      <c r="P500" s="478"/>
      <c r="AJ500" s="31"/>
      <c r="AK500" s="31"/>
      <c r="AL500" s="32"/>
      <c r="AM500" s="33"/>
      <c r="AN500" s="32"/>
      <c r="AO500" s="33"/>
      <c r="AP500" s="32"/>
      <c r="AQ500" s="32"/>
      <c r="AR500" s="201"/>
      <c r="AS500" s="201"/>
      <c r="AT500" s="201"/>
      <c r="AU500" s="201"/>
      <c r="AV500" s="201"/>
      <c r="AW500" s="201"/>
      <c r="AX500" s="201"/>
      <c r="AY500" s="201"/>
      <c r="AZ500" s="201"/>
      <c r="BA500" s="201"/>
      <c r="BB500" s="201"/>
      <c r="BC500" s="201"/>
      <c r="BD500" s="465"/>
      <c r="BE500" s="465"/>
      <c r="BF500" s="465"/>
      <c r="BG500" s="465"/>
      <c r="BH500" s="465"/>
      <c r="BI500" s="465"/>
      <c r="BJ500" s="465"/>
      <c r="BK500" s="465"/>
      <c r="BL500" s="465"/>
      <c r="BM500" s="465"/>
      <c r="BN500" s="465"/>
      <c r="BO500" s="465"/>
      <c r="BP500" s="465"/>
      <c r="BQ500" s="465"/>
      <c r="BR500" s="465"/>
      <c r="BS500" s="465"/>
      <c r="BT500" s="465"/>
      <c r="BU500" s="465"/>
      <c r="BV500" s="465"/>
      <c r="BW500" s="465"/>
      <c r="BX500" s="465"/>
      <c r="BY500" s="465"/>
    </row>
    <row r="501" spans="2:77" s="28" customFormat="1">
      <c r="B501" s="201"/>
      <c r="D501" s="418"/>
      <c r="E501" s="29"/>
      <c r="G501" s="421"/>
      <c r="H501" s="422"/>
      <c r="I501" s="422"/>
      <c r="J501" s="422"/>
      <c r="K501" s="422"/>
      <c r="L501" s="422"/>
      <c r="P501" s="470"/>
      <c r="AJ501" s="31"/>
      <c r="AK501" s="31"/>
      <c r="AL501" s="32"/>
      <c r="AM501" s="33"/>
      <c r="AN501" s="32"/>
      <c r="AO501" s="33"/>
      <c r="AP501" s="32"/>
      <c r="AQ501" s="32"/>
      <c r="AR501" s="201"/>
      <c r="AS501" s="201"/>
      <c r="AT501" s="201"/>
      <c r="AU501" s="201"/>
      <c r="AV501" s="201"/>
      <c r="AW501" s="201"/>
      <c r="AX501" s="201"/>
      <c r="AY501" s="201"/>
      <c r="AZ501" s="201"/>
      <c r="BA501" s="201"/>
      <c r="BB501" s="201"/>
      <c r="BC501" s="201"/>
      <c r="BD501" s="465"/>
      <c r="BE501" s="465"/>
      <c r="BF501" s="465"/>
      <c r="BG501" s="465"/>
      <c r="BH501" s="465"/>
      <c r="BI501" s="465"/>
      <c r="BJ501" s="465"/>
      <c r="BK501" s="465"/>
      <c r="BL501" s="465"/>
      <c r="BM501" s="465"/>
      <c r="BN501" s="465"/>
      <c r="BO501" s="465"/>
      <c r="BP501" s="465"/>
      <c r="BQ501" s="465"/>
      <c r="BR501" s="465"/>
      <c r="BS501" s="465"/>
      <c r="BT501" s="465"/>
      <c r="BU501" s="465"/>
      <c r="BV501" s="465"/>
      <c r="BW501" s="465"/>
      <c r="BX501" s="465"/>
      <c r="BY501" s="465"/>
    </row>
    <row r="502" spans="2:77" s="28" customFormat="1">
      <c r="B502" s="201"/>
      <c r="D502" s="418"/>
      <c r="E502" s="29"/>
      <c r="G502" s="421"/>
      <c r="H502" s="422"/>
      <c r="I502" s="422"/>
      <c r="J502" s="422"/>
      <c r="K502" s="422"/>
      <c r="L502" s="422"/>
      <c r="P502" s="473"/>
      <c r="AJ502" s="31"/>
      <c r="AK502" s="31"/>
      <c r="AL502" s="32"/>
      <c r="AM502" s="33"/>
      <c r="AN502" s="32"/>
      <c r="AO502" s="33"/>
      <c r="AP502" s="32"/>
      <c r="AQ502" s="32"/>
      <c r="AR502" s="201"/>
      <c r="AS502" s="201"/>
      <c r="AT502" s="201"/>
      <c r="AU502" s="201"/>
      <c r="AV502" s="201"/>
      <c r="AW502" s="201"/>
      <c r="AX502" s="201"/>
      <c r="AY502" s="201"/>
      <c r="AZ502" s="201"/>
      <c r="BA502" s="201"/>
      <c r="BB502" s="201"/>
      <c r="BC502" s="201"/>
      <c r="BD502" s="465"/>
      <c r="BE502" s="465"/>
      <c r="BF502" s="465"/>
      <c r="BG502" s="465"/>
      <c r="BH502" s="465"/>
      <c r="BI502" s="465"/>
      <c r="BJ502" s="465"/>
      <c r="BK502" s="465"/>
      <c r="BL502" s="465"/>
      <c r="BM502" s="465"/>
      <c r="BN502" s="465"/>
      <c r="BO502" s="465"/>
      <c r="BP502" s="465"/>
      <c r="BQ502" s="465"/>
      <c r="BR502" s="465"/>
      <c r="BS502" s="465"/>
      <c r="BT502" s="465"/>
      <c r="BU502" s="465"/>
      <c r="BV502" s="465"/>
      <c r="BW502" s="465"/>
      <c r="BX502" s="465"/>
      <c r="BY502" s="465"/>
    </row>
    <row r="503" spans="2:77" s="28" customFormat="1">
      <c r="B503" s="201"/>
      <c r="D503" s="418"/>
      <c r="E503" s="29"/>
      <c r="G503" s="421"/>
      <c r="H503" s="422"/>
      <c r="I503" s="422"/>
      <c r="J503" s="422"/>
      <c r="K503" s="422"/>
      <c r="L503" s="422"/>
      <c r="P503" s="470"/>
      <c r="AJ503" s="31"/>
      <c r="AK503" s="31"/>
      <c r="AL503" s="32"/>
      <c r="AM503" s="33"/>
      <c r="AN503" s="32"/>
      <c r="AO503" s="33"/>
      <c r="AP503" s="32"/>
      <c r="AQ503" s="32"/>
      <c r="AR503" s="201"/>
      <c r="AS503" s="201"/>
      <c r="AT503" s="201"/>
      <c r="AU503" s="201"/>
      <c r="AV503" s="201"/>
      <c r="AW503" s="201"/>
      <c r="AX503" s="201"/>
      <c r="AY503" s="201"/>
      <c r="AZ503" s="201"/>
      <c r="BA503" s="201"/>
      <c r="BB503" s="201"/>
      <c r="BC503" s="201"/>
      <c r="BD503" s="465"/>
      <c r="BE503" s="465"/>
      <c r="BF503" s="465"/>
      <c r="BG503" s="465"/>
      <c r="BH503" s="465"/>
      <c r="BI503" s="465"/>
      <c r="BJ503" s="465"/>
      <c r="BK503" s="465"/>
      <c r="BL503" s="465"/>
      <c r="BM503" s="465"/>
      <c r="BN503" s="465"/>
      <c r="BO503" s="465"/>
      <c r="BP503" s="465"/>
      <c r="BQ503" s="465"/>
      <c r="BR503" s="465"/>
      <c r="BS503" s="465"/>
      <c r="BT503" s="465"/>
      <c r="BU503" s="465"/>
      <c r="BV503" s="465"/>
      <c r="BW503" s="465"/>
      <c r="BX503" s="465"/>
      <c r="BY503" s="465"/>
    </row>
    <row r="504" spans="2:77" s="28" customFormat="1">
      <c r="B504" s="201"/>
      <c r="D504" s="418"/>
      <c r="E504" s="29"/>
      <c r="G504" s="421"/>
      <c r="H504" s="422"/>
      <c r="I504" s="422"/>
      <c r="J504" s="422"/>
      <c r="K504" s="422"/>
      <c r="L504" s="422"/>
      <c r="P504" s="469"/>
      <c r="AJ504" s="31"/>
      <c r="AK504" s="31"/>
      <c r="AL504" s="32"/>
      <c r="AM504" s="33"/>
      <c r="AN504" s="32"/>
      <c r="AO504" s="33"/>
      <c r="AP504" s="32"/>
      <c r="AQ504" s="32"/>
      <c r="AR504" s="201"/>
      <c r="AS504" s="201"/>
      <c r="AT504" s="201"/>
      <c r="AU504" s="201"/>
      <c r="AV504" s="201"/>
      <c r="AW504" s="201"/>
      <c r="AX504" s="201"/>
      <c r="AY504" s="201"/>
      <c r="AZ504" s="201"/>
      <c r="BA504" s="201"/>
      <c r="BB504" s="201"/>
      <c r="BC504" s="201"/>
      <c r="BD504" s="465"/>
      <c r="BE504" s="465"/>
      <c r="BF504" s="465"/>
      <c r="BG504" s="465"/>
      <c r="BH504" s="465"/>
      <c r="BI504" s="465"/>
      <c r="BJ504" s="465"/>
      <c r="BK504" s="465"/>
      <c r="BL504" s="465"/>
      <c r="BM504" s="465"/>
      <c r="BN504" s="465"/>
      <c r="BO504" s="465"/>
      <c r="BP504" s="465"/>
      <c r="BQ504" s="465"/>
      <c r="BR504" s="465"/>
      <c r="BS504" s="465"/>
      <c r="BT504" s="465"/>
      <c r="BU504" s="465"/>
      <c r="BV504" s="465"/>
      <c r="BW504" s="465"/>
      <c r="BX504" s="465"/>
      <c r="BY504" s="465"/>
    </row>
    <row r="505" spans="2:77" s="28" customFormat="1">
      <c r="B505" s="201"/>
      <c r="D505" s="418"/>
      <c r="E505" s="29"/>
      <c r="G505" s="421"/>
      <c r="H505" s="422"/>
      <c r="I505" s="422"/>
      <c r="J505" s="422"/>
      <c r="K505" s="422"/>
      <c r="L505" s="422"/>
      <c r="P505" s="473"/>
      <c r="AJ505" s="31"/>
      <c r="AK505" s="31"/>
      <c r="AL505" s="32"/>
      <c r="AM505" s="33"/>
      <c r="AN505" s="32"/>
      <c r="AO505" s="33"/>
      <c r="AP505" s="32"/>
      <c r="AQ505" s="32"/>
      <c r="AR505" s="201"/>
      <c r="AS505" s="201"/>
      <c r="AT505" s="201"/>
      <c r="AU505" s="201"/>
      <c r="AV505" s="201"/>
      <c r="AW505" s="201"/>
      <c r="AX505" s="201"/>
      <c r="AY505" s="201"/>
      <c r="AZ505" s="201"/>
      <c r="BA505" s="201"/>
      <c r="BB505" s="201"/>
      <c r="BC505" s="201"/>
      <c r="BD505" s="465"/>
      <c r="BE505" s="465"/>
      <c r="BF505" s="465"/>
      <c r="BG505" s="465"/>
      <c r="BH505" s="465"/>
      <c r="BI505" s="465"/>
      <c r="BJ505" s="465"/>
      <c r="BK505" s="465"/>
      <c r="BL505" s="465"/>
      <c r="BM505" s="465"/>
      <c r="BN505" s="465"/>
      <c r="BO505" s="465"/>
      <c r="BP505" s="465"/>
      <c r="BQ505" s="465"/>
      <c r="BR505" s="465"/>
      <c r="BS505" s="465"/>
      <c r="BT505" s="465"/>
      <c r="BU505" s="465"/>
      <c r="BV505" s="465"/>
      <c r="BW505" s="465"/>
      <c r="BX505" s="465"/>
      <c r="BY505" s="465"/>
    </row>
    <row r="506" spans="2:77" s="28" customFormat="1">
      <c r="B506" s="201"/>
      <c r="D506" s="418"/>
      <c r="E506" s="29"/>
      <c r="G506" s="421"/>
      <c r="H506" s="422"/>
      <c r="I506" s="422"/>
      <c r="J506" s="422"/>
      <c r="K506" s="422"/>
      <c r="L506" s="422"/>
      <c r="P506" s="476"/>
      <c r="AJ506" s="31"/>
      <c r="AK506" s="31"/>
      <c r="AL506" s="32"/>
      <c r="AM506" s="33"/>
      <c r="AN506" s="32"/>
      <c r="AO506" s="33"/>
      <c r="AP506" s="32"/>
      <c r="AQ506" s="32"/>
      <c r="AR506" s="201"/>
      <c r="AS506" s="201"/>
      <c r="AT506" s="201"/>
      <c r="AU506" s="201"/>
      <c r="AV506" s="201"/>
      <c r="AW506" s="201"/>
      <c r="AX506" s="201"/>
      <c r="AY506" s="201"/>
      <c r="AZ506" s="201"/>
      <c r="BA506" s="201"/>
      <c r="BB506" s="201"/>
      <c r="BC506" s="201"/>
      <c r="BD506" s="465"/>
      <c r="BE506" s="465"/>
      <c r="BF506" s="465"/>
      <c r="BG506" s="465"/>
      <c r="BH506" s="465"/>
      <c r="BI506" s="465"/>
      <c r="BJ506" s="465"/>
      <c r="BK506" s="465"/>
      <c r="BL506" s="465"/>
      <c r="BM506" s="465"/>
      <c r="BN506" s="465"/>
      <c r="BO506" s="465"/>
      <c r="BP506" s="465"/>
      <c r="BQ506" s="465"/>
      <c r="BR506" s="465"/>
      <c r="BS506" s="465"/>
      <c r="BT506" s="465"/>
      <c r="BU506" s="465"/>
      <c r="BV506" s="465"/>
      <c r="BW506" s="465"/>
      <c r="BX506" s="465"/>
      <c r="BY506" s="465"/>
    </row>
    <row r="507" spans="2:77" s="28" customFormat="1">
      <c r="B507" s="201"/>
      <c r="D507" s="418"/>
      <c r="E507" s="29"/>
      <c r="G507" s="421"/>
      <c r="H507" s="422"/>
      <c r="I507" s="422"/>
      <c r="J507" s="422"/>
      <c r="K507" s="422"/>
      <c r="L507" s="422"/>
      <c r="P507" s="473"/>
      <c r="AJ507" s="31"/>
      <c r="AK507" s="31"/>
      <c r="AL507" s="32"/>
      <c r="AM507" s="33"/>
      <c r="AN507" s="32"/>
      <c r="AO507" s="33"/>
      <c r="AP507" s="32"/>
      <c r="AQ507" s="32"/>
      <c r="AR507" s="201"/>
      <c r="AS507" s="201"/>
      <c r="AT507" s="201"/>
      <c r="AU507" s="201"/>
      <c r="AV507" s="201"/>
      <c r="AW507" s="201"/>
      <c r="AX507" s="201"/>
      <c r="AY507" s="201"/>
      <c r="AZ507" s="201"/>
      <c r="BA507" s="201"/>
      <c r="BB507" s="201"/>
      <c r="BC507" s="201"/>
      <c r="BD507" s="465"/>
      <c r="BE507" s="465"/>
      <c r="BF507" s="465"/>
      <c r="BG507" s="465"/>
      <c r="BH507" s="465"/>
      <c r="BI507" s="465"/>
      <c r="BJ507" s="465"/>
      <c r="BK507" s="465"/>
      <c r="BL507" s="465"/>
      <c r="BM507" s="465"/>
      <c r="BN507" s="465"/>
      <c r="BO507" s="465"/>
      <c r="BP507" s="465"/>
      <c r="BQ507" s="465"/>
      <c r="BR507" s="465"/>
      <c r="BS507" s="465"/>
      <c r="BT507" s="465"/>
      <c r="BU507" s="465"/>
      <c r="BV507" s="465"/>
      <c r="BW507" s="465"/>
      <c r="BX507" s="465"/>
      <c r="BY507" s="465"/>
    </row>
    <row r="508" spans="2:77" s="28" customFormat="1">
      <c r="B508" s="201"/>
      <c r="D508" s="418"/>
      <c r="E508" s="29"/>
      <c r="G508" s="421"/>
      <c r="H508" s="422"/>
      <c r="I508" s="422"/>
      <c r="J508" s="422"/>
      <c r="K508" s="422"/>
      <c r="L508" s="422"/>
      <c r="P508" s="469"/>
      <c r="AJ508" s="31"/>
      <c r="AK508" s="31"/>
      <c r="AL508" s="32"/>
      <c r="AM508" s="33"/>
      <c r="AN508" s="32"/>
      <c r="AO508" s="33"/>
      <c r="AP508" s="32"/>
      <c r="AQ508" s="32"/>
      <c r="AR508" s="201"/>
      <c r="AS508" s="201"/>
      <c r="AT508" s="201"/>
      <c r="AU508" s="201"/>
      <c r="AV508" s="201"/>
      <c r="AW508" s="201"/>
      <c r="AX508" s="201"/>
      <c r="AY508" s="201"/>
      <c r="AZ508" s="201"/>
      <c r="BA508" s="201"/>
      <c r="BB508" s="201"/>
      <c r="BC508" s="201"/>
      <c r="BD508" s="465"/>
      <c r="BE508" s="465"/>
      <c r="BF508" s="465"/>
      <c r="BG508" s="465"/>
      <c r="BH508" s="465"/>
      <c r="BI508" s="465"/>
      <c r="BJ508" s="465"/>
      <c r="BK508" s="465"/>
      <c r="BL508" s="465"/>
      <c r="BM508" s="465"/>
      <c r="BN508" s="465"/>
      <c r="BO508" s="465"/>
      <c r="BP508" s="465"/>
      <c r="BQ508" s="465"/>
      <c r="BR508" s="465"/>
      <c r="BS508" s="465"/>
      <c r="BT508" s="465"/>
      <c r="BU508" s="465"/>
      <c r="BV508" s="465"/>
      <c r="BW508" s="465"/>
      <c r="BX508" s="465"/>
      <c r="BY508" s="465"/>
    </row>
    <row r="509" spans="2:77" s="28" customFormat="1">
      <c r="B509" s="201"/>
      <c r="D509" s="418"/>
      <c r="E509" s="29"/>
      <c r="G509" s="421"/>
      <c r="H509" s="422"/>
      <c r="I509" s="422"/>
      <c r="J509" s="422"/>
      <c r="K509" s="422"/>
      <c r="L509" s="422"/>
      <c r="P509" s="477"/>
      <c r="AJ509" s="31"/>
      <c r="AK509" s="31"/>
      <c r="AL509" s="32"/>
      <c r="AM509" s="33"/>
      <c r="AN509" s="32"/>
      <c r="AO509" s="33"/>
      <c r="AP509" s="32"/>
      <c r="AQ509" s="32"/>
      <c r="AR509" s="201"/>
      <c r="AS509" s="201"/>
      <c r="AT509" s="201"/>
      <c r="AU509" s="201"/>
      <c r="AV509" s="201"/>
      <c r="AW509" s="201"/>
      <c r="AX509" s="201"/>
      <c r="AY509" s="201"/>
      <c r="AZ509" s="201"/>
      <c r="BA509" s="201"/>
      <c r="BB509" s="201"/>
      <c r="BC509" s="201"/>
      <c r="BD509" s="465"/>
      <c r="BE509" s="465"/>
      <c r="BF509" s="465"/>
      <c r="BG509" s="465"/>
      <c r="BH509" s="465"/>
      <c r="BI509" s="465"/>
      <c r="BJ509" s="465"/>
      <c r="BK509" s="465"/>
      <c r="BL509" s="465"/>
      <c r="BM509" s="465"/>
      <c r="BN509" s="465"/>
      <c r="BO509" s="465"/>
      <c r="BP509" s="465"/>
      <c r="BQ509" s="465"/>
      <c r="BR509" s="465"/>
      <c r="BS509" s="465"/>
      <c r="BT509" s="465"/>
      <c r="BU509" s="465"/>
      <c r="BV509" s="465"/>
      <c r="BW509" s="465"/>
      <c r="BX509" s="465"/>
      <c r="BY509" s="465"/>
    </row>
    <row r="510" spans="2:77" s="28" customFormat="1">
      <c r="B510" s="201"/>
      <c r="D510" s="418"/>
      <c r="E510" s="29"/>
      <c r="G510" s="421"/>
      <c r="H510" s="422"/>
      <c r="I510" s="422"/>
      <c r="J510" s="422"/>
      <c r="K510" s="422"/>
      <c r="L510" s="422"/>
      <c r="P510" s="470"/>
      <c r="AJ510" s="31"/>
      <c r="AK510" s="31"/>
      <c r="AL510" s="32"/>
      <c r="AM510" s="33"/>
      <c r="AN510" s="32"/>
      <c r="AO510" s="33"/>
      <c r="AP510" s="32"/>
      <c r="AQ510" s="32"/>
      <c r="AR510" s="201"/>
      <c r="AS510" s="201"/>
      <c r="AT510" s="201"/>
      <c r="AU510" s="201"/>
      <c r="AV510" s="201"/>
      <c r="AW510" s="201"/>
      <c r="AX510" s="201"/>
      <c r="AY510" s="201"/>
      <c r="AZ510" s="201"/>
      <c r="BA510" s="201"/>
      <c r="BB510" s="201"/>
      <c r="BC510" s="201"/>
      <c r="BD510" s="465"/>
      <c r="BE510" s="465"/>
      <c r="BF510" s="465"/>
      <c r="BG510" s="465"/>
      <c r="BH510" s="465"/>
      <c r="BI510" s="465"/>
      <c r="BJ510" s="465"/>
      <c r="BK510" s="465"/>
      <c r="BL510" s="465"/>
      <c r="BM510" s="465"/>
      <c r="BN510" s="465"/>
      <c r="BO510" s="465"/>
      <c r="BP510" s="465"/>
      <c r="BQ510" s="465"/>
      <c r="BR510" s="465"/>
      <c r="BS510" s="465"/>
      <c r="BT510" s="465"/>
      <c r="BU510" s="465"/>
      <c r="BV510" s="465"/>
      <c r="BW510" s="465"/>
      <c r="BX510" s="465"/>
      <c r="BY510" s="465"/>
    </row>
    <row r="511" spans="2:77" s="28" customFormat="1">
      <c r="B511" s="201"/>
      <c r="D511" s="418"/>
      <c r="E511" s="29"/>
      <c r="G511" s="421"/>
      <c r="H511" s="422"/>
      <c r="I511" s="422"/>
      <c r="J511" s="422"/>
      <c r="K511" s="422"/>
      <c r="L511" s="422"/>
      <c r="P511" s="469"/>
      <c r="AJ511" s="31"/>
      <c r="AK511" s="31"/>
      <c r="AL511" s="32"/>
      <c r="AM511" s="33"/>
      <c r="AN511" s="32"/>
      <c r="AO511" s="33"/>
      <c r="AP511" s="32"/>
      <c r="AQ511" s="32"/>
      <c r="AR511" s="201"/>
      <c r="AS511" s="201"/>
      <c r="AT511" s="201"/>
      <c r="AU511" s="201"/>
      <c r="AV511" s="201"/>
      <c r="AW511" s="201"/>
      <c r="AX511" s="201"/>
      <c r="AY511" s="201"/>
      <c r="AZ511" s="201"/>
      <c r="BA511" s="201"/>
      <c r="BB511" s="201"/>
      <c r="BC511" s="201"/>
      <c r="BD511" s="465"/>
      <c r="BE511" s="465"/>
      <c r="BF511" s="465"/>
      <c r="BG511" s="465"/>
      <c r="BH511" s="465"/>
      <c r="BI511" s="465"/>
      <c r="BJ511" s="465"/>
      <c r="BK511" s="465"/>
      <c r="BL511" s="465"/>
      <c r="BM511" s="465"/>
      <c r="BN511" s="465"/>
      <c r="BO511" s="465"/>
      <c r="BP511" s="465"/>
      <c r="BQ511" s="465"/>
      <c r="BR511" s="465"/>
      <c r="BS511" s="465"/>
      <c r="BT511" s="465"/>
      <c r="BU511" s="465"/>
      <c r="BV511" s="465"/>
      <c r="BW511" s="465"/>
      <c r="BX511" s="465"/>
      <c r="BY511" s="465"/>
    </row>
    <row r="512" spans="2:77" s="28" customFormat="1">
      <c r="B512" s="201"/>
      <c r="D512" s="418"/>
      <c r="E512" s="29"/>
      <c r="G512" s="421"/>
      <c r="H512" s="422"/>
      <c r="I512" s="422"/>
      <c r="J512" s="422"/>
      <c r="K512" s="422"/>
      <c r="L512" s="422"/>
      <c r="P512" s="481"/>
      <c r="AJ512" s="31"/>
      <c r="AK512" s="31"/>
      <c r="AL512" s="32"/>
      <c r="AM512" s="33"/>
      <c r="AN512" s="32"/>
      <c r="AO512" s="33"/>
      <c r="AP512" s="32"/>
      <c r="AQ512" s="32"/>
      <c r="AR512" s="201"/>
      <c r="AS512" s="201"/>
      <c r="AT512" s="201"/>
      <c r="AU512" s="201"/>
      <c r="AV512" s="201"/>
      <c r="AW512" s="201"/>
      <c r="AX512" s="201"/>
      <c r="AY512" s="201"/>
      <c r="AZ512" s="201"/>
      <c r="BA512" s="201"/>
      <c r="BB512" s="201"/>
      <c r="BC512" s="201"/>
      <c r="BD512" s="465"/>
      <c r="BE512" s="465"/>
      <c r="BF512" s="465"/>
      <c r="BG512" s="465"/>
      <c r="BH512" s="465"/>
      <c r="BI512" s="465"/>
      <c r="BJ512" s="465"/>
      <c r="BK512" s="465"/>
      <c r="BL512" s="465"/>
      <c r="BM512" s="465"/>
      <c r="BN512" s="465"/>
      <c r="BO512" s="465"/>
      <c r="BP512" s="465"/>
      <c r="BQ512" s="465"/>
      <c r="BR512" s="465"/>
      <c r="BS512" s="465"/>
      <c r="BT512" s="465"/>
      <c r="BU512" s="465"/>
      <c r="BV512" s="465"/>
      <c r="BW512" s="465"/>
      <c r="BX512" s="465"/>
      <c r="BY512" s="465"/>
    </row>
    <row r="513" spans="2:77" s="28" customFormat="1">
      <c r="B513" s="201"/>
      <c r="D513" s="418"/>
      <c r="E513" s="29"/>
      <c r="G513" s="421"/>
      <c r="H513" s="422"/>
      <c r="I513" s="422"/>
      <c r="J513" s="422"/>
      <c r="K513" s="422"/>
      <c r="L513" s="422"/>
      <c r="P513" s="474"/>
      <c r="AJ513" s="31"/>
      <c r="AK513" s="31"/>
      <c r="AL513" s="32"/>
      <c r="AM513" s="33"/>
      <c r="AN513" s="32"/>
      <c r="AO513" s="33"/>
      <c r="AP513" s="32"/>
      <c r="AQ513" s="32"/>
      <c r="AR513" s="201"/>
      <c r="AS513" s="201"/>
      <c r="AT513" s="201"/>
      <c r="AU513" s="201"/>
      <c r="AV513" s="201"/>
      <c r="AW513" s="201"/>
      <c r="AX513" s="201"/>
      <c r="AY513" s="201"/>
      <c r="AZ513" s="201"/>
      <c r="BA513" s="201"/>
      <c r="BB513" s="201"/>
      <c r="BC513" s="201"/>
      <c r="BD513" s="465"/>
      <c r="BE513" s="465"/>
      <c r="BF513" s="465"/>
      <c r="BG513" s="465"/>
      <c r="BH513" s="465"/>
      <c r="BI513" s="465"/>
      <c r="BJ513" s="465"/>
      <c r="BK513" s="465"/>
      <c r="BL513" s="465"/>
      <c r="BM513" s="465"/>
      <c r="BN513" s="465"/>
      <c r="BO513" s="465"/>
      <c r="BP513" s="465"/>
      <c r="BQ513" s="465"/>
      <c r="BR513" s="465"/>
      <c r="BS513" s="465"/>
      <c r="BT513" s="465"/>
      <c r="BU513" s="465"/>
      <c r="BV513" s="465"/>
      <c r="BW513" s="465"/>
      <c r="BX513" s="465"/>
      <c r="BY513" s="465"/>
    </row>
    <row r="514" spans="2:77" s="28" customFormat="1">
      <c r="B514" s="201"/>
      <c r="D514" s="418"/>
      <c r="E514" s="29"/>
      <c r="G514" s="421"/>
      <c r="H514" s="422"/>
      <c r="I514" s="422"/>
      <c r="J514" s="422"/>
      <c r="K514" s="422"/>
      <c r="L514" s="422"/>
      <c r="P514" s="472"/>
      <c r="AJ514" s="31"/>
      <c r="AK514" s="31"/>
      <c r="AL514" s="32"/>
      <c r="AM514" s="33"/>
      <c r="AN514" s="32"/>
      <c r="AO514" s="33"/>
      <c r="AP514" s="32"/>
      <c r="AQ514" s="32"/>
      <c r="AR514" s="201"/>
      <c r="AS514" s="201"/>
      <c r="AT514" s="201"/>
      <c r="AU514" s="201"/>
      <c r="AV514" s="201"/>
      <c r="AW514" s="201"/>
      <c r="AX514" s="201"/>
      <c r="AY514" s="201"/>
      <c r="AZ514" s="201"/>
      <c r="BA514" s="201"/>
      <c r="BB514" s="201"/>
      <c r="BC514" s="201"/>
      <c r="BD514" s="465"/>
      <c r="BE514" s="465"/>
      <c r="BF514" s="465"/>
      <c r="BG514" s="465"/>
      <c r="BH514" s="465"/>
      <c r="BI514" s="465"/>
      <c r="BJ514" s="465"/>
      <c r="BK514" s="465"/>
      <c r="BL514" s="465"/>
      <c r="BM514" s="465"/>
      <c r="BN514" s="465"/>
      <c r="BO514" s="465"/>
      <c r="BP514" s="465"/>
      <c r="BQ514" s="465"/>
      <c r="BR514" s="465"/>
      <c r="BS514" s="465"/>
      <c r="BT514" s="465"/>
      <c r="BU514" s="465"/>
      <c r="BV514" s="465"/>
      <c r="BW514" s="465"/>
      <c r="BX514" s="465"/>
      <c r="BY514" s="465"/>
    </row>
    <row r="515" spans="2:77" s="28" customFormat="1">
      <c r="B515" s="201"/>
      <c r="D515" s="418"/>
      <c r="E515" s="29"/>
      <c r="G515" s="421"/>
      <c r="H515" s="422"/>
      <c r="I515" s="422"/>
      <c r="J515" s="422"/>
      <c r="K515" s="422"/>
      <c r="L515" s="422"/>
      <c r="P515" s="477"/>
      <c r="AJ515" s="31"/>
      <c r="AK515" s="31"/>
      <c r="AL515" s="32"/>
      <c r="AM515" s="33"/>
      <c r="AN515" s="32"/>
      <c r="AO515" s="33"/>
      <c r="AP515" s="32"/>
      <c r="AQ515" s="32"/>
      <c r="AR515" s="201"/>
      <c r="AS515" s="201"/>
      <c r="AT515" s="201"/>
      <c r="AU515" s="201"/>
      <c r="AV515" s="201"/>
      <c r="AW515" s="201"/>
      <c r="AX515" s="201"/>
      <c r="AY515" s="201"/>
      <c r="AZ515" s="201"/>
      <c r="BA515" s="201"/>
      <c r="BB515" s="201"/>
      <c r="BC515" s="201"/>
      <c r="BD515" s="465"/>
      <c r="BE515" s="465"/>
      <c r="BF515" s="465"/>
      <c r="BG515" s="465"/>
      <c r="BH515" s="465"/>
      <c r="BI515" s="465"/>
      <c r="BJ515" s="465"/>
      <c r="BK515" s="465"/>
      <c r="BL515" s="465"/>
      <c r="BM515" s="465"/>
      <c r="BN515" s="465"/>
      <c r="BO515" s="465"/>
      <c r="BP515" s="465"/>
      <c r="BQ515" s="465"/>
      <c r="BR515" s="465"/>
      <c r="BS515" s="465"/>
      <c r="BT515" s="465"/>
      <c r="BU515" s="465"/>
      <c r="BV515" s="465"/>
      <c r="BW515" s="465"/>
      <c r="BX515" s="465"/>
      <c r="BY515" s="465"/>
    </row>
    <row r="516" spans="2:77" s="28" customFormat="1">
      <c r="B516" s="201"/>
      <c r="D516" s="418"/>
      <c r="E516" s="29"/>
      <c r="G516" s="421"/>
      <c r="H516" s="422"/>
      <c r="I516" s="422"/>
      <c r="J516" s="422"/>
      <c r="K516" s="422"/>
      <c r="L516" s="422"/>
      <c r="P516" s="481"/>
      <c r="AJ516" s="31"/>
      <c r="AK516" s="31"/>
      <c r="AL516" s="32"/>
      <c r="AM516" s="33"/>
      <c r="AN516" s="32"/>
      <c r="AO516" s="33"/>
      <c r="AP516" s="32"/>
      <c r="AQ516" s="32"/>
      <c r="AR516" s="201"/>
      <c r="AS516" s="201"/>
      <c r="AT516" s="201"/>
      <c r="AU516" s="201"/>
      <c r="AV516" s="201"/>
      <c r="AW516" s="201"/>
      <c r="AX516" s="201"/>
      <c r="AY516" s="201"/>
      <c r="AZ516" s="201"/>
      <c r="BA516" s="201"/>
      <c r="BB516" s="201"/>
      <c r="BC516" s="201"/>
      <c r="BD516" s="465"/>
      <c r="BE516" s="465"/>
      <c r="BF516" s="465"/>
      <c r="BG516" s="465"/>
      <c r="BH516" s="465"/>
      <c r="BI516" s="465"/>
      <c r="BJ516" s="465"/>
      <c r="BK516" s="465"/>
      <c r="BL516" s="465"/>
      <c r="BM516" s="465"/>
      <c r="BN516" s="465"/>
      <c r="BO516" s="465"/>
      <c r="BP516" s="465"/>
      <c r="BQ516" s="465"/>
      <c r="BR516" s="465"/>
      <c r="BS516" s="465"/>
      <c r="BT516" s="465"/>
      <c r="BU516" s="465"/>
      <c r="BV516" s="465"/>
      <c r="BW516" s="465"/>
      <c r="BX516" s="465"/>
      <c r="BY516" s="465"/>
    </row>
    <row r="517" spans="2:77" s="28" customFormat="1">
      <c r="B517" s="201"/>
      <c r="D517" s="418"/>
      <c r="E517" s="29"/>
      <c r="G517" s="421"/>
      <c r="H517" s="422"/>
      <c r="I517" s="422"/>
      <c r="J517" s="422"/>
      <c r="K517" s="422"/>
      <c r="L517" s="422"/>
      <c r="P517" s="481"/>
      <c r="AJ517" s="31"/>
      <c r="AK517" s="31"/>
      <c r="AL517" s="32"/>
      <c r="AM517" s="33"/>
      <c r="AN517" s="32"/>
      <c r="AO517" s="33"/>
      <c r="AP517" s="32"/>
      <c r="AQ517" s="32"/>
      <c r="AR517" s="201"/>
      <c r="AS517" s="201"/>
      <c r="AT517" s="201"/>
      <c r="AU517" s="201"/>
      <c r="AV517" s="201"/>
      <c r="AW517" s="201"/>
      <c r="AX517" s="201"/>
      <c r="AY517" s="201"/>
      <c r="AZ517" s="201"/>
      <c r="BA517" s="201"/>
      <c r="BB517" s="201"/>
      <c r="BC517" s="201"/>
      <c r="BD517" s="465"/>
      <c r="BE517" s="465"/>
      <c r="BF517" s="465"/>
      <c r="BG517" s="465"/>
      <c r="BH517" s="465"/>
      <c r="BI517" s="465"/>
      <c r="BJ517" s="465"/>
      <c r="BK517" s="465"/>
      <c r="BL517" s="465"/>
      <c r="BM517" s="465"/>
      <c r="BN517" s="465"/>
      <c r="BO517" s="465"/>
      <c r="BP517" s="465"/>
      <c r="BQ517" s="465"/>
      <c r="BR517" s="465"/>
      <c r="BS517" s="465"/>
      <c r="BT517" s="465"/>
      <c r="BU517" s="465"/>
      <c r="BV517" s="465"/>
      <c r="BW517" s="465"/>
      <c r="BX517" s="465"/>
      <c r="BY517" s="465"/>
    </row>
    <row r="518" spans="2:77" s="28" customFormat="1">
      <c r="B518" s="201"/>
      <c r="D518" s="418"/>
      <c r="E518" s="29"/>
      <c r="G518" s="421"/>
      <c r="H518" s="422"/>
      <c r="I518" s="422"/>
      <c r="J518" s="422"/>
      <c r="K518" s="422"/>
      <c r="L518" s="422"/>
      <c r="P518" s="476"/>
      <c r="AJ518" s="31"/>
      <c r="AK518" s="31"/>
      <c r="AL518" s="32"/>
      <c r="AM518" s="33"/>
      <c r="AN518" s="32"/>
      <c r="AO518" s="33"/>
      <c r="AP518" s="32"/>
      <c r="AQ518" s="32"/>
      <c r="AR518" s="201"/>
      <c r="AS518" s="201"/>
      <c r="AT518" s="201"/>
      <c r="AU518" s="201"/>
      <c r="AV518" s="201"/>
      <c r="AW518" s="201"/>
      <c r="AX518" s="201"/>
      <c r="AY518" s="201"/>
      <c r="AZ518" s="201"/>
      <c r="BA518" s="201"/>
      <c r="BB518" s="201"/>
      <c r="BC518" s="201"/>
      <c r="BD518" s="465"/>
      <c r="BE518" s="465"/>
      <c r="BF518" s="465"/>
      <c r="BG518" s="465"/>
      <c r="BH518" s="465"/>
      <c r="BI518" s="465"/>
      <c r="BJ518" s="465"/>
      <c r="BK518" s="465"/>
      <c r="BL518" s="465"/>
      <c r="BM518" s="465"/>
      <c r="BN518" s="465"/>
      <c r="BO518" s="465"/>
      <c r="BP518" s="465"/>
      <c r="BQ518" s="465"/>
      <c r="BR518" s="465"/>
      <c r="BS518" s="465"/>
      <c r="BT518" s="465"/>
      <c r="BU518" s="465"/>
      <c r="BV518" s="465"/>
      <c r="BW518" s="465"/>
      <c r="BX518" s="465"/>
      <c r="BY518" s="465"/>
    </row>
    <row r="519" spans="2:77" s="28" customFormat="1">
      <c r="B519" s="201"/>
      <c r="D519" s="418"/>
      <c r="E519" s="29"/>
      <c r="G519" s="421"/>
      <c r="H519" s="422"/>
      <c r="I519" s="422"/>
      <c r="J519" s="422"/>
      <c r="K519" s="422"/>
      <c r="L519" s="422"/>
      <c r="P519" s="469"/>
      <c r="AJ519" s="31"/>
      <c r="AK519" s="31"/>
      <c r="AL519" s="32"/>
      <c r="AM519" s="33"/>
      <c r="AN519" s="32"/>
      <c r="AO519" s="33"/>
      <c r="AP519" s="32"/>
      <c r="AQ519" s="32"/>
      <c r="AR519" s="201"/>
      <c r="AS519" s="201"/>
      <c r="AT519" s="201"/>
      <c r="AU519" s="201"/>
      <c r="AV519" s="201"/>
      <c r="AW519" s="201"/>
      <c r="AX519" s="201"/>
      <c r="AY519" s="201"/>
      <c r="AZ519" s="201"/>
      <c r="BA519" s="201"/>
      <c r="BB519" s="201"/>
      <c r="BC519" s="201"/>
      <c r="BD519" s="465"/>
      <c r="BE519" s="465"/>
      <c r="BF519" s="465"/>
      <c r="BG519" s="465"/>
      <c r="BH519" s="465"/>
      <c r="BI519" s="465"/>
      <c r="BJ519" s="465"/>
      <c r="BK519" s="465"/>
      <c r="BL519" s="465"/>
      <c r="BM519" s="465"/>
      <c r="BN519" s="465"/>
      <c r="BO519" s="465"/>
      <c r="BP519" s="465"/>
      <c r="BQ519" s="465"/>
      <c r="BR519" s="465"/>
      <c r="BS519" s="465"/>
      <c r="BT519" s="465"/>
      <c r="BU519" s="465"/>
      <c r="BV519" s="465"/>
      <c r="BW519" s="465"/>
      <c r="BX519" s="465"/>
      <c r="BY519" s="465"/>
    </row>
    <row r="520" spans="2:77" s="28" customFormat="1">
      <c r="B520" s="201"/>
      <c r="D520" s="418"/>
      <c r="E520" s="29"/>
      <c r="G520" s="421"/>
      <c r="H520" s="422"/>
      <c r="I520" s="422"/>
      <c r="J520" s="422"/>
      <c r="K520" s="422"/>
      <c r="L520" s="422"/>
      <c r="P520" s="473"/>
      <c r="AJ520" s="31"/>
      <c r="AK520" s="31"/>
      <c r="AL520" s="32"/>
      <c r="AM520" s="33"/>
      <c r="AN520" s="32"/>
      <c r="AO520" s="33"/>
      <c r="AP520" s="32"/>
      <c r="AQ520" s="32"/>
      <c r="AR520" s="201"/>
      <c r="AS520" s="201"/>
      <c r="AT520" s="201"/>
      <c r="AU520" s="201"/>
      <c r="AV520" s="201"/>
      <c r="AW520" s="201"/>
      <c r="AX520" s="201"/>
      <c r="AY520" s="201"/>
      <c r="AZ520" s="201"/>
      <c r="BA520" s="201"/>
      <c r="BB520" s="201"/>
      <c r="BC520" s="201"/>
      <c r="BD520" s="465"/>
      <c r="BE520" s="465"/>
      <c r="BF520" s="465"/>
      <c r="BG520" s="465"/>
      <c r="BH520" s="465"/>
      <c r="BI520" s="465"/>
      <c r="BJ520" s="465"/>
      <c r="BK520" s="465"/>
      <c r="BL520" s="465"/>
      <c r="BM520" s="465"/>
      <c r="BN520" s="465"/>
      <c r="BO520" s="465"/>
      <c r="BP520" s="465"/>
      <c r="BQ520" s="465"/>
      <c r="BR520" s="465"/>
      <c r="BS520" s="465"/>
      <c r="BT520" s="465"/>
      <c r="BU520" s="465"/>
      <c r="BV520" s="465"/>
      <c r="BW520" s="465"/>
      <c r="BX520" s="465"/>
      <c r="BY520" s="465"/>
    </row>
    <row r="521" spans="2:77" s="28" customFormat="1">
      <c r="B521" s="201"/>
      <c r="D521" s="418"/>
      <c r="E521" s="29"/>
      <c r="G521" s="421"/>
      <c r="H521" s="422"/>
      <c r="I521" s="422"/>
      <c r="J521" s="422"/>
      <c r="K521" s="422"/>
      <c r="L521" s="422"/>
      <c r="P521" s="473"/>
      <c r="AJ521" s="31"/>
      <c r="AK521" s="31"/>
      <c r="AL521" s="32"/>
      <c r="AM521" s="33"/>
      <c r="AN521" s="32"/>
      <c r="AO521" s="33"/>
      <c r="AP521" s="32"/>
      <c r="AQ521" s="32"/>
      <c r="AR521" s="201"/>
      <c r="AS521" s="201"/>
      <c r="AT521" s="201"/>
      <c r="AU521" s="201"/>
      <c r="AV521" s="201"/>
      <c r="AW521" s="201"/>
      <c r="AX521" s="201"/>
      <c r="AY521" s="201"/>
      <c r="AZ521" s="201"/>
      <c r="BA521" s="201"/>
      <c r="BB521" s="201"/>
      <c r="BC521" s="201"/>
      <c r="BD521" s="465"/>
      <c r="BE521" s="465"/>
      <c r="BF521" s="465"/>
      <c r="BG521" s="465"/>
      <c r="BH521" s="465"/>
      <c r="BI521" s="465"/>
      <c r="BJ521" s="465"/>
      <c r="BK521" s="465"/>
      <c r="BL521" s="465"/>
      <c r="BM521" s="465"/>
      <c r="BN521" s="465"/>
      <c r="BO521" s="465"/>
      <c r="BP521" s="465"/>
      <c r="BQ521" s="465"/>
      <c r="BR521" s="465"/>
      <c r="BS521" s="465"/>
      <c r="BT521" s="465"/>
      <c r="BU521" s="465"/>
      <c r="BV521" s="465"/>
      <c r="BW521" s="465"/>
      <c r="BX521" s="465"/>
      <c r="BY521" s="465"/>
    </row>
    <row r="522" spans="2:77" s="28" customFormat="1">
      <c r="B522" s="201"/>
      <c r="D522" s="418"/>
      <c r="E522" s="29"/>
      <c r="G522" s="421"/>
      <c r="H522" s="422"/>
      <c r="I522" s="422"/>
      <c r="J522" s="422"/>
      <c r="K522" s="422"/>
      <c r="L522" s="422"/>
      <c r="P522" s="473"/>
      <c r="AJ522" s="31"/>
      <c r="AK522" s="31"/>
      <c r="AL522" s="32"/>
      <c r="AM522" s="33"/>
      <c r="AN522" s="32"/>
      <c r="AO522" s="33"/>
      <c r="AP522" s="32"/>
      <c r="AQ522" s="32"/>
      <c r="AR522" s="201"/>
      <c r="AS522" s="201"/>
      <c r="AT522" s="201"/>
      <c r="AU522" s="201"/>
      <c r="AV522" s="201"/>
      <c r="AW522" s="201"/>
      <c r="AX522" s="201"/>
      <c r="AY522" s="201"/>
      <c r="AZ522" s="201"/>
      <c r="BA522" s="201"/>
      <c r="BB522" s="201"/>
      <c r="BC522" s="201"/>
      <c r="BD522" s="465"/>
      <c r="BE522" s="465"/>
      <c r="BF522" s="465"/>
      <c r="BG522" s="465"/>
      <c r="BH522" s="465"/>
      <c r="BI522" s="465"/>
      <c r="BJ522" s="465"/>
      <c r="BK522" s="465"/>
      <c r="BL522" s="465"/>
      <c r="BM522" s="465"/>
      <c r="BN522" s="465"/>
      <c r="BO522" s="465"/>
      <c r="BP522" s="465"/>
      <c r="BQ522" s="465"/>
      <c r="BR522" s="465"/>
      <c r="BS522" s="465"/>
      <c r="BT522" s="465"/>
      <c r="BU522" s="465"/>
      <c r="BV522" s="465"/>
      <c r="BW522" s="465"/>
      <c r="BX522" s="465"/>
      <c r="BY522" s="465"/>
    </row>
    <row r="523" spans="2:77" s="28" customFormat="1">
      <c r="B523" s="201"/>
      <c r="D523" s="418"/>
      <c r="E523" s="29"/>
      <c r="G523" s="421"/>
      <c r="H523" s="422"/>
      <c r="I523" s="422"/>
      <c r="J523" s="422"/>
      <c r="K523" s="422"/>
      <c r="L523" s="422"/>
      <c r="P523" s="473"/>
      <c r="AJ523" s="31"/>
      <c r="AK523" s="31"/>
      <c r="AL523" s="32"/>
      <c r="AM523" s="33"/>
      <c r="AN523" s="32"/>
      <c r="AO523" s="33"/>
      <c r="AP523" s="32"/>
      <c r="AQ523" s="32"/>
      <c r="AR523" s="201"/>
      <c r="AS523" s="201"/>
      <c r="AT523" s="201"/>
      <c r="AU523" s="201"/>
      <c r="AV523" s="201"/>
      <c r="AW523" s="201"/>
      <c r="AX523" s="201"/>
      <c r="AY523" s="201"/>
      <c r="AZ523" s="201"/>
      <c r="BA523" s="201"/>
      <c r="BB523" s="201"/>
      <c r="BC523" s="201"/>
      <c r="BD523" s="465"/>
      <c r="BE523" s="465"/>
      <c r="BF523" s="465"/>
      <c r="BG523" s="465"/>
      <c r="BH523" s="465"/>
      <c r="BI523" s="465"/>
      <c r="BJ523" s="465"/>
      <c r="BK523" s="465"/>
      <c r="BL523" s="465"/>
      <c r="BM523" s="465"/>
      <c r="BN523" s="465"/>
      <c r="BO523" s="465"/>
      <c r="BP523" s="465"/>
      <c r="BQ523" s="465"/>
      <c r="BR523" s="465"/>
      <c r="BS523" s="465"/>
      <c r="BT523" s="465"/>
      <c r="BU523" s="465"/>
      <c r="BV523" s="465"/>
      <c r="BW523" s="465"/>
      <c r="BX523" s="465"/>
      <c r="BY523" s="465"/>
    </row>
    <row r="524" spans="2:77" s="28" customFormat="1">
      <c r="B524" s="201"/>
      <c r="D524" s="418"/>
      <c r="E524" s="29"/>
      <c r="G524" s="421"/>
      <c r="H524" s="422"/>
      <c r="I524" s="422"/>
      <c r="J524" s="422"/>
      <c r="K524" s="422"/>
      <c r="L524" s="422"/>
      <c r="P524" s="470"/>
      <c r="AJ524" s="31"/>
      <c r="AK524" s="31"/>
      <c r="AL524" s="32"/>
      <c r="AM524" s="33"/>
      <c r="AN524" s="32"/>
      <c r="AO524" s="33"/>
      <c r="AP524" s="32"/>
      <c r="AQ524" s="32"/>
      <c r="AR524" s="201"/>
      <c r="AS524" s="201"/>
      <c r="AT524" s="201"/>
      <c r="AU524" s="201"/>
      <c r="AV524" s="201"/>
      <c r="AW524" s="201"/>
      <c r="AX524" s="201"/>
      <c r="AY524" s="201"/>
      <c r="AZ524" s="201"/>
      <c r="BA524" s="201"/>
      <c r="BB524" s="201"/>
      <c r="BC524" s="201"/>
      <c r="BD524" s="465"/>
      <c r="BE524" s="465"/>
      <c r="BF524" s="465"/>
      <c r="BG524" s="465"/>
      <c r="BH524" s="465"/>
      <c r="BI524" s="465"/>
      <c r="BJ524" s="465"/>
      <c r="BK524" s="465"/>
      <c r="BL524" s="465"/>
      <c r="BM524" s="465"/>
      <c r="BN524" s="465"/>
      <c r="BO524" s="465"/>
      <c r="BP524" s="465"/>
      <c r="BQ524" s="465"/>
      <c r="BR524" s="465"/>
      <c r="BS524" s="465"/>
      <c r="BT524" s="465"/>
      <c r="BU524" s="465"/>
      <c r="BV524" s="465"/>
      <c r="BW524" s="465"/>
      <c r="BX524" s="465"/>
      <c r="BY524" s="465"/>
    </row>
    <row r="525" spans="2:77" s="28" customFormat="1">
      <c r="B525" s="201"/>
      <c r="D525" s="418"/>
      <c r="E525" s="29"/>
      <c r="G525" s="421"/>
      <c r="H525" s="422"/>
      <c r="I525" s="422"/>
      <c r="J525" s="422"/>
      <c r="K525" s="422"/>
      <c r="L525" s="422"/>
      <c r="P525" s="470"/>
      <c r="AJ525" s="31"/>
      <c r="AK525" s="31"/>
      <c r="AL525" s="32"/>
      <c r="AM525" s="33"/>
      <c r="AN525" s="32"/>
      <c r="AO525" s="33"/>
      <c r="AP525" s="32"/>
      <c r="AQ525" s="32"/>
      <c r="AR525" s="201"/>
      <c r="AS525" s="201"/>
      <c r="AT525" s="201"/>
      <c r="AU525" s="201"/>
      <c r="AV525" s="201"/>
      <c r="AW525" s="201"/>
      <c r="AX525" s="201"/>
      <c r="AY525" s="201"/>
      <c r="AZ525" s="201"/>
      <c r="BA525" s="201"/>
      <c r="BB525" s="201"/>
      <c r="BC525" s="201"/>
      <c r="BD525" s="465"/>
      <c r="BE525" s="465"/>
      <c r="BF525" s="465"/>
      <c r="BG525" s="465"/>
      <c r="BH525" s="465"/>
      <c r="BI525" s="465"/>
      <c r="BJ525" s="465"/>
      <c r="BK525" s="465"/>
      <c r="BL525" s="465"/>
      <c r="BM525" s="465"/>
      <c r="BN525" s="465"/>
      <c r="BO525" s="465"/>
      <c r="BP525" s="465"/>
      <c r="BQ525" s="465"/>
      <c r="BR525" s="465"/>
      <c r="BS525" s="465"/>
      <c r="BT525" s="465"/>
      <c r="BU525" s="465"/>
      <c r="BV525" s="465"/>
      <c r="BW525" s="465"/>
      <c r="BX525" s="465"/>
      <c r="BY525" s="465"/>
    </row>
    <row r="526" spans="2:77" s="28" customFormat="1">
      <c r="B526" s="201"/>
      <c r="D526" s="418"/>
      <c r="E526" s="29"/>
      <c r="G526" s="421"/>
      <c r="H526" s="422"/>
      <c r="I526" s="422"/>
      <c r="J526" s="422"/>
      <c r="K526" s="422"/>
      <c r="L526" s="422"/>
      <c r="P526" s="470"/>
      <c r="AJ526" s="31"/>
      <c r="AK526" s="31"/>
      <c r="AL526" s="32"/>
      <c r="AM526" s="33"/>
      <c r="AN526" s="32"/>
      <c r="AO526" s="33"/>
      <c r="AP526" s="32"/>
      <c r="AQ526" s="32"/>
      <c r="AR526" s="201"/>
      <c r="AS526" s="201"/>
      <c r="AT526" s="201"/>
      <c r="AU526" s="201"/>
      <c r="AV526" s="201"/>
      <c r="AW526" s="201"/>
      <c r="AX526" s="201"/>
      <c r="AY526" s="201"/>
      <c r="AZ526" s="201"/>
      <c r="BA526" s="201"/>
      <c r="BB526" s="201"/>
      <c r="BC526" s="201"/>
      <c r="BD526" s="465"/>
      <c r="BE526" s="465"/>
      <c r="BF526" s="465"/>
      <c r="BG526" s="465"/>
      <c r="BH526" s="465"/>
      <c r="BI526" s="465"/>
      <c r="BJ526" s="465"/>
      <c r="BK526" s="465"/>
      <c r="BL526" s="465"/>
      <c r="BM526" s="465"/>
      <c r="BN526" s="465"/>
      <c r="BO526" s="465"/>
      <c r="BP526" s="465"/>
      <c r="BQ526" s="465"/>
      <c r="BR526" s="465"/>
      <c r="BS526" s="465"/>
      <c r="BT526" s="465"/>
      <c r="BU526" s="465"/>
      <c r="BV526" s="465"/>
      <c r="BW526" s="465"/>
      <c r="BX526" s="465"/>
      <c r="BY526" s="465"/>
    </row>
    <row r="527" spans="2:77" s="28" customFormat="1">
      <c r="B527" s="201"/>
      <c r="D527" s="418"/>
      <c r="E527" s="29"/>
      <c r="G527" s="421"/>
      <c r="H527" s="422"/>
      <c r="I527" s="422"/>
      <c r="J527" s="422"/>
      <c r="K527" s="422"/>
      <c r="L527" s="422"/>
      <c r="P527" s="470"/>
      <c r="AJ527" s="31"/>
      <c r="AK527" s="31"/>
      <c r="AL527" s="32"/>
      <c r="AM527" s="33"/>
      <c r="AN527" s="32"/>
      <c r="AO527" s="33"/>
      <c r="AP527" s="32"/>
      <c r="AQ527" s="32"/>
      <c r="AR527" s="201"/>
      <c r="AS527" s="201"/>
      <c r="AT527" s="201"/>
      <c r="AU527" s="201"/>
      <c r="AV527" s="201"/>
      <c r="AW527" s="201"/>
      <c r="AX527" s="201"/>
      <c r="AY527" s="201"/>
      <c r="AZ527" s="201"/>
      <c r="BA527" s="201"/>
      <c r="BB527" s="201"/>
      <c r="BC527" s="201"/>
      <c r="BD527" s="465"/>
      <c r="BE527" s="465"/>
      <c r="BF527" s="465"/>
      <c r="BG527" s="465"/>
      <c r="BH527" s="465"/>
      <c r="BI527" s="465"/>
      <c r="BJ527" s="465"/>
      <c r="BK527" s="465"/>
      <c r="BL527" s="465"/>
      <c r="BM527" s="465"/>
      <c r="BN527" s="465"/>
      <c r="BO527" s="465"/>
      <c r="BP527" s="465"/>
      <c r="BQ527" s="465"/>
      <c r="BR527" s="465"/>
      <c r="BS527" s="465"/>
      <c r="BT527" s="465"/>
      <c r="BU527" s="465"/>
      <c r="BV527" s="465"/>
      <c r="BW527" s="465"/>
      <c r="BX527" s="465"/>
      <c r="BY527" s="465"/>
    </row>
    <row r="528" spans="2:77" s="28" customFormat="1">
      <c r="B528" s="201"/>
      <c r="D528" s="418"/>
      <c r="E528" s="29"/>
      <c r="G528" s="421"/>
      <c r="H528" s="422"/>
      <c r="I528" s="422"/>
      <c r="J528" s="422"/>
      <c r="K528" s="422"/>
      <c r="L528" s="422"/>
      <c r="P528" s="474"/>
      <c r="AJ528" s="31"/>
      <c r="AK528" s="31"/>
      <c r="AL528" s="32"/>
      <c r="AM528" s="33"/>
      <c r="AN528" s="32"/>
      <c r="AO528" s="33"/>
      <c r="AP528" s="32"/>
      <c r="AQ528" s="32"/>
      <c r="AR528" s="201"/>
      <c r="AS528" s="201"/>
      <c r="AT528" s="201"/>
      <c r="AU528" s="201"/>
      <c r="AV528" s="201"/>
      <c r="AW528" s="201"/>
      <c r="AX528" s="201"/>
      <c r="AY528" s="201"/>
      <c r="AZ528" s="201"/>
      <c r="BA528" s="201"/>
      <c r="BB528" s="201"/>
      <c r="BC528" s="201"/>
      <c r="BD528" s="465"/>
      <c r="BE528" s="465"/>
      <c r="BF528" s="465"/>
      <c r="BG528" s="465"/>
      <c r="BH528" s="465"/>
      <c r="BI528" s="465"/>
      <c r="BJ528" s="465"/>
      <c r="BK528" s="465"/>
      <c r="BL528" s="465"/>
      <c r="BM528" s="465"/>
      <c r="BN528" s="465"/>
      <c r="BO528" s="465"/>
      <c r="BP528" s="465"/>
      <c r="BQ528" s="465"/>
      <c r="BR528" s="465"/>
      <c r="BS528" s="465"/>
      <c r="BT528" s="465"/>
      <c r="BU528" s="465"/>
      <c r="BV528" s="465"/>
      <c r="BW528" s="465"/>
      <c r="BX528" s="465"/>
      <c r="BY528" s="465"/>
    </row>
    <row r="529" spans="2:77" s="28" customFormat="1">
      <c r="B529" s="201"/>
      <c r="D529" s="418"/>
      <c r="E529" s="29"/>
      <c r="G529" s="421"/>
      <c r="H529" s="422"/>
      <c r="I529" s="422"/>
      <c r="J529" s="422"/>
      <c r="K529" s="422"/>
      <c r="L529" s="422"/>
      <c r="P529" s="470"/>
      <c r="AJ529" s="31"/>
      <c r="AK529" s="31"/>
      <c r="AL529" s="32"/>
      <c r="AM529" s="33"/>
      <c r="AN529" s="32"/>
      <c r="AO529" s="33"/>
      <c r="AP529" s="32"/>
      <c r="AQ529" s="32"/>
      <c r="AR529" s="201"/>
      <c r="AS529" s="201"/>
      <c r="AT529" s="201"/>
      <c r="AU529" s="201"/>
      <c r="AV529" s="201"/>
      <c r="AW529" s="201"/>
      <c r="AX529" s="201"/>
      <c r="AY529" s="201"/>
      <c r="AZ529" s="201"/>
      <c r="BA529" s="201"/>
      <c r="BB529" s="201"/>
      <c r="BC529" s="201"/>
      <c r="BD529" s="465"/>
      <c r="BE529" s="465"/>
      <c r="BF529" s="465"/>
      <c r="BG529" s="465"/>
      <c r="BH529" s="465"/>
      <c r="BI529" s="465"/>
      <c r="BJ529" s="465"/>
      <c r="BK529" s="465"/>
      <c r="BL529" s="465"/>
      <c r="BM529" s="465"/>
      <c r="BN529" s="465"/>
      <c r="BO529" s="465"/>
      <c r="BP529" s="465"/>
      <c r="BQ529" s="465"/>
      <c r="BR529" s="465"/>
      <c r="BS529" s="465"/>
      <c r="BT529" s="465"/>
      <c r="BU529" s="465"/>
      <c r="BV529" s="465"/>
      <c r="BW529" s="465"/>
      <c r="BX529" s="465"/>
      <c r="BY529" s="465"/>
    </row>
    <row r="530" spans="2:77" s="28" customFormat="1">
      <c r="B530" s="201"/>
      <c r="D530" s="418"/>
      <c r="E530" s="29"/>
      <c r="G530" s="421"/>
      <c r="H530" s="422"/>
      <c r="I530" s="422"/>
      <c r="J530" s="422"/>
      <c r="K530" s="422"/>
      <c r="L530" s="422"/>
      <c r="P530" s="473"/>
      <c r="AJ530" s="31"/>
      <c r="AK530" s="31"/>
      <c r="AL530" s="32"/>
      <c r="AM530" s="33"/>
      <c r="AN530" s="32"/>
      <c r="AO530" s="33"/>
      <c r="AP530" s="32"/>
      <c r="AQ530" s="32"/>
      <c r="AR530" s="201"/>
      <c r="AS530" s="201"/>
      <c r="AT530" s="201"/>
      <c r="AU530" s="201"/>
      <c r="AV530" s="201"/>
      <c r="AW530" s="201"/>
      <c r="AX530" s="201"/>
      <c r="AY530" s="201"/>
      <c r="AZ530" s="201"/>
      <c r="BA530" s="201"/>
      <c r="BB530" s="201"/>
      <c r="BC530" s="201"/>
      <c r="BD530" s="465"/>
      <c r="BE530" s="465"/>
      <c r="BF530" s="465"/>
      <c r="BG530" s="465"/>
      <c r="BH530" s="465"/>
      <c r="BI530" s="465"/>
      <c r="BJ530" s="465"/>
      <c r="BK530" s="465"/>
      <c r="BL530" s="465"/>
      <c r="BM530" s="465"/>
      <c r="BN530" s="465"/>
      <c r="BO530" s="465"/>
      <c r="BP530" s="465"/>
      <c r="BQ530" s="465"/>
      <c r="BR530" s="465"/>
      <c r="BS530" s="465"/>
      <c r="BT530" s="465"/>
      <c r="BU530" s="465"/>
      <c r="BV530" s="465"/>
      <c r="BW530" s="465"/>
      <c r="BX530" s="465"/>
      <c r="BY530" s="465"/>
    </row>
    <row r="531" spans="2:77" s="28" customFormat="1">
      <c r="B531" s="201"/>
      <c r="D531" s="418"/>
      <c r="E531" s="29"/>
      <c r="G531" s="421"/>
      <c r="H531" s="422"/>
      <c r="I531" s="422"/>
      <c r="J531" s="422"/>
      <c r="K531" s="422"/>
      <c r="L531" s="422"/>
      <c r="P531" s="473"/>
      <c r="AJ531" s="31"/>
      <c r="AK531" s="31"/>
      <c r="AL531" s="32"/>
      <c r="AM531" s="33"/>
      <c r="AN531" s="32"/>
      <c r="AO531" s="33"/>
      <c r="AP531" s="32"/>
      <c r="AQ531" s="32"/>
      <c r="AR531" s="201"/>
      <c r="AS531" s="201"/>
      <c r="AT531" s="201"/>
      <c r="AU531" s="201"/>
      <c r="AV531" s="201"/>
      <c r="AW531" s="201"/>
      <c r="AX531" s="201"/>
      <c r="AY531" s="201"/>
      <c r="AZ531" s="201"/>
      <c r="BA531" s="201"/>
      <c r="BB531" s="201"/>
      <c r="BC531" s="201"/>
      <c r="BD531" s="465"/>
      <c r="BE531" s="465"/>
      <c r="BF531" s="465"/>
      <c r="BG531" s="465"/>
      <c r="BH531" s="465"/>
      <c r="BI531" s="465"/>
      <c r="BJ531" s="465"/>
      <c r="BK531" s="465"/>
      <c r="BL531" s="465"/>
      <c r="BM531" s="465"/>
      <c r="BN531" s="465"/>
      <c r="BO531" s="465"/>
      <c r="BP531" s="465"/>
      <c r="BQ531" s="465"/>
      <c r="BR531" s="465"/>
      <c r="BS531" s="465"/>
      <c r="BT531" s="465"/>
      <c r="BU531" s="465"/>
      <c r="BV531" s="465"/>
      <c r="BW531" s="465"/>
      <c r="BX531" s="465"/>
      <c r="BY531" s="465"/>
    </row>
    <row r="532" spans="2:77" s="28" customFormat="1">
      <c r="B532" s="201"/>
      <c r="D532" s="418"/>
      <c r="E532" s="29"/>
      <c r="G532" s="421"/>
      <c r="H532" s="422"/>
      <c r="I532" s="422"/>
      <c r="J532" s="422"/>
      <c r="K532" s="422"/>
      <c r="L532" s="422"/>
      <c r="P532" s="473"/>
      <c r="AJ532" s="31"/>
      <c r="AK532" s="31"/>
      <c r="AL532" s="32"/>
      <c r="AM532" s="33"/>
      <c r="AN532" s="32"/>
      <c r="AO532" s="33"/>
      <c r="AP532" s="32"/>
      <c r="AQ532" s="32"/>
      <c r="AR532" s="201"/>
      <c r="AS532" s="201"/>
      <c r="AT532" s="201"/>
      <c r="AU532" s="201"/>
      <c r="AV532" s="201"/>
      <c r="AW532" s="201"/>
      <c r="AX532" s="201"/>
      <c r="AY532" s="201"/>
      <c r="AZ532" s="201"/>
      <c r="BA532" s="201"/>
      <c r="BB532" s="201"/>
      <c r="BC532" s="201"/>
      <c r="BD532" s="465"/>
      <c r="BE532" s="465"/>
      <c r="BF532" s="465"/>
      <c r="BG532" s="465"/>
      <c r="BH532" s="465"/>
      <c r="BI532" s="465"/>
      <c r="BJ532" s="465"/>
      <c r="BK532" s="465"/>
      <c r="BL532" s="465"/>
      <c r="BM532" s="465"/>
      <c r="BN532" s="465"/>
      <c r="BO532" s="465"/>
      <c r="BP532" s="465"/>
      <c r="BQ532" s="465"/>
      <c r="BR532" s="465"/>
      <c r="BS532" s="465"/>
      <c r="BT532" s="465"/>
      <c r="BU532" s="465"/>
      <c r="BV532" s="465"/>
      <c r="BW532" s="465"/>
      <c r="BX532" s="465"/>
      <c r="BY532" s="465"/>
    </row>
    <row r="533" spans="2:77" s="28" customFormat="1">
      <c r="B533" s="201"/>
      <c r="D533" s="418"/>
      <c r="E533" s="29"/>
      <c r="G533" s="421"/>
      <c r="H533" s="422"/>
      <c r="I533" s="422"/>
      <c r="J533" s="422"/>
      <c r="K533" s="422"/>
      <c r="L533" s="422"/>
      <c r="P533" s="470"/>
      <c r="AJ533" s="31"/>
      <c r="AK533" s="31"/>
      <c r="AL533" s="32"/>
      <c r="AM533" s="33"/>
      <c r="AN533" s="32"/>
      <c r="AO533" s="33"/>
      <c r="AP533" s="32"/>
      <c r="AQ533" s="32"/>
      <c r="AR533" s="201"/>
      <c r="AS533" s="201"/>
      <c r="AT533" s="201"/>
      <c r="AU533" s="201"/>
      <c r="AV533" s="201"/>
      <c r="AW533" s="201"/>
      <c r="AX533" s="201"/>
      <c r="AY533" s="201"/>
      <c r="AZ533" s="201"/>
      <c r="BA533" s="201"/>
      <c r="BB533" s="201"/>
      <c r="BC533" s="201"/>
      <c r="BD533" s="465"/>
      <c r="BE533" s="465"/>
      <c r="BF533" s="465"/>
      <c r="BG533" s="465"/>
      <c r="BH533" s="465"/>
      <c r="BI533" s="465"/>
      <c r="BJ533" s="465"/>
      <c r="BK533" s="465"/>
      <c r="BL533" s="465"/>
      <c r="BM533" s="465"/>
      <c r="BN533" s="465"/>
      <c r="BO533" s="465"/>
      <c r="BP533" s="465"/>
      <c r="BQ533" s="465"/>
      <c r="BR533" s="465"/>
      <c r="BS533" s="465"/>
      <c r="BT533" s="465"/>
      <c r="BU533" s="465"/>
      <c r="BV533" s="465"/>
      <c r="BW533" s="465"/>
      <c r="BX533" s="465"/>
      <c r="BY533" s="465"/>
    </row>
    <row r="534" spans="2:77" s="28" customFormat="1">
      <c r="B534" s="201"/>
      <c r="D534" s="418"/>
      <c r="E534" s="29"/>
      <c r="G534" s="421"/>
      <c r="H534" s="422"/>
      <c r="I534" s="422"/>
      <c r="J534" s="422"/>
      <c r="K534" s="422"/>
      <c r="L534" s="422"/>
      <c r="P534" s="473"/>
      <c r="AJ534" s="31"/>
      <c r="AK534" s="31"/>
      <c r="AL534" s="32"/>
      <c r="AM534" s="33"/>
      <c r="AN534" s="32"/>
      <c r="AO534" s="33"/>
      <c r="AP534" s="32"/>
      <c r="AQ534" s="32"/>
      <c r="AR534" s="201"/>
      <c r="AS534" s="201"/>
      <c r="AT534" s="201"/>
      <c r="AU534" s="201"/>
      <c r="AV534" s="201"/>
      <c r="AW534" s="201"/>
      <c r="AX534" s="201"/>
      <c r="AY534" s="201"/>
      <c r="AZ534" s="201"/>
      <c r="BA534" s="201"/>
      <c r="BB534" s="201"/>
      <c r="BC534" s="201"/>
      <c r="BD534" s="465"/>
      <c r="BE534" s="465"/>
      <c r="BF534" s="465"/>
      <c r="BG534" s="465"/>
      <c r="BH534" s="465"/>
      <c r="BI534" s="465"/>
      <c r="BJ534" s="465"/>
      <c r="BK534" s="465"/>
      <c r="BL534" s="465"/>
      <c r="BM534" s="465"/>
      <c r="BN534" s="465"/>
      <c r="BO534" s="465"/>
      <c r="BP534" s="465"/>
      <c r="BQ534" s="465"/>
      <c r="BR534" s="465"/>
      <c r="BS534" s="465"/>
      <c r="BT534" s="465"/>
      <c r="BU534" s="465"/>
      <c r="BV534" s="465"/>
      <c r="BW534" s="465"/>
      <c r="BX534" s="465"/>
      <c r="BY534" s="465"/>
    </row>
    <row r="535" spans="2:77" s="28" customFormat="1">
      <c r="B535" s="201"/>
      <c r="D535" s="418"/>
      <c r="E535" s="29"/>
      <c r="G535" s="421"/>
      <c r="H535" s="422"/>
      <c r="I535" s="422"/>
      <c r="J535" s="422"/>
      <c r="K535" s="422"/>
      <c r="L535" s="422"/>
      <c r="P535" s="470"/>
      <c r="AJ535" s="31"/>
      <c r="AK535" s="31"/>
      <c r="AL535" s="32"/>
      <c r="AM535" s="33"/>
      <c r="AN535" s="32"/>
      <c r="AO535" s="33"/>
      <c r="AP535" s="32"/>
      <c r="AQ535" s="32"/>
      <c r="AR535" s="201"/>
      <c r="AS535" s="201"/>
      <c r="AT535" s="201"/>
      <c r="AU535" s="201"/>
      <c r="AV535" s="201"/>
      <c r="AW535" s="201"/>
      <c r="AX535" s="201"/>
      <c r="AY535" s="201"/>
      <c r="AZ535" s="201"/>
      <c r="BA535" s="201"/>
      <c r="BB535" s="201"/>
      <c r="BC535" s="201"/>
      <c r="BD535" s="465"/>
      <c r="BE535" s="465"/>
      <c r="BF535" s="465"/>
      <c r="BG535" s="465"/>
      <c r="BH535" s="465"/>
      <c r="BI535" s="465"/>
      <c r="BJ535" s="465"/>
      <c r="BK535" s="465"/>
      <c r="BL535" s="465"/>
      <c r="BM535" s="465"/>
      <c r="BN535" s="465"/>
      <c r="BO535" s="465"/>
      <c r="BP535" s="465"/>
      <c r="BQ535" s="465"/>
      <c r="BR535" s="465"/>
      <c r="BS535" s="465"/>
      <c r="BT535" s="465"/>
      <c r="BU535" s="465"/>
      <c r="BV535" s="465"/>
      <c r="BW535" s="465"/>
      <c r="BX535" s="465"/>
      <c r="BY535" s="465"/>
    </row>
    <row r="536" spans="2:77" s="28" customFormat="1">
      <c r="B536" s="201"/>
      <c r="D536" s="418"/>
      <c r="E536" s="29"/>
      <c r="G536" s="421"/>
      <c r="H536" s="422"/>
      <c r="I536" s="422"/>
      <c r="J536" s="422"/>
      <c r="K536" s="422"/>
      <c r="L536" s="422"/>
      <c r="P536" s="470"/>
      <c r="AJ536" s="31"/>
      <c r="AK536" s="31"/>
      <c r="AL536" s="32"/>
      <c r="AM536" s="33"/>
      <c r="AN536" s="32"/>
      <c r="AO536" s="33"/>
      <c r="AP536" s="32"/>
      <c r="AQ536" s="32"/>
      <c r="AR536" s="201"/>
      <c r="AS536" s="201"/>
      <c r="AT536" s="201"/>
      <c r="AU536" s="201"/>
      <c r="AV536" s="201"/>
      <c r="AW536" s="201"/>
      <c r="AX536" s="201"/>
      <c r="AY536" s="201"/>
      <c r="AZ536" s="201"/>
      <c r="BA536" s="201"/>
      <c r="BB536" s="201"/>
      <c r="BC536" s="201"/>
      <c r="BD536" s="465"/>
      <c r="BE536" s="465"/>
      <c r="BF536" s="465"/>
      <c r="BG536" s="465"/>
      <c r="BH536" s="465"/>
      <c r="BI536" s="465"/>
      <c r="BJ536" s="465"/>
      <c r="BK536" s="465"/>
      <c r="BL536" s="465"/>
      <c r="BM536" s="465"/>
      <c r="BN536" s="465"/>
      <c r="BO536" s="465"/>
      <c r="BP536" s="465"/>
      <c r="BQ536" s="465"/>
      <c r="BR536" s="465"/>
      <c r="BS536" s="465"/>
      <c r="BT536" s="465"/>
      <c r="BU536" s="465"/>
      <c r="BV536" s="465"/>
      <c r="BW536" s="465"/>
      <c r="BX536" s="465"/>
      <c r="BY536" s="465"/>
    </row>
    <row r="537" spans="2:77" s="28" customFormat="1">
      <c r="B537" s="201"/>
      <c r="D537" s="418"/>
      <c r="E537" s="29"/>
      <c r="G537" s="421"/>
      <c r="H537" s="422"/>
      <c r="I537" s="422"/>
      <c r="J537" s="422"/>
      <c r="K537" s="422"/>
      <c r="L537" s="422"/>
      <c r="P537" s="473"/>
      <c r="AJ537" s="31"/>
      <c r="AK537" s="31"/>
      <c r="AL537" s="32"/>
      <c r="AM537" s="33"/>
      <c r="AN537" s="32"/>
      <c r="AO537" s="33"/>
      <c r="AP537" s="32"/>
      <c r="AQ537" s="32"/>
      <c r="AR537" s="201"/>
      <c r="AS537" s="201"/>
      <c r="AT537" s="201"/>
      <c r="AU537" s="201"/>
      <c r="AV537" s="201"/>
      <c r="AW537" s="201"/>
      <c r="AX537" s="201"/>
      <c r="AY537" s="201"/>
      <c r="AZ537" s="201"/>
      <c r="BA537" s="201"/>
      <c r="BB537" s="201"/>
      <c r="BC537" s="201"/>
      <c r="BD537" s="465"/>
      <c r="BE537" s="465"/>
      <c r="BF537" s="465"/>
      <c r="BG537" s="465"/>
      <c r="BH537" s="465"/>
      <c r="BI537" s="465"/>
      <c r="BJ537" s="465"/>
      <c r="BK537" s="465"/>
      <c r="BL537" s="465"/>
      <c r="BM537" s="465"/>
      <c r="BN537" s="465"/>
      <c r="BO537" s="465"/>
      <c r="BP537" s="465"/>
      <c r="BQ537" s="465"/>
      <c r="BR537" s="465"/>
      <c r="BS537" s="465"/>
      <c r="BT537" s="465"/>
      <c r="BU537" s="465"/>
      <c r="BV537" s="465"/>
      <c r="BW537" s="465"/>
      <c r="BX537" s="465"/>
      <c r="BY537" s="465"/>
    </row>
    <row r="538" spans="2:77" s="28" customFormat="1">
      <c r="B538" s="201"/>
      <c r="D538" s="418"/>
      <c r="E538" s="29"/>
      <c r="G538" s="421"/>
      <c r="H538" s="422"/>
      <c r="I538" s="422"/>
      <c r="J538" s="422"/>
      <c r="K538" s="422"/>
      <c r="L538" s="422"/>
      <c r="P538" s="474"/>
      <c r="AJ538" s="31"/>
      <c r="AK538" s="31"/>
      <c r="AL538" s="32"/>
      <c r="AM538" s="33"/>
      <c r="AN538" s="32"/>
      <c r="AO538" s="33"/>
      <c r="AP538" s="32"/>
      <c r="AQ538" s="32"/>
      <c r="AR538" s="201"/>
      <c r="AS538" s="201"/>
      <c r="AT538" s="201"/>
      <c r="AU538" s="201"/>
      <c r="AV538" s="201"/>
      <c r="AW538" s="201"/>
      <c r="AX538" s="201"/>
      <c r="AY538" s="201"/>
      <c r="AZ538" s="201"/>
      <c r="BA538" s="201"/>
      <c r="BB538" s="201"/>
      <c r="BC538" s="201"/>
      <c r="BD538" s="465"/>
      <c r="BE538" s="465"/>
      <c r="BF538" s="465"/>
      <c r="BG538" s="465"/>
      <c r="BH538" s="465"/>
      <c r="BI538" s="465"/>
      <c r="BJ538" s="465"/>
      <c r="BK538" s="465"/>
      <c r="BL538" s="465"/>
      <c r="BM538" s="465"/>
      <c r="BN538" s="465"/>
      <c r="BO538" s="465"/>
      <c r="BP538" s="465"/>
      <c r="BQ538" s="465"/>
      <c r="BR538" s="465"/>
      <c r="BS538" s="465"/>
      <c r="BT538" s="465"/>
      <c r="BU538" s="465"/>
      <c r="BV538" s="465"/>
      <c r="BW538" s="465"/>
      <c r="BX538" s="465"/>
      <c r="BY538" s="465"/>
    </row>
    <row r="539" spans="2:77" s="28" customFormat="1">
      <c r="B539" s="201"/>
      <c r="D539" s="418"/>
      <c r="E539" s="29"/>
      <c r="G539" s="421"/>
      <c r="H539" s="422"/>
      <c r="I539" s="422"/>
      <c r="J539" s="422"/>
      <c r="K539" s="422"/>
      <c r="L539" s="422"/>
      <c r="P539" s="469"/>
      <c r="AJ539" s="31"/>
      <c r="AK539" s="31"/>
      <c r="AL539" s="32"/>
      <c r="AM539" s="33"/>
      <c r="AN539" s="32"/>
      <c r="AO539" s="33"/>
      <c r="AP539" s="32"/>
      <c r="AQ539" s="32"/>
      <c r="AR539" s="201"/>
      <c r="AS539" s="201"/>
      <c r="AT539" s="201"/>
      <c r="AU539" s="201"/>
      <c r="AV539" s="201"/>
      <c r="AW539" s="201"/>
      <c r="AX539" s="201"/>
      <c r="AY539" s="201"/>
      <c r="AZ539" s="201"/>
      <c r="BA539" s="201"/>
      <c r="BB539" s="201"/>
      <c r="BC539" s="201"/>
      <c r="BD539" s="465"/>
      <c r="BE539" s="465"/>
      <c r="BF539" s="465"/>
      <c r="BG539" s="465"/>
      <c r="BH539" s="465"/>
      <c r="BI539" s="465"/>
      <c r="BJ539" s="465"/>
      <c r="BK539" s="465"/>
      <c r="BL539" s="465"/>
      <c r="BM539" s="465"/>
      <c r="BN539" s="465"/>
      <c r="BO539" s="465"/>
      <c r="BP539" s="465"/>
      <c r="BQ539" s="465"/>
      <c r="BR539" s="465"/>
      <c r="BS539" s="465"/>
      <c r="BT539" s="465"/>
      <c r="BU539" s="465"/>
      <c r="BV539" s="465"/>
      <c r="BW539" s="465"/>
      <c r="BX539" s="465"/>
      <c r="BY539" s="465"/>
    </row>
    <row r="540" spans="2:77" s="28" customFormat="1">
      <c r="B540" s="201"/>
      <c r="D540" s="418"/>
      <c r="E540" s="29"/>
      <c r="G540" s="421"/>
      <c r="H540" s="422"/>
      <c r="I540" s="422"/>
      <c r="J540" s="422"/>
      <c r="K540" s="422"/>
      <c r="L540" s="422"/>
      <c r="P540" s="470"/>
      <c r="AJ540" s="31"/>
      <c r="AK540" s="31"/>
      <c r="AL540" s="32"/>
      <c r="AM540" s="33"/>
      <c r="AN540" s="32"/>
      <c r="AO540" s="33"/>
      <c r="AP540" s="32"/>
      <c r="AQ540" s="32"/>
      <c r="AR540" s="201"/>
      <c r="AS540" s="201"/>
      <c r="AT540" s="201"/>
      <c r="AU540" s="201"/>
      <c r="AV540" s="201"/>
      <c r="AW540" s="201"/>
      <c r="AX540" s="201"/>
      <c r="AY540" s="201"/>
      <c r="AZ540" s="201"/>
      <c r="BA540" s="201"/>
      <c r="BB540" s="201"/>
      <c r="BC540" s="201"/>
      <c r="BD540" s="465"/>
      <c r="BE540" s="465"/>
      <c r="BF540" s="465"/>
      <c r="BG540" s="465"/>
      <c r="BH540" s="465"/>
      <c r="BI540" s="465"/>
      <c r="BJ540" s="465"/>
      <c r="BK540" s="465"/>
      <c r="BL540" s="465"/>
      <c r="BM540" s="465"/>
      <c r="BN540" s="465"/>
      <c r="BO540" s="465"/>
      <c r="BP540" s="465"/>
      <c r="BQ540" s="465"/>
      <c r="BR540" s="465"/>
      <c r="BS540" s="465"/>
      <c r="BT540" s="465"/>
      <c r="BU540" s="465"/>
      <c r="BV540" s="465"/>
      <c r="BW540" s="465"/>
      <c r="BX540" s="465"/>
      <c r="BY540" s="465"/>
    </row>
    <row r="541" spans="2:77" s="28" customFormat="1">
      <c r="B541" s="201"/>
      <c r="D541" s="418"/>
      <c r="E541" s="29"/>
      <c r="G541" s="421"/>
      <c r="H541" s="422"/>
      <c r="I541" s="422"/>
      <c r="J541" s="422"/>
      <c r="K541" s="422"/>
      <c r="L541" s="422"/>
      <c r="P541" s="470"/>
      <c r="AJ541" s="31"/>
      <c r="AK541" s="31"/>
      <c r="AL541" s="32"/>
      <c r="AM541" s="33"/>
      <c r="AN541" s="32"/>
      <c r="AO541" s="33"/>
      <c r="AP541" s="32"/>
      <c r="AQ541" s="32"/>
      <c r="AR541" s="201"/>
      <c r="AS541" s="201"/>
      <c r="AT541" s="201"/>
      <c r="AU541" s="201"/>
      <c r="AV541" s="201"/>
      <c r="AW541" s="201"/>
      <c r="AX541" s="201"/>
      <c r="AY541" s="201"/>
      <c r="AZ541" s="201"/>
      <c r="BA541" s="201"/>
      <c r="BB541" s="201"/>
      <c r="BC541" s="201"/>
      <c r="BD541" s="465"/>
      <c r="BE541" s="465"/>
      <c r="BF541" s="465"/>
      <c r="BG541" s="465"/>
      <c r="BH541" s="465"/>
      <c r="BI541" s="465"/>
      <c r="BJ541" s="465"/>
      <c r="BK541" s="465"/>
      <c r="BL541" s="465"/>
      <c r="BM541" s="465"/>
      <c r="BN541" s="465"/>
      <c r="BO541" s="465"/>
      <c r="BP541" s="465"/>
      <c r="BQ541" s="465"/>
      <c r="BR541" s="465"/>
      <c r="BS541" s="465"/>
      <c r="BT541" s="465"/>
      <c r="BU541" s="465"/>
      <c r="BV541" s="465"/>
      <c r="BW541" s="465"/>
      <c r="BX541" s="465"/>
      <c r="BY541" s="465"/>
    </row>
    <row r="542" spans="2:77" s="28" customFormat="1">
      <c r="B542" s="201"/>
      <c r="D542" s="418"/>
      <c r="E542" s="29"/>
      <c r="G542" s="421"/>
      <c r="H542" s="422"/>
      <c r="I542" s="422"/>
      <c r="J542" s="422"/>
      <c r="K542" s="422"/>
      <c r="L542" s="422"/>
      <c r="P542" s="473"/>
      <c r="AJ542" s="31"/>
      <c r="AK542" s="31"/>
      <c r="AL542" s="32"/>
      <c r="AM542" s="33"/>
      <c r="AN542" s="32"/>
      <c r="AO542" s="33"/>
      <c r="AP542" s="32"/>
      <c r="AQ542" s="32"/>
      <c r="AR542" s="201"/>
      <c r="AS542" s="201"/>
      <c r="AT542" s="201"/>
      <c r="AU542" s="201"/>
      <c r="AV542" s="201"/>
      <c r="AW542" s="201"/>
      <c r="AX542" s="201"/>
      <c r="AY542" s="201"/>
      <c r="AZ542" s="201"/>
      <c r="BA542" s="201"/>
      <c r="BB542" s="201"/>
      <c r="BC542" s="201"/>
      <c r="BD542" s="465"/>
      <c r="BE542" s="465"/>
      <c r="BF542" s="465"/>
      <c r="BG542" s="465"/>
      <c r="BH542" s="465"/>
      <c r="BI542" s="465"/>
      <c r="BJ542" s="465"/>
      <c r="BK542" s="465"/>
      <c r="BL542" s="465"/>
      <c r="BM542" s="465"/>
      <c r="BN542" s="465"/>
      <c r="BO542" s="465"/>
      <c r="BP542" s="465"/>
      <c r="BQ542" s="465"/>
      <c r="BR542" s="465"/>
      <c r="BS542" s="465"/>
      <c r="BT542" s="465"/>
      <c r="BU542" s="465"/>
      <c r="BV542" s="465"/>
      <c r="BW542" s="465"/>
      <c r="BX542" s="465"/>
      <c r="BY542" s="465"/>
    </row>
    <row r="543" spans="2:77" s="28" customFormat="1">
      <c r="B543" s="201"/>
      <c r="D543" s="418"/>
      <c r="E543" s="29"/>
      <c r="G543" s="421"/>
      <c r="H543" s="422"/>
      <c r="I543" s="422"/>
      <c r="J543" s="422"/>
      <c r="K543" s="422"/>
      <c r="L543" s="422"/>
      <c r="P543" s="473"/>
      <c r="AJ543" s="31"/>
      <c r="AK543" s="31"/>
      <c r="AL543" s="32"/>
      <c r="AM543" s="33"/>
      <c r="AN543" s="32"/>
      <c r="AO543" s="33"/>
      <c r="AP543" s="32"/>
      <c r="AQ543" s="32"/>
      <c r="AR543" s="201"/>
      <c r="AS543" s="201"/>
      <c r="AT543" s="201"/>
      <c r="AU543" s="201"/>
      <c r="AV543" s="201"/>
      <c r="AW543" s="201"/>
      <c r="AX543" s="201"/>
      <c r="AY543" s="201"/>
      <c r="AZ543" s="201"/>
      <c r="BA543" s="201"/>
      <c r="BB543" s="201"/>
      <c r="BC543" s="201"/>
      <c r="BD543" s="465"/>
      <c r="BE543" s="465"/>
      <c r="BF543" s="465"/>
      <c r="BG543" s="465"/>
      <c r="BH543" s="465"/>
      <c r="BI543" s="465"/>
      <c r="BJ543" s="465"/>
      <c r="BK543" s="465"/>
      <c r="BL543" s="465"/>
      <c r="BM543" s="465"/>
      <c r="BN543" s="465"/>
      <c r="BO543" s="465"/>
      <c r="BP543" s="465"/>
      <c r="BQ543" s="465"/>
      <c r="BR543" s="465"/>
      <c r="BS543" s="465"/>
      <c r="BT543" s="465"/>
      <c r="BU543" s="465"/>
      <c r="BV543" s="465"/>
      <c r="BW543" s="465"/>
      <c r="BX543" s="465"/>
      <c r="BY543" s="465"/>
    </row>
    <row r="544" spans="2:77" s="28" customFormat="1">
      <c r="B544" s="201"/>
      <c r="D544" s="418"/>
      <c r="E544" s="29"/>
      <c r="G544" s="421"/>
      <c r="H544" s="422"/>
      <c r="I544" s="422"/>
      <c r="J544" s="422"/>
      <c r="K544" s="422"/>
      <c r="L544" s="422"/>
      <c r="P544" s="474"/>
      <c r="AJ544" s="31"/>
      <c r="AK544" s="31"/>
      <c r="AL544" s="32"/>
      <c r="AM544" s="33"/>
      <c r="AN544" s="32"/>
      <c r="AO544" s="33"/>
      <c r="AP544" s="32"/>
      <c r="AQ544" s="32"/>
      <c r="AR544" s="201"/>
      <c r="AS544" s="201"/>
      <c r="AT544" s="201"/>
      <c r="AU544" s="201"/>
      <c r="AV544" s="201"/>
      <c r="AW544" s="201"/>
      <c r="AX544" s="201"/>
      <c r="AY544" s="201"/>
      <c r="AZ544" s="201"/>
      <c r="BA544" s="201"/>
      <c r="BB544" s="201"/>
      <c r="BC544" s="201"/>
      <c r="BD544" s="465"/>
      <c r="BE544" s="465"/>
      <c r="BF544" s="465"/>
      <c r="BG544" s="465"/>
      <c r="BH544" s="465"/>
      <c r="BI544" s="465"/>
      <c r="BJ544" s="465"/>
      <c r="BK544" s="465"/>
      <c r="BL544" s="465"/>
      <c r="BM544" s="465"/>
      <c r="BN544" s="465"/>
      <c r="BO544" s="465"/>
      <c r="BP544" s="465"/>
      <c r="BQ544" s="465"/>
      <c r="BR544" s="465"/>
      <c r="BS544" s="465"/>
      <c r="BT544" s="465"/>
      <c r="BU544" s="465"/>
      <c r="BV544" s="465"/>
      <c r="BW544" s="465"/>
      <c r="BX544" s="465"/>
      <c r="BY544" s="465"/>
    </row>
    <row r="545" spans="2:77" s="28" customFormat="1">
      <c r="B545" s="201"/>
      <c r="D545" s="418"/>
      <c r="E545" s="29"/>
      <c r="G545" s="421"/>
      <c r="H545" s="422"/>
      <c r="I545" s="422"/>
      <c r="J545" s="422"/>
      <c r="K545" s="422"/>
      <c r="L545" s="422"/>
      <c r="P545" s="471"/>
      <c r="AJ545" s="31"/>
      <c r="AK545" s="31"/>
      <c r="AL545" s="32"/>
      <c r="AM545" s="33"/>
      <c r="AN545" s="32"/>
      <c r="AO545" s="33"/>
      <c r="AP545" s="32"/>
      <c r="AQ545" s="32"/>
      <c r="AR545" s="201"/>
      <c r="AS545" s="201"/>
      <c r="AT545" s="201"/>
      <c r="AU545" s="201"/>
      <c r="AV545" s="201"/>
      <c r="AW545" s="201"/>
      <c r="AX545" s="201"/>
      <c r="AY545" s="201"/>
      <c r="AZ545" s="201"/>
      <c r="BA545" s="201"/>
      <c r="BB545" s="201"/>
      <c r="BC545" s="201"/>
      <c r="BD545" s="465"/>
      <c r="BE545" s="465"/>
      <c r="BF545" s="465"/>
      <c r="BG545" s="465"/>
      <c r="BH545" s="465"/>
      <c r="BI545" s="465"/>
      <c r="BJ545" s="465"/>
      <c r="BK545" s="465"/>
      <c r="BL545" s="465"/>
      <c r="BM545" s="465"/>
      <c r="BN545" s="465"/>
      <c r="BO545" s="465"/>
      <c r="BP545" s="465"/>
      <c r="BQ545" s="465"/>
      <c r="BR545" s="465"/>
      <c r="BS545" s="465"/>
      <c r="BT545" s="465"/>
      <c r="BU545" s="465"/>
      <c r="BV545" s="465"/>
      <c r="BW545" s="465"/>
      <c r="BX545" s="465"/>
      <c r="BY545" s="465"/>
    </row>
    <row r="546" spans="2:77" s="28" customFormat="1">
      <c r="B546" s="201"/>
      <c r="D546" s="418"/>
      <c r="E546" s="29"/>
      <c r="G546" s="421"/>
      <c r="H546" s="422"/>
      <c r="I546" s="422"/>
      <c r="J546" s="422"/>
      <c r="K546" s="422"/>
      <c r="L546" s="422"/>
      <c r="P546" s="470"/>
      <c r="AJ546" s="31"/>
      <c r="AK546" s="31"/>
      <c r="AL546" s="32"/>
      <c r="AM546" s="33"/>
      <c r="AN546" s="32"/>
      <c r="AO546" s="33"/>
      <c r="AP546" s="32"/>
      <c r="AQ546" s="32"/>
      <c r="AR546" s="201"/>
      <c r="AS546" s="201"/>
      <c r="AT546" s="201"/>
      <c r="AU546" s="201"/>
      <c r="AV546" s="201"/>
      <c r="AW546" s="201"/>
      <c r="AX546" s="201"/>
      <c r="AY546" s="201"/>
      <c r="AZ546" s="201"/>
      <c r="BA546" s="201"/>
      <c r="BB546" s="201"/>
      <c r="BC546" s="201"/>
      <c r="BD546" s="465"/>
      <c r="BE546" s="465"/>
      <c r="BF546" s="465"/>
      <c r="BG546" s="465"/>
      <c r="BH546" s="465"/>
      <c r="BI546" s="465"/>
      <c r="BJ546" s="465"/>
      <c r="BK546" s="465"/>
      <c r="BL546" s="465"/>
      <c r="BM546" s="465"/>
      <c r="BN546" s="465"/>
      <c r="BO546" s="465"/>
      <c r="BP546" s="465"/>
      <c r="BQ546" s="465"/>
      <c r="BR546" s="465"/>
      <c r="BS546" s="465"/>
      <c r="BT546" s="465"/>
      <c r="BU546" s="465"/>
      <c r="BV546" s="465"/>
      <c r="BW546" s="465"/>
      <c r="BX546" s="465"/>
      <c r="BY546" s="465"/>
    </row>
    <row r="547" spans="2:77" s="28" customFormat="1">
      <c r="B547" s="201"/>
      <c r="D547" s="418"/>
      <c r="E547" s="29"/>
      <c r="G547" s="421"/>
      <c r="H547" s="422"/>
      <c r="I547" s="422"/>
      <c r="J547" s="422"/>
      <c r="K547" s="422"/>
      <c r="L547" s="422"/>
      <c r="P547" s="472"/>
      <c r="AJ547" s="31"/>
      <c r="AK547" s="31"/>
      <c r="AL547" s="32"/>
      <c r="AM547" s="33"/>
      <c r="AN547" s="32"/>
      <c r="AO547" s="33"/>
      <c r="AP547" s="32"/>
      <c r="AQ547" s="32"/>
      <c r="AR547" s="201"/>
      <c r="AS547" s="201"/>
      <c r="AT547" s="201"/>
      <c r="AU547" s="201"/>
      <c r="AV547" s="201"/>
      <c r="AW547" s="201"/>
      <c r="AX547" s="201"/>
      <c r="AY547" s="201"/>
      <c r="AZ547" s="201"/>
      <c r="BA547" s="201"/>
      <c r="BB547" s="201"/>
      <c r="BC547" s="201"/>
      <c r="BD547" s="465"/>
      <c r="BE547" s="465"/>
      <c r="BF547" s="465"/>
      <c r="BG547" s="465"/>
      <c r="BH547" s="465"/>
      <c r="BI547" s="465"/>
      <c r="BJ547" s="465"/>
      <c r="BK547" s="465"/>
      <c r="BL547" s="465"/>
      <c r="BM547" s="465"/>
      <c r="BN547" s="465"/>
      <c r="BO547" s="465"/>
      <c r="BP547" s="465"/>
      <c r="BQ547" s="465"/>
      <c r="BR547" s="465"/>
      <c r="BS547" s="465"/>
      <c r="BT547" s="465"/>
      <c r="BU547" s="465"/>
      <c r="BV547" s="465"/>
      <c r="BW547" s="465"/>
      <c r="BX547" s="465"/>
      <c r="BY547" s="465"/>
    </row>
    <row r="548" spans="2:77" s="28" customFormat="1">
      <c r="B548" s="201"/>
      <c r="D548" s="418"/>
      <c r="E548" s="29"/>
      <c r="G548" s="421"/>
      <c r="H548" s="422"/>
      <c r="I548" s="422"/>
      <c r="J548" s="422"/>
      <c r="K548" s="422"/>
      <c r="L548" s="422"/>
      <c r="P548" s="473"/>
      <c r="AJ548" s="31"/>
      <c r="AK548" s="31"/>
      <c r="AL548" s="32"/>
      <c r="AM548" s="33"/>
      <c r="AN548" s="32"/>
      <c r="AO548" s="33"/>
      <c r="AP548" s="32"/>
      <c r="AQ548" s="32"/>
      <c r="AR548" s="201"/>
      <c r="AS548" s="201"/>
      <c r="AT548" s="201"/>
      <c r="AU548" s="201"/>
      <c r="AV548" s="201"/>
      <c r="AW548" s="201"/>
      <c r="AX548" s="201"/>
      <c r="AY548" s="201"/>
      <c r="AZ548" s="201"/>
      <c r="BA548" s="201"/>
      <c r="BB548" s="201"/>
      <c r="BC548" s="201"/>
      <c r="BD548" s="465"/>
      <c r="BE548" s="465"/>
      <c r="BF548" s="465"/>
      <c r="BG548" s="465"/>
      <c r="BH548" s="465"/>
      <c r="BI548" s="465"/>
      <c r="BJ548" s="465"/>
      <c r="BK548" s="465"/>
      <c r="BL548" s="465"/>
      <c r="BM548" s="465"/>
      <c r="BN548" s="465"/>
      <c r="BO548" s="465"/>
      <c r="BP548" s="465"/>
      <c r="BQ548" s="465"/>
      <c r="BR548" s="465"/>
      <c r="BS548" s="465"/>
      <c r="BT548" s="465"/>
      <c r="BU548" s="465"/>
      <c r="BV548" s="465"/>
      <c r="BW548" s="465"/>
      <c r="BX548" s="465"/>
      <c r="BY548" s="465"/>
    </row>
    <row r="549" spans="2:77" s="28" customFormat="1">
      <c r="B549" s="201"/>
      <c r="D549" s="418"/>
      <c r="E549" s="29"/>
      <c r="G549" s="421"/>
      <c r="H549" s="422"/>
      <c r="I549" s="422"/>
      <c r="J549" s="422"/>
      <c r="K549" s="422"/>
      <c r="L549" s="422"/>
      <c r="P549" s="473"/>
      <c r="AJ549" s="31"/>
      <c r="AK549" s="31"/>
      <c r="AL549" s="32"/>
      <c r="AM549" s="33"/>
      <c r="AN549" s="32"/>
      <c r="AO549" s="33"/>
      <c r="AP549" s="32"/>
      <c r="AQ549" s="32"/>
      <c r="AR549" s="201"/>
      <c r="AS549" s="201"/>
      <c r="AT549" s="201"/>
      <c r="AU549" s="201"/>
      <c r="AV549" s="201"/>
      <c r="AW549" s="201"/>
      <c r="AX549" s="201"/>
      <c r="AY549" s="201"/>
      <c r="AZ549" s="201"/>
      <c r="BA549" s="201"/>
      <c r="BB549" s="201"/>
      <c r="BC549" s="201"/>
      <c r="BD549" s="465"/>
      <c r="BE549" s="465"/>
      <c r="BF549" s="465"/>
      <c r="BG549" s="465"/>
      <c r="BH549" s="465"/>
      <c r="BI549" s="465"/>
      <c r="BJ549" s="465"/>
      <c r="BK549" s="465"/>
      <c r="BL549" s="465"/>
      <c r="BM549" s="465"/>
      <c r="BN549" s="465"/>
      <c r="BO549" s="465"/>
      <c r="BP549" s="465"/>
      <c r="BQ549" s="465"/>
      <c r="BR549" s="465"/>
      <c r="BS549" s="465"/>
      <c r="BT549" s="465"/>
      <c r="BU549" s="465"/>
      <c r="BV549" s="465"/>
      <c r="BW549" s="465"/>
      <c r="BX549" s="465"/>
      <c r="BY549" s="465"/>
    </row>
    <row r="550" spans="2:77" s="28" customFormat="1">
      <c r="B550" s="201"/>
      <c r="D550" s="418"/>
      <c r="E550" s="29"/>
      <c r="G550" s="421"/>
      <c r="H550" s="422"/>
      <c r="I550" s="422"/>
      <c r="J550" s="422"/>
      <c r="K550" s="422"/>
      <c r="L550" s="422"/>
      <c r="P550" s="473"/>
      <c r="AJ550" s="31"/>
      <c r="AK550" s="31"/>
      <c r="AL550" s="32"/>
      <c r="AM550" s="33"/>
      <c r="AN550" s="32"/>
      <c r="AO550" s="33"/>
      <c r="AP550" s="32"/>
      <c r="AQ550" s="32"/>
      <c r="AR550" s="201"/>
      <c r="AS550" s="201"/>
      <c r="AT550" s="201"/>
      <c r="AU550" s="201"/>
      <c r="AV550" s="201"/>
      <c r="AW550" s="201"/>
      <c r="AX550" s="201"/>
      <c r="AY550" s="201"/>
      <c r="AZ550" s="201"/>
      <c r="BA550" s="201"/>
      <c r="BB550" s="201"/>
      <c r="BC550" s="201"/>
      <c r="BD550" s="465"/>
      <c r="BE550" s="465"/>
      <c r="BF550" s="465"/>
      <c r="BG550" s="465"/>
      <c r="BH550" s="465"/>
      <c r="BI550" s="465"/>
      <c r="BJ550" s="465"/>
      <c r="BK550" s="465"/>
      <c r="BL550" s="465"/>
      <c r="BM550" s="465"/>
      <c r="BN550" s="465"/>
      <c r="BO550" s="465"/>
      <c r="BP550" s="465"/>
      <c r="BQ550" s="465"/>
      <c r="BR550" s="465"/>
      <c r="BS550" s="465"/>
      <c r="BT550" s="465"/>
      <c r="BU550" s="465"/>
      <c r="BV550" s="465"/>
      <c r="BW550" s="465"/>
      <c r="BX550" s="465"/>
      <c r="BY550" s="465"/>
    </row>
    <row r="551" spans="2:77" s="28" customFormat="1">
      <c r="B551" s="201"/>
      <c r="D551" s="418"/>
      <c r="E551" s="29"/>
      <c r="G551" s="421"/>
      <c r="H551" s="422"/>
      <c r="I551" s="422"/>
      <c r="J551" s="422"/>
      <c r="K551" s="422"/>
      <c r="L551" s="422"/>
      <c r="P551" s="470"/>
      <c r="AJ551" s="31"/>
      <c r="AK551" s="31"/>
      <c r="AL551" s="32"/>
      <c r="AM551" s="33"/>
      <c r="AN551" s="32"/>
      <c r="AO551" s="33"/>
      <c r="AP551" s="32"/>
      <c r="AQ551" s="32"/>
      <c r="AR551" s="201"/>
      <c r="AS551" s="201"/>
      <c r="AT551" s="201"/>
      <c r="AU551" s="201"/>
      <c r="AV551" s="201"/>
      <c r="AW551" s="201"/>
      <c r="AX551" s="201"/>
      <c r="AY551" s="201"/>
      <c r="AZ551" s="201"/>
      <c r="BA551" s="201"/>
      <c r="BB551" s="201"/>
      <c r="BC551" s="201"/>
      <c r="BD551" s="465"/>
      <c r="BE551" s="465"/>
      <c r="BF551" s="465"/>
      <c r="BG551" s="465"/>
      <c r="BH551" s="465"/>
      <c r="BI551" s="465"/>
      <c r="BJ551" s="465"/>
      <c r="BK551" s="465"/>
      <c r="BL551" s="465"/>
      <c r="BM551" s="465"/>
      <c r="BN551" s="465"/>
      <c r="BO551" s="465"/>
      <c r="BP551" s="465"/>
      <c r="BQ551" s="465"/>
      <c r="BR551" s="465"/>
      <c r="BS551" s="465"/>
      <c r="BT551" s="465"/>
      <c r="BU551" s="465"/>
      <c r="BV551" s="465"/>
      <c r="BW551" s="465"/>
      <c r="BX551" s="465"/>
      <c r="BY551" s="465"/>
    </row>
    <row r="552" spans="2:77" s="28" customFormat="1">
      <c r="B552" s="201"/>
      <c r="D552" s="418"/>
      <c r="E552" s="29"/>
      <c r="G552" s="421"/>
      <c r="H552" s="422"/>
      <c r="I552" s="422"/>
      <c r="J552" s="422"/>
      <c r="K552" s="422"/>
      <c r="L552" s="422"/>
      <c r="P552" s="477"/>
      <c r="AJ552" s="31"/>
      <c r="AK552" s="31"/>
      <c r="AL552" s="32"/>
      <c r="AM552" s="33"/>
      <c r="AN552" s="32"/>
      <c r="AO552" s="33"/>
      <c r="AP552" s="32"/>
      <c r="AQ552" s="32"/>
      <c r="AR552" s="201"/>
      <c r="AS552" s="201"/>
      <c r="AT552" s="201"/>
      <c r="AU552" s="201"/>
      <c r="AV552" s="201"/>
      <c r="AW552" s="201"/>
      <c r="AX552" s="201"/>
      <c r="AY552" s="201"/>
      <c r="AZ552" s="201"/>
      <c r="BA552" s="201"/>
      <c r="BB552" s="201"/>
      <c r="BC552" s="201"/>
      <c r="BD552" s="465"/>
      <c r="BE552" s="465"/>
      <c r="BF552" s="465"/>
      <c r="BG552" s="465"/>
      <c r="BH552" s="465"/>
      <c r="BI552" s="465"/>
      <c r="BJ552" s="465"/>
      <c r="BK552" s="465"/>
      <c r="BL552" s="465"/>
      <c r="BM552" s="465"/>
      <c r="BN552" s="465"/>
      <c r="BO552" s="465"/>
      <c r="BP552" s="465"/>
      <c r="BQ552" s="465"/>
      <c r="BR552" s="465"/>
      <c r="BS552" s="465"/>
      <c r="BT552" s="465"/>
      <c r="BU552" s="465"/>
      <c r="BV552" s="465"/>
      <c r="BW552" s="465"/>
      <c r="BX552" s="465"/>
      <c r="BY552" s="465"/>
    </row>
    <row r="553" spans="2:77" s="28" customFormat="1">
      <c r="B553" s="201"/>
      <c r="D553" s="418"/>
      <c r="E553" s="29"/>
      <c r="G553" s="421"/>
      <c r="H553" s="422"/>
      <c r="I553" s="422"/>
      <c r="J553" s="422"/>
      <c r="K553" s="422"/>
      <c r="L553" s="422"/>
      <c r="P553" s="485"/>
      <c r="AJ553" s="31"/>
      <c r="AK553" s="31"/>
      <c r="AL553" s="32"/>
      <c r="AM553" s="33"/>
      <c r="AN553" s="32"/>
      <c r="AO553" s="33"/>
      <c r="AP553" s="32"/>
      <c r="AQ553" s="32"/>
      <c r="AR553" s="201"/>
      <c r="AS553" s="201"/>
      <c r="AT553" s="201"/>
      <c r="AU553" s="201"/>
      <c r="AV553" s="201"/>
      <c r="AW553" s="201"/>
      <c r="AX553" s="201"/>
      <c r="AY553" s="201"/>
      <c r="AZ553" s="201"/>
      <c r="BA553" s="201"/>
      <c r="BB553" s="201"/>
      <c r="BC553" s="201"/>
      <c r="BD553" s="465"/>
      <c r="BE553" s="465"/>
      <c r="BF553" s="465"/>
      <c r="BG553" s="465"/>
      <c r="BH553" s="465"/>
      <c r="BI553" s="465"/>
      <c r="BJ553" s="465"/>
      <c r="BK553" s="465"/>
      <c r="BL553" s="465"/>
      <c r="BM553" s="465"/>
      <c r="BN553" s="465"/>
      <c r="BO553" s="465"/>
      <c r="BP553" s="465"/>
      <c r="BQ553" s="465"/>
      <c r="BR553" s="465"/>
      <c r="BS553" s="465"/>
      <c r="BT553" s="465"/>
      <c r="BU553" s="465"/>
      <c r="BV553" s="465"/>
      <c r="BW553" s="465"/>
      <c r="BX553" s="465"/>
      <c r="BY553" s="465"/>
    </row>
    <row r="554" spans="2:77" s="28" customFormat="1">
      <c r="B554" s="201"/>
      <c r="D554" s="418"/>
      <c r="E554" s="29"/>
      <c r="G554" s="421"/>
      <c r="H554" s="422"/>
      <c r="I554" s="422"/>
      <c r="J554" s="422"/>
      <c r="K554" s="422"/>
      <c r="L554" s="422"/>
      <c r="P554" s="477"/>
      <c r="AJ554" s="31"/>
      <c r="AK554" s="31"/>
      <c r="AL554" s="32"/>
      <c r="AM554" s="33"/>
      <c r="AN554" s="32"/>
      <c r="AO554" s="33"/>
      <c r="AP554" s="32"/>
      <c r="AQ554" s="32"/>
      <c r="AR554" s="201"/>
      <c r="AS554" s="201"/>
      <c r="AT554" s="201"/>
      <c r="AU554" s="201"/>
      <c r="AV554" s="201"/>
      <c r="AW554" s="201"/>
      <c r="AX554" s="201"/>
      <c r="AY554" s="201"/>
      <c r="AZ554" s="201"/>
      <c r="BA554" s="201"/>
      <c r="BB554" s="201"/>
      <c r="BC554" s="201"/>
      <c r="BD554" s="465"/>
      <c r="BE554" s="465"/>
      <c r="BF554" s="465"/>
      <c r="BG554" s="465"/>
      <c r="BH554" s="465"/>
      <c r="BI554" s="465"/>
      <c r="BJ554" s="465"/>
      <c r="BK554" s="465"/>
      <c r="BL554" s="465"/>
      <c r="BM554" s="465"/>
      <c r="BN554" s="465"/>
      <c r="BO554" s="465"/>
      <c r="BP554" s="465"/>
      <c r="BQ554" s="465"/>
      <c r="BR554" s="465"/>
      <c r="BS554" s="465"/>
      <c r="BT554" s="465"/>
      <c r="BU554" s="465"/>
      <c r="BV554" s="465"/>
      <c r="BW554" s="465"/>
      <c r="BX554" s="465"/>
      <c r="BY554" s="465"/>
    </row>
    <row r="555" spans="2:77" s="28" customFormat="1">
      <c r="B555" s="201"/>
      <c r="D555" s="418"/>
      <c r="E555" s="29"/>
      <c r="G555" s="421"/>
      <c r="H555" s="422"/>
      <c r="I555" s="422"/>
      <c r="J555" s="422"/>
      <c r="K555" s="422"/>
      <c r="L555" s="422"/>
      <c r="P555" s="470"/>
      <c r="AJ555" s="31"/>
      <c r="AK555" s="31"/>
      <c r="AL555" s="32"/>
      <c r="AM555" s="33"/>
      <c r="AN555" s="32"/>
      <c r="AO555" s="33"/>
      <c r="AP555" s="32"/>
      <c r="AQ555" s="32"/>
      <c r="AR555" s="201"/>
      <c r="AS555" s="201"/>
      <c r="AT555" s="201"/>
      <c r="AU555" s="201"/>
      <c r="AV555" s="201"/>
      <c r="AW555" s="201"/>
      <c r="AX555" s="201"/>
      <c r="AY555" s="201"/>
      <c r="AZ555" s="201"/>
      <c r="BA555" s="201"/>
      <c r="BB555" s="201"/>
      <c r="BC555" s="201"/>
      <c r="BD555" s="465"/>
      <c r="BE555" s="465"/>
      <c r="BF555" s="465"/>
      <c r="BG555" s="465"/>
      <c r="BH555" s="465"/>
      <c r="BI555" s="465"/>
      <c r="BJ555" s="465"/>
      <c r="BK555" s="465"/>
      <c r="BL555" s="465"/>
      <c r="BM555" s="465"/>
      <c r="BN555" s="465"/>
      <c r="BO555" s="465"/>
      <c r="BP555" s="465"/>
      <c r="BQ555" s="465"/>
      <c r="BR555" s="465"/>
      <c r="BS555" s="465"/>
      <c r="BT555" s="465"/>
      <c r="BU555" s="465"/>
      <c r="BV555" s="465"/>
      <c r="BW555" s="465"/>
      <c r="BX555" s="465"/>
      <c r="BY555" s="465"/>
    </row>
    <row r="556" spans="2:77" s="28" customFormat="1">
      <c r="B556" s="201"/>
      <c r="D556" s="418"/>
      <c r="E556" s="29"/>
      <c r="G556" s="421"/>
      <c r="H556" s="422"/>
      <c r="I556" s="422"/>
      <c r="J556" s="422"/>
      <c r="K556" s="422"/>
      <c r="L556" s="422"/>
      <c r="P556" s="470"/>
      <c r="AJ556" s="31"/>
      <c r="AK556" s="31"/>
      <c r="AL556" s="32"/>
      <c r="AM556" s="33"/>
      <c r="AN556" s="32"/>
      <c r="AO556" s="33"/>
      <c r="AP556" s="32"/>
      <c r="AQ556" s="32"/>
      <c r="AR556" s="201"/>
      <c r="AS556" s="201"/>
      <c r="AT556" s="201"/>
      <c r="AU556" s="201"/>
      <c r="AV556" s="201"/>
      <c r="AW556" s="201"/>
      <c r="AX556" s="201"/>
      <c r="AY556" s="201"/>
      <c r="AZ556" s="201"/>
      <c r="BA556" s="201"/>
      <c r="BB556" s="201"/>
      <c r="BC556" s="201"/>
      <c r="BD556" s="465"/>
      <c r="BE556" s="465"/>
      <c r="BF556" s="465"/>
      <c r="BG556" s="465"/>
      <c r="BH556" s="465"/>
      <c r="BI556" s="465"/>
      <c r="BJ556" s="465"/>
      <c r="BK556" s="465"/>
      <c r="BL556" s="465"/>
      <c r="BM556" s="465"/>
      <c r="BN556" s="465"/>
      <c r="BO556" s="465"/>
      <c r="BP556" s="465"/>
      <c r="BQ556" s="465"/>
      <c r="BR556" s="465"/>
      <c r="BS556" s="465"/>
      <c r="BT556" s="465"/>
      <c r="BU556" s="465"/>
      <c r="BV556" s="465"/>
      <c r="BW556" s="465"/>
      <c r="BX556" s="465"/>
      <c r="BY556" s="465"/>
    </row>
    <row r="557" spans="2:77" s="28" customFormat="1">
      <c r="B557" s="201"/>
      <c r="D557" s="418"/>
      <c r="E557" s="29"/>
      <c r="G557" s="421"/>
      <c r="H557" s="422"/>
      <c r="I557" s="422"/>
      <c r="J557" s="422"/>
      <c r="K557" s="422"/>
      <c r="L557" s="422"/>
      <c r="P557" s="474"/>
      <c r="AJ557" s="31"/>
      <c r="AK557" s="31"/>
      <c r="AL557" s="32"/>
      <c r="AM557" s="33"/>
      <c r="AN557" s="32"/>
      <c r="AO557" s="33"/>
      <c r="AP557" s="32"/>
      <c r="AQ557" s="32"/>
      <c r="AR557" s="201"/>
      <c r="AS557" s="201"/>
      <c r="AT557" s="201"/>
      <c r="AU557" s="201"/>
      <c r="AV557" s="201"/>
      <c r="AW557" s="201"/>
      <c r="AX557" s="201"/>
      <c r="AY557" s="201"/>
      <c r="AZ557" s="201"/>
      <c r="BA557" s="201"/>
      <c r="BB557" s="201"/>
      <c r="BC557" s="201"/>
      <c r="BD557" s="465"/>
      <c r="BE557" s="465"/>
      <c r="BF557" s="465"/>
      <c r="BG557" s="465"/>
      <c r="BH557" s="465"/>
      <c r="BI557" s="465"/>
      <c r="BJ557" s="465"/>
      <c r="BK557" s="465"/>
      <c r="BL557" s="465"/>
      <c r="BM557" s="465"/>
      <c r="BN557" s="465"/>
      <c r="BO557" s="465"/>
      <c r="BP557" s="465"/>
      <c r="BQ557" s="465"/>
      <c r="BR557" s="465"/>
      <c r="BS557" s="465"/>
      <c r="BT557" s="465"/>
      <c r="BU557" s="465"/>
      <c r="BV557" s="465"/>
      <c r="BW557" s="465"/>
      <c r="BX557" s="465"/>
      <c r="BY557" s="465"/>
    </row>
    <row r="558" spans="2:77" s="28" customFormat="1">
      <c r="B558" s="201"/>
      <c r="D558" s="418"/>
      <c r="E558" s="29"/>
      <c r="G558" s="421"/>
      <c r="H558" s="422"/>
      <c r="I558" s="422"/>
      <c r="J558" s="422"/>
      <c r="K558" s="422"/>
      <c r="L558" s="422"/>
      <c r="P558" s="481"/>
      <c r="AJ558" s="31"/>
      <c r="AK558" s="31"/>
      <c r="AL558" s="32"/>
      <c r="AM558" s="33"/>
      <c r="AN558" s="32"/>
      <c r="AO558" s="33"/>
      <c r="AP558" s="32"/>
      <c r="AQ558" s="32"/>
      <c r="AR558" s="201"/>
      <c r="AS558" s="201"/>
      <c r="AT558" s="201"/>
      <c r="AU558" s="201"/>
      <c r="AV558" s="201"/>
      <c r="AW558" s="201"/>
      <c r="AX558" s="201"/>
      <c r="AY558" s="201"/>
      <c r="AZ558" s="201"/>
      <c r="BA558" s="201"/>
      <c r="BB558" s="201"/>
      <c r="BC558" s="201"/>
      <c r="BD558" s="465"/>
      <c r="BE558" s="465"/>
      <c r="BF558" s="465"/>
      <c r="BG558" s="465"/>
      <c r="BH558" s="465"/>
      <c r="BI558" s="465"/>
      <c r="BJ558" s="465"/>
      <c r="BK558" s="465"/>
      <c r="BL558" s="465"/>
      <c r="BM558" s="465"/>
      <c r="BN558" s="465"/>
      <c r="BO558" s="465"/>
      <c r="BP558" s="465"/>
      <c r="BQ558" s="465"/>
      <c r="BR558" s="465"/>
      <c r="BS558" s="465"/>
      <c r="BT558" s="465"/>
      <c r="BU558" s="465"/>
      <c r="BV558" s="465"/>
      <c r="BW558" s="465"/>
      <c r="BX558" s="465"/>
      <c r="BY558" s="465"/>
    </row>
    <row r="559" spans="2:77" s="28" customFormat="1">
      <c r="B559" s="201"/>
      <c r="D559" s="418"/>
      <c r="E559" s="29"/>
      <c r="G559" s="421"/>
      <c r="H559" s="422"/>
      <c r="I559" s="422"/>
      <c r="J559" s="422"/>
      <c r="K559" s="422"/>
      <c r="L559" s="422"/>
      <c r="P559" s="470"/>
      <c r="AJ559" s="31"/>
      <c r="AK559" s="31"/>
      <c r="AL559" s="32"/>
      <c r="AM559" s="33"/>
      <c r="AN559" s="32"/>
      <c r="AO559" s="33"/>
      <c r="AP559" s="32"/>
      <c r="AQ559" s="32"/>
      <c r="AR559" s="201"/>
      <c r="AS559" s="201"/>
      <c r="AT559" s="201"/>
      <c r="AU559" s="201"/>
      <c r="AV559" s="201"/>
      <c r="AW559" s="201"/>
      <c r="AX559" s="201"/>
      <c r="AY559" s="201"/>
      <c r="AZ559" s="201"/>
      <c r="BA559" s="201"/>
      <c r="BB559" s="201"/>
      <c r="BC559" s="201"/>
      <c r="BD559" s="465"/>
      <c r="BE559" s="465"/>
      <c r="BF559" s="465"/>
      <c r="BG559" s="465"/>
      <c r="BH559" s="465"/>
      <c r="BI559" s="465"/>
      <c r="BJ559" s="465"/>
      <c r="BK559" s="465"/>
      <c r="BL559" s="465"/>
      <c r="BM559" s="465"/>
      <c r="BN559" s="465"/>
      <c r="BO559" s="465"/>
      <c r="BP559" s="465"/>
      <c r="BQ559" s="465"/>
      <c r="BR559" s="465"/>
      <c r="BS559" s="465"/>
      <c r="BT559" s="465"/>
      <c r="BU559" s="465"/>
      <c r="BV559" s="465"/>
      <c r="BW559" s="465"/>
      <c r="BX559" s="465"/>
      <c r="BY559" s="465"/>
    </row>
    <row r="560" spans="2:77" s="28" customFormat="1">
      <c r="B560" s="201"/>
      <c r="D560" s="418"/>
      <c r="E560" s="29"/>
      <c r="G560" s="421"/>
      <c r="H560" s="422"/>
      <c r="I560" s="422"/>
      <c r="J560" s="422"/>
      <c r="K560" s="422"/>
      <c r="L560" s="422"/>
      <c r="P560" s="469"/>
      <c r="AJ560" s="31"/>
      <c r="AK560" s="31"/>
      <c r="AL560" s="32"/>
      <c r="AM560" s="33"/>
      <c r="AN560" s="32"/>
      <c r="AO560" s="33"/>
      <c r="AP560" s="32"/>
      <c r="AQ560" s="32"/>
      <c r="AR560" s="201"/>
      <c r="AS560" s="201"/>
      <c r="AT560" s="201"/>
      <c r="AU560" s="201"/>
      <c r="AV560" s="201"/>
      <c r="AW560" s="201"/>
      <c r="AX560" s="201"/>
      <c r="AY560" s="201"/>
      <c r="AZ560" s="201"/>
      <c r="BA560" s="201"/>
      <c r="BB560" s="201"/>
      <c r="BC560" s="201"/>
      <c r="BD560" s="465"/>
      <c r="BE560" s="465"/>
      <c r="BF560" s="465"/>
      <c r="BG560" s="465"/>
      <c r="BH560" s="465"/>
      <c r="BI560" s="465"/>
      <c r="BJ560" s="465"/>
      <c r="BK560" s="465"/>
      <c r="BL560" s="465"/>
      <c r="BM560" s="465"/>
      <c r="BN560" s="465"/>
      <c r="BO560" s="465"/>
      <c r="BP560" s="465"/>
      <c r="BQ560" s="465"/>
      <c r="BR560" s="465"/>
      <c r="BS560" s="465"/>
      <c r="BT560" s="465"/>
      <c r="BU560" s="465"/>
      <c r="BV560" s="465"/>
      <c r="BW560" s="465"/>
      <c r="BX560" s="465"/>
      <c r="BY560" s="465"/>
    </row>
  </sheetData>
  <mergeCells count="39">
    <mergeCell ref="M131:P131"/>
    <mergeCell ref="AC131:AF131"/>
    <mergeCell ref="M137:P137"/>
    <mergeCell ref="AC137:AF137"/>
    <mergeCell ref="M138:P138"/>
    <mergeCell ref="AC138:AF138"/>
    <mergeCell ref="G2:G4"/>
    <mergeCell ref="B2:B4"/>
    <mergeCell ref="C2:C4"/>
    <mergeCell ref="D2:D4"/>
    <mergeCell ref="E2:E4"/>
    <mergeCell ref="F2:F4"/>
    <mergeCell ref="AJ2:AJ4"/>
    <mergeCell ref="AK2:AK4"/>
    <mergeCell ref="AF2:AF4"/>
    <mergeCell ref="AG2:AG4"/>
    <mergeCell ref="AH2:AI3"/>
    <mergeCell ref="H2:L3"/>
    <mergeCell ref="M2:R2"/>
    <mergeCell ref="M3:M4"/>
    <mergeCell ref="N3:N4"/>
    <mergeCell ref="P3:P4"/>
    <mergeCell ref="Q3:Q4"/>
    <mergeCell ref="R3:R4"/>
    <mergeCell ref="K4:L4"/>
    <mergeCell ref="O3:O4"/>
    <mergeCell ref="S2:U2"/>
    <mergeCell ref="S3:S4"/>
    <mergeCell ref="T3:T4"/>
    <mergeCell ref="U3:U4"/>
    <mergeCell ref="V2:V4"/>
    <mergeCell ref="AB2:AB4"/>
    <mergeCell ref="AC2:AD3"/>
    <mergeCell ref="AE2:AE4"/>
    <mergeCell ref="W2:W4"/>
    <mergeCell ref="X2:X4"/>
    <mergeCell ref="Y2:Y4"/>
    <mergeCell ref="Z2:Z4"/>
    <mergeCell ref="AA2:AA4"/>
  </mergeCells>
  <dataValidations count="2">
    <dataValidation type="list" allowBlank="1" showInputMessage="1" showErrorMessage="1" sqref="I146:I147 I6:I117">
      <formula1>"TK/0,TK/1,TK/2,TK/3,K/0,K/1,K/2,K/3"</formula1>
    </dataValidation>
    <dataValidation type="list" allowBlank="1" showInputMessage="1" showErrorMessage="1" sqref="H146:H147 H6:H117">
      <formula1>"L,P"</formula1>
    </dataValidation>
  </dataValidations>
  <pageMargins left="0" right="0" top="0.39370078740157483" bottom="0.39370078740157483" header="0.51181102362204722" footer="0.51181102362204722"/>
  <pageSetup paperSize="10000" scale="35" orientation="landscape" r:id="rId1"/>
  <headerFooter alignWithMargins="0"/>
  <colBreaks count="1" manualBreakCount="1">
    <brk id="3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491"/>
  <sheetViews>
    <sheetView zoomScale="70" zoomScaleNormal="70" workbookViewId="0">
      <selection activeCell="AD10" sqref="AD10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.42578125" style="28" customWidth="1"/>
    <col min="4" max="4" width="21" style="194" customWidth="1" outlineLevel="1"/>
    <col min="5" max="5" width="20" style="29" customWidth="1" outlineLevel="1"/>
    <col min="6" max="6" width="23.7109375" style="28" customWidth="1" outlineLevel="1"/>
    <col min="7" max="7" width="9.7109375" style="30" hidden="1" customWidth="1" outlineLevel="1"/>
    <col min="8" max="8" width="5" style="195" customWidth="1" outlineLevel="1"/>
    <col min="9" max="9" width="6.7109375" style="195" customWidth="1" outlineLevel="1"/>
    <col min="10" max="10" width="10.85546875" style="195" customWidth="1" outlineLevel="1"/>
    <col min="11" max="13" width="14.140625" style="28" customWidth="1"/>
    <col min="14" max="18" width="14.140625" style="28" hidden="1" customWidth="1"/>
    <col min="19" max="19" width="12.7109375" style="28" customWidth="1"/>
    <col min="20" max="20" width="14.140625" style="28" hidden="1" customWidth="1"/>
    <col min="21" max="22" width="14.140625" style="28" customWidth="1"/>
    <col min="23" max="23" width="13.5703125" style="28" customWidth="1" collapsed="1"/>
    <col min="24" max="24" width="7.7109375" style="57" customWidth="1"/>
    <col min="25" max="25" width="12.7109375" style="28" customWidth="1"/>
    <col min="26" max="26" width="13.140625" style="92" customWidth="1"/>
    <col min="27" max="27" width="12.140625" style="27" customWidth="1"/>
    <col min="28" max="28" width="12" style="27" bestFit="1" customWidth="1"/>
    <col min="29" max="30" width="9.28515625" style="27"/>
    <col min="31" max="31" width="12" style="27" bestFit="1" customWidth="1"/>
    <col min="32" max="32" width="9.28515625" style="27"/>
    <col min="33" max="16384" width="9.28515625" style="53"/>
  </cols>
  <sheetData>
    <row r="1" spans="2:32">
      <c r="B1" s="27" t="s">
        <v>71</v>
      </c>
      <c r="AF1" s="53"/>
    </row>
    <row r="2" spans="2:32">
      <c r="B2" s="27" t="s">
        <v>72</v>
      </c>
      <c r="AF2" s="53"/>
    </row>
    <row r="3" spans="2:32">
      <c r="B3" s="27" t="s">
        <v>208</v>
      </c>
      <c r="AF3" s="53"/>
    </row>
    <row r="4" spans="2:32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57"/>
      <c r="Y4" s="28"/>
      <c r="Z4" s="92"/>
    </row>
    <row r="5" spans="2:32" s="27" customFormat="1" ht="39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79" t="s">
        <v>67</v>
      </c>
      <c r="M5" s="179" t="s">
        <v>68</v>
      </c>
      <c r="N5" s="179" t="s">
        <v>199</v>
      </c>
      <c r="O5" s="78" t="s">
        <v>200</v>
      </c>
      <c r="P5" s="179" t="s">
        <v>201</v>
      </c>
      <c r="Q5" s="179" t="s">
        <v>81</v>
      </c>
      <c r="R5" s="179" t="s">
        <v>202</v>
      </c>
      <c r="S5" s="189" t="s">
        <v>45</v>
      </c>
      <c r="T5" s="179" t="s">
        <v>203</v>
      </c>
      <c r="U5" s="179" t="s">
        <v>79</v>
      </c>
      <c r="V5" s="179" t="s">
        <v>204</v>
      </c>
      <c r="W5" s="189" t="s">
        <v>41</v>
      </c>
      <c r="X5" s="79" t="s">
        <v>42</v>
      </c>
      <c r="Y5" s="85" t="s">
        <v>43</v>
      </c>
      <c r="Z5" s="188" t="s">
        <v>69</v>
      </c>
      <c r="AA5" s="188" t="s">
        <v>70</v>
      </c>
      <c r="AB5" s="188" t="s">
        <v>205</v>
      </c>
    </row>
    <row r="6" spans="2:32" s="27" customFormat="1">
      <c r="B6" s="34">
        <v>1</v>
      </c>
      <c r="C6" s="35" t="s">
        <v>209</v>
      </c>
      <c r="D6" s="36" t="s">
        <v>210</v>
      </c>
      <c r="E6" s="180" t="s">
        <v>73</v>
      </c>
      <c r="F6" s="35" t="s">
        <v>211</v>
      </c>
      <c r="G6" s="35"/>
      <c r="H6" s="37" t="s">
        <v>39</v>
      </c>
      <c r="I6" s="38" t="s">
        <v>9</v>
      </c>
      <c r="J6" s="55" t="str">
        <f t="shared" ref="J6:J46" si="0">IF(ISBLANK(I6),"",IF(OR(I6="TK/0",I6="TK/1",I6="K/0"),"TER A",IF(I6="K/3","TER C","TER B")))</f>
        <v>TER B</v>
      </c>
      <c r="K6" s="59">
        <v>6445846.2300000004</v>
      </c>
      <c r="L6" s="59">
        <v>30575.999999999996</v>
      </c>
      <c r="M6" s="59">
        <v>146100</v>
      </c>
      <c r="N6" s="59"/>
      <c r="O6" s="59"/>
      <c r="P6" s="59"/>
      <c r="Q6" s="59"/>
      <c r="R6" s="59"/>
      <c r="S6" s="61">
        <v>0</v>
      </c>
      <c r="T6" s="59"/>
      <c r="U6" s="59"/>
      <c r="V6" s="59"/>
      <c r="W6" s="61">
        <f t="shared" ref="W6:W46" si="1">SUM(K6:V6)</f>
        <v>6622522.2300000004</v>
      </c>
      <c r="X6" s="181">
        <f t="shared" ref="X6:X38" si="2">IF($J6="TER A",VLOOKUP(W6,Ter_A,4,TRUE),IF($J6="TER B",VLOOKUP(W6,Ter_B,4,TRUE),VLOOKUP(W6,Ter_C,4,TRUE)))</f>
        <v>5.0000000000000001E-3</v>
      </c>
      <c r="Y6" s="182">
        <f t="shared" ref="Y6:Y46" si="3">ROUND(IF($E6=0,W6*X6*120%,W6*X6),0)</f>
        <v>33113</v>
      </c>
      <c r="Z6" s="59">
        <v>55931.767110000023</v>
      </c>
      <c r="AA6" s="183">
        <f t="shared" ref="AA6:AA45" si="4">Z6-Y6</f>
        <v>22818.767110000023</v>
      </c>
      <c r="AB6" s="96" t="s">
        <v>206</v>
      </c>
      <c r="AC6" s="93">
        <f>L6+M6</f>
        <v>176676</v>
      </c>
      <c r="AE6" s="184"/>
    </row>
    <row r="7" spans="2:32" s="27" customFormat="1">
      <c r="B7" s="40">
        <v>2</v>
      </c>
      <c r="C7" s="41" t="s">
        <v>212</v>
      </c>
      <c r="D7" s="43" t="s">
        <v>213</v>
      </c>
      <c r="E7" s="185" t="s">
        <v>73</v>
      </c>
      <c r="F7" s="41" t="s">
        <v>214</v>
      </c>
      <c r="G7" s="41"/>
      <c r="H7" s="44" t="s">
        <v>39</v>
      </c>
      <c r="I7" s="45" t="s">
        <v>9</v>
      </c>
      <c r="J7" s="58" t="str">
        <f t="shared" si="0"/>
        <v>TER B</v>
      </c>
      <c r="K7" s="60">
        <v>7322994.2300000004</v>
      </c>
      <c r="L7" s="60">
        <v>30575.999999999996</v>
      </c>
      <c r="M7" s="60">
        <v>146100</v>
      </c>
      <c r="N7" s="60"/>
      <c r="O7" s="60"/>
      <c r="P7" s="60"/>
      <c r="Q7" s="60"/>
      <c r="R7" s="60"/>
      <c r="S7" s="62">
        <v>0</v>
      </c>
      <c r="T7" s="60"/>
      <c r="U7" s="60"/>
      <c r="V7" s="60"/>
      <c r="W7" s="62">
        <f t="shared" si="1"/>
        <v>7499670.2300000004</v>
      </c>
      <c r="X7" s="63">
        <f t="shared" si="2"/>
        <v>0.01</v>
      </c>
      <c r="Y7" s="86">
        <f t="shared" si="3"/>
        <v>74997</v>
      </c>
      <c r="Z7" s="60">
        <v>105929.20311000005</v>
      </c>
      <c r="AA7" s="95">
        <f t="shared" si="4"/>
        <v>30932.203110000046</v>
      </c>
      <c r="AB7" s="96" t="s">
        <v>206</v>
      </c>
      <c r="AC7" s="93">
        <f t="shared" ref="AC7:AC46" si="5">L7+M7</f>
        <v>176676</v>
      </c>
      <c r="AE7" s="184"/>
    </row>
    <row r="8" spans="2:32" s="27" customFormat="1">
      <c r="B8" s="40">
        <v>3</v>
      </c>
      <c r="C8" s="41" t="s">
        <v>215</v>
      </c>
      <c r="D8" s="43" t="s">
        <v>216</v>
      </c>
      <c r="E8" s="185" t="s">
        <v>73</v>
      </c>
      <c r="F8" s="41" t="s">
        <v>217</v>
      </c>
      <c r="G8" s="41"/>
      <c r="H8" s="44" t="s">
        <v>39</v>
      </c>
      <c r="I8" s="45" t="s">
        <v>11</v>
      </c>
      <c r="J8" s="58" t="str">
        <f t="shared" si="0"/>
        <v>TER B</v>
      </c>
      <c r="K8" s="60">
        <v>5763360.2300000004</v>
      </c>
      <c r="L8" s="60">
        <v>30575.999999999996</v>
      </c>
      <c r="M8" s="60">
        <v>145800</v>
      </c>
      <c r="N8" s="60"/>
      <c r="O8" s="60"/>
      <c r="P8" s="60"/>
      <c r="Q8" s="60"/>
      <c r="R8" s="60"/>
      <c r="S8" s="62">
        <v>0</v>
      </c>
      <c r="T8" s="60"/>
      <c r="U8" s="60"/>
      <c r="V8" s="60"/>
      <c r="W8" s="62">
        <f t="shared" si="1"/>
        <v>5939736.2300000004</v>
      </c>
      <c r="X8" s="63">
        <f t="shared" si="2"/>
        <v>0</v>
      </c>
      <c r="Y8" s="86">
        <f t="shared" si="3"/>
        <v>0</v>
      </c>
      <c r="Z8" s="60">
        <v>0</v>
      </c>
      <c r="AA8" s="95">
        <f t="shared" si="4"/>
        <v>0</v>
      </c>
      <c r="AB8" s="96"/>
      <c r="AC8" s="93">
        <f t="shared" si="5"/>
        <v>176376</v>
      </c>
      <c r="AE8" s="184"/>
    </row>
    <row r="9" spans="2:32" s="27" customFormat="1">
      <c r="B9" s="40">
        <v>4</v>
      </c>
      <c r="C9" s="41" t="s">
        <v>218</v>
      </c>
      <c r="D9" s="43" t="s">
        <v>219</v>
      </c>
      <c r="E9" s="185" t="s">
        <v>73</v>
      </c>
      <c r="F9" s="41" t="s">
        <v>220</v>
      </c>
      <c r="G9" s="41"/>
      <c r="H9" s="44" t="s">
        <v>39</v>
      </c>
      <c r="I9" s="45" t="s">
        <v>11</v>
      </c>
      <c r="J9" s="58" t="str">
        <f t="shared" si="0"/>
        <v>TER B</v>
      </c>
      <c r="K9" s="60">
        <v>8294982.2300000004</v>
      </c>
      <c r="L9" s="60">
        <v>30575.999999999996</v>
      </c>
      <c r="M9" s="60">
        <v>145900</v>
      </c>
      <c r="N9" s="60"/>
      <c r="O9" s="60"/>
      <c r="P9" s="60"/>
      <c r="Q9" s="60"/>
      <c r="R9" s="60"/>
      <c r="S9" s="62">
        <v>0</v>
      </c>
      <c r="T9" s="60"/>
      <c r="U9" s="60"/>
      <c r="V9" s="60"/>
      <c r="W9" s="62">
        <f t="shared" si="1"/>
        <v>8471458.2300000004</v>
      </c>
      <c r="X9" s="63">
        <f t="shared" si="2"/>
        <v>0.01</v>
      </c>
      <c r="Y9" s="86">
        <f t="shared" si="3"/>
        <v>84715</v>
      </c>
      <c r="Z9" s="60">
        <v>138821.11910999997</v>
      </c>
      <c r="AA9" s="95">
        <f t="shared" si="4"/>
        <v>54106.119109999971</v>
      </c>
      <c r="AB9" s="96" t="s">
        <v>206</v>
      </c>
      <c r="AC9" s="93">
        <f t="shared" si="5"/>
        <v>176476</v>
      </c>
      <c r="AE9" s="184"/>
    </row>
    <row r="10" spans="2:32" s="27" customFormat="1">
      <c r="B10" s="40">
        <v>5</v>
      </c>
      <c r="C10" s="41" t="s">
        <v>221</v>
      </c>
      <c r="D10" s="43" t="s">
        <v>222</v>
      </c>
      <c r="E10" s="185">
        <v>972283717305000</v>
      </c>
      <c r="F10" s="41" t="s">
        <v>223</v>
      </c>
      <c r="G10" s="41"/>
      <c r="H10" s="44" t="s">
        <v>39</v>
      </c>
      <c r="I10" s="45" t="s">
        <v>7</v>
      </c>
      <c r="J10" s="58" t="str">
        <f t="shared" si="0"/>
        <v>TER A</v>
      </c>
      <c r="K10" s="60">
        <v>3725416.57</v>
      </c>
      <c r="L10" s="60">
        <v>30827.999999999996</v>
      </c>
      <c r="M10" s="60">
        <v>148540</v>
      </c>
      <c r="N10" s="60"/>
      <c r="O10" s="60"/>
      <c r="P10" s="60"/>
      <c r="Q10" s="60"/>
      <c r="R10" s="60"/>
      <c r="S10" s="62">
        <v>0</v>
      </c>
      <c r="T10" s="60"/>
      <c r="U10" s="60"/>
      <c r="V10" s="60"/>
      <c r="W10" s="62">
        <f t="shared" si="1"/>
        <v>3904784.57</v>
      </c>
      <c r="X10" s="63">
        <f t="shared" si="2"/>
        <v>0</v>
      </c>
      <c r="Y10" s="86">
        <f t="shared" si="3"/>
        <v>0</v>
      </c>
      <c r="Z10" s="60">
        <v>0</v>
      </c>
      <c r="AA10" s="95">
        <f t="shared" si="4"/>
        <v>0</v>
      </c>
      <c r="AB10" s="96"/>
      <c r="AC10" s="93">
        <f t="shared" si="5"/>
        <v>179368</v>
      </c>
      <c r="AE10" s="93">
        <f>K10+'Feb''24'!K6+'Maret''24'!K6+'April ''24'!K6+'Mei ''24'!K6+'Juni ''24 '!K6+'Juli ''24'!K6+'Agust ''24 '!K6+'Sept ''24'!K6</f>
        <v>33452415.759999998</v>
      </c>
    </row>
    <row r="11" spans="2:32" s="27" customFormat="1">
      <c r="B11" s="40">
        <v>6</v>
      </c>
      <c r="C11" s="41" t="s">
        <v>224</v>
      </c>
      <c r="D11" s="43" t="s">
        <v>225</v>
      </c>
      <c r="E11" s="185" t="s">
        <v>73</v>
      </c>
      <c r="F11" s="41" t="s">
        <v>226</v>
      </c>
      <c r="G11" s="41"/>
      <c r="H11" s="44" t="s">
        <v>38</v>
      </c>
      <c r="I11" s="45" t="s">
        <v>7</v>
      </c>
      <c r="J11" s="58" t="str">
        <f t="shared" si="0"/>
        <v>TER A</v>
      </c>
      <c r="K11" s="60">
        <v>5501678.4199999999</v>
      </c>
      <c r="L11" s="60">
        <v>30575.999999999996</v>
      </c>
      <c r="M11" s="60">
        <v>146200</v>
      </c>
      <c r="N11" s="60"/>
      <c r="O11" s="60"/>
      <c r="P11" s="60"/>
      <c r="Q11" s="60"/>
      <c r="R11" s="60"/>
      <c r="S11" s="62">
        <v>0</v>
      </c>
      <c r="T11" s="60"/>
      <c r="U11" s="60"/>
      <c r="V11" s="60"/>
      <c r="W11" s="62">
        <f t="shared" si="1"/>
        <v>5678454.4199999999</v>
      </c>
      <c r="X11" s="63">
        <f t="shared" si="2"/>
        <v>5.0000000000000001E-3</v>
      </c>
      <c r="Y11" s="86">
        <f t="shared" si="3"/>
        <v>28392</v>
      </c>
      <c r="Z11" s="60">
        <v>47119.901939999982</v>
      </c>
      <c r="AA11" s="95">
        <f t="shared" si="4"/>
        <v>18727.901939999982</v>
      </c>
      <c r="AB11" s="96" t="s">
        <v>206</v>
      </c>
      <c r="AC11" s="93">
        <f t="shared" si="5"/>
        <v>176776</v>
      </c>
      <c r="AE11" s="184"/>
    </row>
    <row r="12" spans="2:32" s="27" customFormat="1">
      <c r="B12" s="40">
        <v>7</v>
      </c>
      <c r="C12" s="41" t="s">
        <v>227</v>
      </c>
      <c r="D12" s="43" t="s">
        <v>228</v>
      </c>
      <c r="E12" s="185">
        <v>972283451305000</v>
      </c>
      <c r="F12" s="41" t="s">
        <v>229</v>
      </c>
      <c r="G12" s="41"/>
      <c r="H12" s="44" t="s">
        <v>39</v>
      </c>
      <c r="I12" s="45" t="s">
        <v>7</v>
      </c>
      <c r="J12" s="58" t="str">
        <f t="shared" si="0"/>
        <v>TER A</v>
      </c>
      <c r="K12" s="60">
        <v>3627416.57</v>
      </c>
      <c r="L12" s="60">
        <v>30575.999999999996</v>
      </c>
      <c r="M12" s="60">
        <v>147340</v>
      </c>
      <c r="N12" s="60"/>
      <c r="O12" s="60"/>
      <c r="P12" s="60"/>
      <c r="Q12" s="60"/>
      <c r="R12" s="60"/>
      <c r="S12" s="62">
        <v>0</v>
      </c>
      <c r="T12" s="60"/>
      <c r="U12" s="60"/>
      <c r="V12" s="60"/>
      <c r="W12" s="62">
        <f t="shared" si="1"/>
        <v>3805332.57</v>
      </c>
      <c r="X12" s="63">
        <f t="shared" si="2"/>
        <v>0</v>
      </c>
      <c r="Y12" s="86">
        <f t="shared" si="3"/>
        <v>0</v>
      </c>
      <c r="Z12" s="60">
        <v>0</v>
      </c>
      <c r="AA12" s="95">
        <f t="shared" si="4"/>
        <v>0</v>
      </c>
      <c r="AB12" s="96"/>
      <c r="AC12" s="93">
        <f t="shared" si="5"/>
        <v>177916</v>
      </c>
      <c r="AE12" s="184"/>
    </row>
    <row r="13" spans="2:32" s="27" customFormat="1">
      <c r="B13" s="40">
        <v>8</v>
      </c>
      <c r="C13" s="41" t="s">
        <v>230</v>
      </c>
      <c r="D13" s="43" t="s">
        <v>231</v>
      </c>
      <c r="E13" s="185" t="s">
        <v>73</v>
      </c>
      <c r="F13" s="41" t="s">
        <v>232</v>
      </c>
      <c r="G13" s="41"/>
      <c r="H13" s="44" t="s">
        <v>39</v>
      </c>
      <c r="I13" s="45" t="s">
        <v>9</v>
      </c>
      <c r="J13" s="58" t="str">
        <f t="shared" si="0"/>
        <v>TER B</v>
      </c>
      <c r="K13" s="60">
        <v>3298666.58</v>
      </c>
      <c r="L13" s="60">
        <v>30575.999999999996</v>
      </c>
      <c r="M13" s="60">
        <v>146680</v>
      </c>
      <c r="N13" s="60"/>
      <c r="O13" s="60"/>
      <c r="P13" s="60"/>
      <c r="Q13" s="60"/>
      <c r="R13" s="60"/>
      <c r="S13" s="62">
        <v>0</v>
      </c>
      <c r="T13" s="60"/>
      <c r="U13" s="60"/>
      <c r="V13" s="60"/>
      <c r="W13" s="62">
        <f t="shared" si="1"/>
        <v>3475922.58</v>
      </c>
      <c r="X13" s="63">
        <f t="shared" si="2"/>
        <v>0</v>
      </c>
      <c r="Y13" s="86">
        <f t="shared" si="3"/>
        <v>0</v>
      </c>
      <c r="Z13" s="60">
        <v>0</v>
      </c>
      <c r="AA13" s="95">
        <f t="shared" si="4"/>
        <v>0</v>
      </c>
      <c r="AB13" s="96"/>
      <c r="AC13" s="93">
        <f t="shared" si="5"/>
        <v>177256</v>
      </c>
      <c r="AE13" s="184"/>
    </row>
    <row r="14" spans="2:32" s="27" customFormat="1">
      <c r="B14" s="40">
        <v>9</v>
      </c>
      <c r="C14" s="41" t="s">
        <v>233</v>
      </c>
      <c r="D14" s="43" t="s">
        <v>234</v>
      </c>
      <c r="E14" s="185">
        <v>972283634305000</v>
      </c>
      <c r="F14" s="41" t="s">
        <v>235</v>
      </c>
      <c r="G14" s="41"/>
      <c r="H14" s="44" t="s">
        <v>38</v>
      </c>
      <c r="I14" s="45" t="s">
        <v>7</v>
      </c>
      <c r="J14" s="58" t="str">
        <f t="shared" si="0"/>
        <v>TER A</v>
      </c>
      <c r="K14" s="60">
        <v>3881583.2300000004</v>
      </c>
      <c r="L14" s="60">
        <v>30575.999999999996</v>
      </c>
      <c r="M14" s="60">
        <v>147620</v>
      </c>
      <c r="N14" s="60"/>
      <c r="O14" s="60"/>
      <c r="P14" s="60"/>
      <c r="Q14" s="60"/>
      <c r="R14" s="60"/>
      <c r="S14" s="62">
        <v>0</v>
      </c>
      <c r="T14" s="60"/>
      <c r="U14" s="60"/>
      <c r="V14" s="60"/>
      <c r="W14" s="62">
        <f t="shared" si="1"/>
        <v>4059779.2300000004</v>
      </c>
      <c r="X14" s="63">
        <f t="shared" si="2"/>
        <v>0</v>
      </c>
      <c r="Y14" s="86">
        <f t="shared" si="3"/>
        <v>0</v>
      </c>
      <c r="Z14" s="60">
        <v>0</v>
      </c>
      <c r="AA14" s="95">
        <f t="shared" si="4"/>
        <v>0</v>
      </c>
      <c r="AB14" s="96"/>
      <c r="AC14" s="93">
        <f t="shared" si="5"/>
        <v>178196</v>
      </c>
      <c r="AE14" s="184"/>
    </row>
    <row r="15" spans="2:32" s="27" customFormat="1">
      <c r="B15" s="40">
        <v>10</v>
      </c>
      <c r="C15" s="41" t="s">
        <v>236</v>
      </c>
      <c r="D15" s="43" t="s">
        <v>237</v>
      </c>
      <c r="E15" s="185">
        <v>972283519305000</v>
      </c>
      <c r="F15" s="41" t="s">
        <v>238</v>
      </c>
      <c r="G15" s="41"/>
      <c r="H15" s="44" t="s">
        <v>38</v>
      </c>
      <c r="I15" s="45" t="s">
        <v>7</v>
      </c>
      <c r="J15" s="58" t="str">
        <f t="shared" si="0"/>
        <v>TER A</v>
      </c>
      <c r="K15" s="60">
        <v>3878083.23</v>
      </c>
      <c r="L15" s="60">
        <v>30575.999999999996</v>
      </c>
      <c r="M15" s="60">
        <v>147480</v>
      </c>
      <c r="N15" s="60"/>
      <c r="O15" s="60"/>
      <c r="P15" s="60"/>
      <c r="Q15" s="60"/>
      <c r="R15" s="60"/>
      <c r="S15" s="62">
        <v>0</v>
      </c>
      <c r="T15" s="60"/>
      <c r="U15" s="60"/>
      <c r="V15" s="60"/>
      <c r="W15" s="62">
        <f t="shared" si="1"/>
        <v>4056139.23</v>
      </c>
      <c r="X15" s="63">
        <f t="shared" si="2"/>
        <v>0</v>
      </c>
      <c r="Y15" s="86">
        <f t="shared" si="3"/>
        <v>0</v>
      </c>
      <c r="Z15" s="60">
        <v>0</v>
      </c>
      <c r="AA15" s="95">
        <f t="shared" si="4"/>
        <v>0</v>
      </c>
      <c r="AB15" s="96"/>
      <c r="AC15" s="93">
        <f t="shared" si="5"/>
        <v>178056</v>
      </c>
      <c r="AE15" s="184"/>
    </row>
    <row r="16" spans="2:32" s="27" customFormat="1">
      <c r="B16" s="40">
        <v>11</v>
      </c>
      <c r="C16" s="41" t="s">
        <v>239</v>
      </c>
      <c r="D16" s="43" t="s">
        <v>240</v>
      </c>
      <c r="E16" s="185">
        <v>972283600305000</v>
      </c>
      <c r="F16" s="41" t="s">
        <v>241</v>
      </c>
      <c r="G16" s="41"/>
      <c r="H16" s="44" t="s">
        <v>38</v>
      </c>
      <c r="I16" s="45" t="s">
        <v>7</v>
      </c>
      <c r="J16" s="58" t="str">
        <f t="shared" si="0"/>
        <v>TER A</v>
      </c>
      <c r="K16" s="60">
        <v>3878083.23</v>
      </c>
      <c r="L16" s="60">
        <v>30575.999999999996</v>
      </c>
      <c r="M16" s="60">
        <v>147480</v>
      </c>
      <c r="N16" s="60"/>
      <c r="O16" s="60"/>
      <c r="P16" s="60"/>
      <c r="Q16" s="60"/>
      <c r="R16" s="60"/>
      <c r="S16" s="62">
        <v>0</v>
      </c>
      <c r="T16" s="60"/>
      <c r="U16" s="60"/>
      <c r="V16" s="60"/>
      <c r="W16" s="62">
        <f t="shared" si="1"/>
        <v>4056139.23</v>
      </c>
      <c r="X16" s="63">
        <f t="shared" si="2"/>
        <v>0</v>
      </c>
      <c r="Y16" s="86">
        <f t="shared" si="3"/>
        <v>0</v>
      </c>
      <c r="Z16" s="60">
        <v>0</v>
      </c>
      <c r="AA16" s="95">
        <f t="shared" si="4"/>
        <v>0</v>
      </c>
      <c r="AB16" s="96"/>
      <c r="AC16" s="93">
        <f t="shared" si="5"/>
        <v>178056</v>
      </c>
      <c r="AE16" s="184"/>
    </row>
    <row r="17" spans="2:31" s="27" customFormat="1">
      <c r="B17" s="40">
        <v>12</v>
      </c>
      <c r="C17" s="41" t="s">
        <v>242</v>
      </c>
      <c r="D17" s="43" t="s">
        <v>243</v>
      </c>
      <c r="E17" s="185">
        <v>972283840305000</v>
      </c>
      <c r="F17" s="41" t="s">
        <v>244</v>
      </c>
      <c r="G17" s="41"/>
      <c r="H17" s="44" t="s">
        <v>38</v>
      </c>
      <c r="I17" s="45" t="s">
        <v>7</v>
      </c>
      <c r="J17" s="58" t="str">
        <f t="shared" si="0"/>
        <v>TER A</v>
      </c>
      <c r="K17" s="60">
        <v>3892083.23</v>
      </c>
      <c r="L17" s="60">
        <v>30575.999999999996</v>
      </c>
      <c r="M17" s="60">
        <v>148040</v>
      </c>
      <c r="N17" s="60"/>
      <c r="O17" s="60"/>
      <c r="P17" s="60"/>
      <c r="Q17" s="60"/>
      <c r="R17" s="60"/>
      <c r="S17" s="62">
        <v>0</v>
      </c>
      <c r="T17" s="60"/>
      <c r="U17" s="60"/>
      <c r="V17" s="60"/>
      <c r="W17" s="62">
        <f t="shared" si="1"/>
        <v>4070699.23</v>
      </c>
      <c r="X17" s="63">
        <f t="shared" si="2"/>
        <v>0</v>
      </c>
      <c r="Y17" s="86">
        <f t="shared" si="3"/>
        <v>0</v>
      </c>
      <c r="Z17" s="60">
        <v>0</v>
      </c>
      <c r="AA17" s="95">
        <f t="shared" si="4"/>
        <v>0</v>
      </c>
      <c r="AB17" s="96"/>
      <c r="AC17" s="93">
        <f t="shared" si="5"/>
        <v>178616</v>
      </c>
      <c r="AE17" s="184"/>
    </row>
    <row r="18" spans="2:31" s="27" customFormat="1">
      <c r="B18" s="40">
        <v>13</v>
      </c>
      <c r="C18" s="41" t="s">
        <v>245</v>
      </c>
      <c r="D18" s="43" t="s">
        <v>246</v>
      </c>
      <c r="E18" s="185">
        <v>972283568305000</v>
      </c>
      <c r="F18" s="41" t="s">
        <v>247</v>
      </c>
      <c r="G18" s="41"/>
      <c r="H18" s="44" t="s">
        <v>38</v>
      </c>
      <c r="I18" s="45" t="s">
        <v>7</v>
      </c>
      <c r="J18" s="58" t="str">
        <f t="shared" si="0"/>
        <v>TER A</v>
      </c>
      <c r="K18" s="60">
        <v>3874583.23</v>
      </c>
      <c r="L18" s="60">
        <v>30575.999999999996</v>
      </c>
      <c r="M18" s="60">
        <v>147340</v>
      </c>
      <c r="N18" s="60"/>
      <c r="O18" s="60"/>
      <c r="P18" s="60"/>
      <c r="Q18" s="60"/>
      <c r="R18" s="60"/>
      <c r="S18" s="62">
        <v>0</v>
      </c>
      <c r="T18" s="60"/>
      <c r="U18" s="60"/>
      <c r="V18" s="60"/>
      <c r="W18" s="62">
        <f t="shared" si="1"/>
        <v>4052499.23</v>
      </c>
      <c r="X18" s="63">
        <f t="shared" si="2"/>
        <v>0</v>
      </c>
      <c r="Y18" s="86">
        <f t="shared" si="3"/>
        <v>0</v>
      </c>
      <c r="Z18" s="60">
        <v>0</v>
      </c>
      <c r="AA18" s="95">
        <f t="shared" si="4"/>
        <v>0</v>
      </c>
      <c r="AB18" s="96"/>
      <c r="AC18" s="93">
        <f t="shared" si="5"/>
        <v>177916</v>
      </c>
      <c r="AE18" s="184"/>
    </row>
    <row r="19" spans="2:31" s="27" customFormat="1">
      <c r="B19" s="40">
        <v>14</v>
      </c>
      <c r="C19" s="41" t="s">
        <v>248</v>
      </c>
      <c r="D19" s="43" t="s">
        <v>249</v>
      </c>
      <c r="E19" s="185">
        <v>972285605305000</v>
      </c>
      <c r="F19" s="41" t="s">
        <v>250</v>
      </c>
      <c r="G19" s="41"/>
      <c r="H19" s="44" t="s">
        <v>39</v>
      </c>
      <c r="I19" s="45" t="s">
        <v>17</v>
      </c>
      <c r="J19" s="58" t="str">
        <f t="shared" si="0"/>
        <v>TER A</v>
      </c>
      <c r="K19" s="60">
        <v>3808999.9</v>
      </c>
      <c r="L19" s="60">
        <v>30575.999999999996</v>
      </c>
      <c r="M19" s="60">
        <v>148040</v>
      </c>
      <c r="N19" s="60"/>
      <c r="O19" s="60"/>
      <c r="P19" s="60"/>
      <c r="Q19" s="60"/>
      <c r="R19" s="60"/>
      <c r="S19" s="62">
        <v>0</v>
      </c>
      <c r="T19" s="60"/>
      <c r="U19" s="60"/>
      <c r="V19" s="60"/>
      <c r="W19" s="62">
        <f t="shared" si="1"/>
        <v>3987615.9</v>
      </c>
      <c r="X19" s="63">
        <f t="shared" si="2"/>
        <v>0</v>
      </c>
      <c r="Y19" s="86">
        <f t="shared" si="3"/>
        <v>0</v>
      </c>
      <c r="Z19" s="60">
        <v>0</v>
      </c>
      <c r="AA19" s="95">
        <f t="shared" si="4"/>
        <v>0</v>
      </c>
      <c r="AB19" s="96"/>
      <c r="AC19" s="93">
        <f t="shared" si="5"/>
        <v>178616</v>
      </c>
      <c r="AE19" s="184"/>
    </row>
    <row r="20" spans="2:31" s="27" customFormat="1">
      <c r="B20" s="40">
        <v>15</v>
      </c>
      <c r="C20" s="41" t="s">
        <v>251</v>
      </c>
      <c r="D20" s="43" t="s">
        <v>252</v>
      </c>
      <c r="E20" s="185">
        <v>651519217305000</v>
      </c>
      <c r="F20" s="41" t="s">
        <v>253</v>
      </c>
      <c r="G20" s="41"/>
      <c r="H20" s="44" t="s">
        <v>39</v>
      </c>
      <c r="I20" s="45" t="s">
        <v>7</v>
      </c>
      <c r="J20" s="58" t="str">
        <f t="shared" si="0"/>
        <v>TER A</v>
      </c>
      <c r="K20" s="60">
        <v>3604916.5700000003</v>
      </c>
      <c r="L20" s="60">
        <v>30575.999999999996</v>
      </c>
      <c r="M20" s="60">
        <v>146440</v>
      </c>
      <c r="N20" s="60"/>
      <c r="O20" s="60"/>
      <c r="P20" s="60"/>
      <c r="Q20" s="60"/>
      <c r="R20" s="60"/>
      <c r="S20" s="62">
        <v>0</v>
      </c>
      <c r="T20" s="60"/>
      <c r="U20" s="60"/>
      <c r="V20" s="60"/>
      <c r="W20" s="62">
        <f t="shared" si="1"/>
        <v>3781932.5700000003</v>
      </c>
      <c r="X20" s="63">
        <f t="shared" si="2"/>
        <v>0</v>
      </c>
      <c r="Y20" s="86">
        <f t="shared" si="3"/>
        <v>0</v>
      </c>
      <c r="Z20" s="60">
        <v>0</v>
      </c>
      <c r="AA20" s="95">
        <f t="shared" si="4"/>
        <v>0</v>
      </c>
      <c r="AB20" s="96"/>
      <c r="AC20" s="93">
        <f t="shared" si="5"/>
        <v>177016</v>
      </c>
      <c r="AE20" s="184"/>
    </row>
    <row r="21" spans="2:31" s="27" customFormat="1">
      <c r="B21" s="40">
        <v>16</v>
      </c>
      <c r="C21" s="41" t="s">
        <v>254</v>
      </c>
      <c r="D21" s="43" t="s">
        <v>255</v>
      </c>
      <c r="E21" s="185">
        <v>551667553305000</v>
      </c>
      <c r="F21" s="41" t="s">
        <v>256</v>
      </c>
      <c r="G21" s="41"/>
      <c r="H21" s="44" t="s">
        <v>38</v>
      </c>
      <c r="I21" s="45" t="s">
        <v>7</v>
      </c>
      <c r="J21" s="58" t="str">
        <f t="shared" si="0"/>
        <v>TER A</v>
      </c>
      <c r="K21" s="60">
        <v>3861083.2300000004</v>
      </c>
      <c r="L21" s="60">
        <v>30575.999999999996</v>
      </c>
      <c r="M21" s="60">
        <v>146800</v>
      </c>
      <c r="N21" s="60"/>
      <c r="O21" s="60"/>
      <c r="P21" s="60"/>
      <c r="Q21" s="60"/>
      <c r="R21" s="60"/>
      <c r="S21" s="62">
        <v>0</v>
      </c>
      <c r="T21" s="60"/>
      <c r="U21" s="60"/>
      <c r="V21" s="60"/>
      <c r="W21" s="62">
        <f t="shared" si="1"/>
        <v>4038459.2300000004</v>
      </c>
      <c r="X21" s="63">
        <f t="shared" si="2"/>
        <v>0</v>
      </c>
      <c r="Y21" s="86">
        <f t="shared" si="3"/>
        <v>0</v>
      </c>
      <c r="Z21" s="60">
        <v>0</v>
      </c>
      <c r="AA21" s="95">
        <f t="shared" si="4"/>
        <v>0</v>
      </c>
      <c r="AB21" s="96"/>
      <c r="AC21" s="93">
        <f t="shared" si="5"/>
        <v>177376</v>
      </c>
      <c r="AE21" s="184"/>
    </row>
    <row r="22" spans="2:31" s="27" customFormat="1">
      <c r="B22" s="40">
        <v>17</v>
      </c>
      <c r="C22" s="41" t="s">
        <v>257</v>
      </c>
      <c r="D22" s="43" t="s">
        <v>258</v>
      </c>
      <c r="E22" s="185">
        <v>551663800305000</v>
      </c>
      <c r="F22" s="41" t="s">
        <v>259</v>
      </c>
      <c r="G22" s="41"/>
      <c r="H22" s="44" t="s">
        <v>39</v>
      </c>
      <c r="I22" s="45" t="s">
        <v>9</v>
      </c>
      <c r="J22" s="58" t="str">
        <f t="shared" si="0"/>
        <v>TER B</v>
      </c>
      <c r="K22" s="60">
        <v>4017897.8899999997</v>
      </c>
      <c r="L22" s="60">
        <v>30575.999999999996</v>
      </c>
      <c r="M22" s="60">
        <v>146800</v>
      </c>
      <c r="N22" s="60"/>
      <c r="O22" s="60"/>
      <c r="P22" s="60"/>
      <c r="Q22" s="60"/>
      <c r="R22" s="60"/>
      <c r="S22" s="62">
        <v>0</v>
      </c>
      <c r="T22" s="60"/>
      <c r="U22" s="60"/>
      <c r="V22" s="60"/>
      <c r="W22" s="62">
        <f t="shared" si="1"/>
        <v>4195273.8899999997</v>
      </c>
      <c r="X22" s="63">
        <f t="shared" si="2"/>
        <v>0</v>
      </c>
      <c r="Y22" s="86">
        <f t="shared" si="3"/>
        <v>0</v>
      </c>
      <c r="Z22" s="60">
        <v>0</v>
      </c>
      <c r="AA22" s="95">
        <f t="shared" si="4"/>
        <v>0</v>
      </c>
      <c r="AB22" s="96"/>
      <c r="AC22" s="93">
        <f t="shared" si="5"/>
        <v>177376</v>
      </c>
      <c r="AE22" s="184"/>
    </row>
    <row r="23" spans="2:31" s="27" customFormat="1">
      <c r="B23" s="40">
        <v>18</v>
      </c>
      <c r="C23" s="41" t="s">
        <v>260</v>
      </c>
      <c r="D23" s="43" t="s">
        <v>261</v>
      </c>
      <c r="E23" s="185" t="s">
        <v>73</v>
      </c>
      <c r="F23" s="41" t="s">
        <v>262</v>
      </c>
      <c r="G23" s="41"/>
      <c r="H23" s="44" t="s">
        <v>39</v>
      </c>
      <c r="I23" s="45" t="s">
        <v>11</v>
      </c>
      <c r="J23" s="58" t="str">
        <f t="shared" si="0"/>
        <v>TER B</v>
      </c>
      <c r="K23" s="60">
        <v>3822999.9</v>
      </c>
      <c r="L23" s="60">
        <v>30575.999999999996</v>
      </c>
      <c r="M23" s="60">
        <v>146440</v>
      </c>
      <c r="N23" s="60"/>
      <c r="O23" s="60"/>
      <c r="P23" s="60"/>
      <c r="Q23" s="60"/>
      <c r="R23" s="60"/>
      <c r="S23" s="62">
        <v>0</v>
      </c>
      <c r="T23" s="60"/>
      <c r="U23" s="60"/>
      <c r="V23" s="60"/>
      <c r="W23" s="62">
        <f t="shared" si="1"/>
        <v>4000015.9</v>
      </c>
      <c r="X23" s="63">
        <f t="shared" si="2"/>
        <v>0</v>
      </c>
      <c r="Y23" s="86">
        <f t="shared" si="3"/>
        <v>0</v>
      </c>
      <c r="Z23" s="60">
        <v>0</v>
      </c>
      <c r="AA23" s="95">
        <f t="shared" si="4"/>
        <v>0</v>
      </c>
      <c r="AB23" s="96"/>
      <c r="AC23" s="93">
        <f t="shared" si="5"/>
        <v>177016</v>
      </c>
      <c r="AE23" s="184"/>
    </row>
    <row r="24" spans="2:31" s="27" customFormat="1">
      <c r="B24" s="40">
        <v>19</v>
      </c>
      <c r="C24" s="41" t="s">
        <v>263</v>
      </c>
      <c r="D24" s="43" t="s">
        <v>264</v>
      </c>
      <c r="E24" s="185" t="s">
        <v>73</v>
      </c>
      <c r="F24" s="41" t="s">
        <v>265</v>
      </c>
      <c r="G24" s="41"/>
      <c r="H24" s="44" t="s">
        <v>39</v>
      </c>
      <c r="I24" s="45" t="s">
        <v>9</v>
      </c>
      <c r="J24" s="58" t="str">
        <f t="shared" si="0"/>
        <v>TER B</v>
      </c>
      <c r="K24" s="60">
        <v>3782499.9</v>
      </c>
      <c r="L24" s="60">
        <v>30575.999999999996</v>
      </c>
      <c r="M24" s="60">
        <v>145900</v>
      </c>
      <c r="N24" s="60"/>
      <c r="O24" s="60"/>
      <c r="P24" s="60"/>
      <c r="Q24" s="60"/>
      <c r="R24" s="60"/>
      <c r="S24" s="62">
        <v>0</v>
      </c>
      <c r="T24" s="60"/>
      <c r="U24" s="60"/>
      <c r="V24" s="60"/>
      <c r="W24" s="62">
        <f t="shared" si="1"/>
        <v>3958975.9</v>
      </c>
      <c r="X24" s="63">
        <f t="shared" si="2"/>
        <v>0</v>
      </c>
      <c r="Y24" s="86">
        <f t="shared" si="3"/>
        <v>0</v>
      </c>
      <c r="Z24" s="60">
        <v>0</v>
      </c>
      <c r="AA24" s="95">
        <f t="shared" si="4"/>
        <v>0</v>
      </c>
      <c r="AB24" s="96"/>
      <c r="AC24" s="93">
        <f t="shared" si="5"/>
        <v>176476</v>
      </c>
      <c r="AE24" s="184"/>
    </row>
    <row r="25" spans="2:31" s="27" customFormat="1">
      <c r="B25" s="40">
        <v>20</v>
      </c>
      <c r="C25" s="41" t="s">
        <v>266</v>
      </c>
      <c r="D25" s="43" t="s">
        <v>267</v>
      </c>
      <c r="E25" s="185">
        <v>972283873305000</v>
      </c>
      <c r="F25" s="41" t="s">
        <v>268</v>
      </c>
      <c r="G25" s="41"/>
      <c r="H25" s="44" t="s">
        <v>38</v>
      </c>
      <c r="I25" s="45" t="s">
        <v>7</v>
      </c>
      <c r="J25" s="58" t="str">
        <f t="shared" si="0"/>
        <v>TER A</v>
      </c>
      <c r="K25" s="60">
        <v>3750999.9</v>
      </c>
      <c r="L25" s="60">
        <v>30575.999999999996</v>
      </c>
      <c r="M25" s="60">
        <v>147340</v>
      </c>
      <c r="N25" s="60"/>
      <c r="O25" s="60"/>
      <c r="P25" s="60"/>
      <c r="Q25" s="60"/>
      <c r="R25" s="60"/>
      <c r="S25" s="62">
        <v>0</v>
      </c>
      <c r="T25" s="60"/>
      <c r="U25" s="60"/>
      <c r="V25" s="60"/>
      <c r="W25" s="62">
        <f t="shared" si="1"/>
        <v>3928915.9</v>
      </c>
      <c r="X25" s="63">
        <f t="shared" si="2"/>
        <v>0</v>
      </c>
      <c r="Y25" s="86">
        <f t="shared" si="3"/>
        <v>0</v>
      </c>
      <c r="Z25" s="60">
        <v>0</v>
      </c>
      <c r="AA25" s="95">
        <f t="shared" si="4"/>
        <v>0</v>
      </c>
      <c r="AB25" s="96"/>
      <c r="AC25" s="93">
        <f t="shared" si="5"/>
        <v>177916</v>
      </c>
      <c r="AE25" s="184"/>
    </row>
    <row r="26" spans="2:31" s="27" customFormat="1">
      <c r="B26" s="40">
        <v>21</v>
      </c>
      <c r="C26" s="41" t="s">
        <v>269</v>
      </c>
      <c r="D26" s="43" t="s">
        <v>270</v>
      </c>
      <c r="E26" s="185">
        <v>972283766305000</v>
      </c>
      <c r="F26" s="41" t="s">
        <v>271</v>
      </c>
      <c r="G26" s="41"/>
      <c r="H26" s="44" t="s">
        <v>38</v>
      </c>
      <c r="I26" s="45" t="s">
        <v>7</v>
      </c>
      <c r="J26" s="58" t="str">
        <f t="shared" si="0"/>
        <v>TER A</v>
      </c>
      <c r="K26" s="60">
        <v>3754499.9</v>
      </c>
      <c r="L26" s="60">
        <v>30575.999999999996</v>
      </c>
      <c r="M26" s="60">
        <v>147480</v>
      </c>
      <c r="N26" s="60"/>
      <c r="O26" s="60"/>
      <c r="P26" s="60"/>
      <c r="Q26" s="60"/>
      <c r="R26" s="60"/>
      <c r="S26" s="62">
        <v>0</v>
      </c>
      <c r="T26" s="60"/>
      <c r="U26" s="60"/>
      <c r="V26" s="60"/>
      <c r="W26" s="62">
        <f t="shared" si="1"/>
        <v>3932555.9</v>
      </c>
      <c r="X26" s="63">
        <f t="shared" si="2"/>
        <v>0</v>
      </c>
      <c r="Y26" s="86">
        <f t="shared" si="3"/>
        <v>0</v>
      </c>
      <c r="Z26" s="60">
        <v>0</v>
      </c>
      <c r="AA26" s="95">
        <f t="shared" si="4"/>
        <v>0</v>
      </c>
      <c r="AB26" s="96"/>
      <c r="AC26" s="93">
        <f t="shared" si="5"/>
        <v>178056</v>
      </c>
      <c r="AE26" s="184"/>
    </row>
    <row r="27" spans="2:31" s="27" customFormat="1">
      <c r="B27" s="40">
        <v>22</v>
      </c>
      <c r="C27" s="41" t="s">
        <v>272</v>
      </c>
      <c r="D27" s="43" t="s">
        <v>273</v>
      </c>
      <c r="E27" s="185">
        <v>758324628305000</v>
      </c>
      <c r="F27" s="41" t="s">
        <v>274</v>
      </c>
      <c r="G27" s="41"/>
      <c r="H27" s="44" t="s">
        <v>38</v>
      </c>
      <c r="I27" s="45" t="s">
        <v>7</v>
      </c>
      <c r="J27" s="58" t="str">
        <f t="shared" si="0"/>
        <v>TER A</v>
      </c>
      <c r="K27" s="60">
        <v>3731499.9000000004</v>
      </c>
      <c r="L27" s="60">
        <v>30575.999999999996</v>
      </c>
      <c r="M27" s="60">
        <v>146560</v>
      </c>
      <c r="N27" s="60"/>
      <c r="O27" s="60"/>
      <c r="P27" s="60"/>
      <c r="Q27" s="60"/>
      <c r="R27" s="60"/>
      <c r="S27" s="62">
        <v>0</v>
      </c>
      <c r="T27" s="60"/>
      <c r="U27" s="60"/>
      <c r="V27" s="60"/>
      <c r="W27" s="62">
        <f t="shared" si="1"/>
        <v>3908635.9000000004</v>
      </c>
      <c r="X27" s="63">
        <f t="shared" si="2"/>
        <v>0</v>
      </c>
      <c r="Y27" s="86">
        <f t="shared" si="3"/>
        <v>0</v>
      </c>
      <c r="Z27" s="60">
        <v>0</v>
      </c>
      <c r="AA27" s="95">
        <f t="shared" si="4"/>
        <v>0</v>
      </c>
      <c r="AB27" s="96"/>
      <c r="AC27" s="93">
        <f t="shared" si="5"/>
        <v>177136</v>
      </c>
      <c r="AE27" s="184"/>
    </row>
    <row r="28" spans="2:31" s="27" customFormat="1">
      <c r="B28" s="40">
        <v>23</v>
      </c>
      <c r="C28" s="41" t="s">
        <v>275</v>
      </c>
      <c r="D28" s="43" t="s">
        <v>276</v>
      </c>
      <c r="E28" s="185">
        <v>972376008305000</v>
      </c>
      <c r="F28" s="41" t="s">
        <v>247</v>
      </c>
      <c r="G28" s="41"/>
      <c r="H28" s="44" t="s">
        <v>39</v>
      </c>
      <c r="I28" s="45" t="s">
        <v>11</v>
      </c>
      <c r="J28" s="58" t="str">
        <f t="shared" si="0"/>
        <v>TER B</v>
      </c>
      <c r="K28" s="60">
        <v>4652507.72</v>
      </c>
      <c r="L28" s="60">
        <v>30575.999999999996</v>
      </c>
      <c r="M28" s="60">
        <v>148040</v>
      </c>
      <c r="N28" s="60"/>
      <c r="O28" s="60"/>
      <c r="P28" s="60"/>
      <c r="Q28" s="60"/>
      <c r="R28" s="60"/>
      <c r="S28" s="62">
        <v>0</v>
      </c>
      <c r="T28" s="60"/>
      <c r="U28" s="60"/>
      <c r="V28" s="60"/>
      <c r="W28" s="62">
        <f t="shared" si="1"/>
        <v>4831123.72</v>
      </c>
      <c r="X28" s="63">
        <f t="shared" si="2"/>
        <v>0</v>
      </c>
      <c r="Y28" s="86">
        <f t="shared" si="3"/>
        <v>0</v>
      </c>
      <c r="Z28" s="60">
        <v>0</v>
      </c>
      <c r="AA28" s="95">
        <f t="shared" si="4"/>
        <v>0</v>
      </c>
      <c r="AB28" s="96"/>
      <c r="AC28" s="93">
        <f t="shared" si="5"/>
        <v>178616</v>
      </c>
      <c r="AE28" s="184"/>
    </row>
    <row r="29" spans="2:31" s="27" customFormat="1">
      <c r="B29" s="40">
        <v>24</v>
      </c>
      <c r="C29" s="41" t="s">
        <v>277</v>
      </c>
      <c r="D29" s="43" t="s">
        <v>278</v>
      </c>
      <c r="E29" s="185">
        <v>972283576305000</v>
      </c>
      <c r="F29" s="41" t="s">
        <v>279</v>
      </c>
      <c r="G29" s="41"/>
      <c r="H29" s="44" t="s">
        <v>38</v>
      </c>
      <c r="I29" s="45" t="s">
        <v>7</v>
      </c>
      <c r="J29" s="58" t="str">
        <f t="shared" si="0"/>
        <v>TER A</v>
      </c>
      <c r="K29" s="60">
        <v>3789560.59</v>
      </c>
      <c r="L29" s="60">
        <v>30575.999999999996</v>
      </c>
      <c r="M29" s="60">
        <v>147620</v>
      </c>
      <c r="N29" s="60"/>
      <c r="O29" s="60"/>
      <c r="P29" s="60"/>
      <c r="Q29" s="60"/>
      <c r="R29" s="60"/>
      <c r="S29" s="62">
        <v>0</v>
      </c>
      <c r="T29" s="60"/>
      <c r="U29" s="60"/>
      <c r="V29" s="60"/>
      <c r="W29" s="62">
        <f t="shared" si="1"/>
        <v>3967756.59</v>
      </c>
      <c r="X29" s="63">
        <f t="shared" si="2"/>
        <v>0</v>
      </c>
      <c r="Y29" s="86">
        <f t="shared" si="3"/>
        <v>0</v>
      </c>
      <c r="Z29" s="60">
        <v>0</v>
      </c>
      <c r="AA29" s="95">
        <f t="shared" si="4"/>
        <v>0</v>
      </c>
      <c r="AB29" s="96"/>
      <c r="AC29" s="93">
        <f t="shared" si="5"/>
        <v>178196</v>
      </c>
      <c r="AE29" s="184"/>
    </row>
    <row r="30" spans="2:31" s="27" customFormat="1">
      <c r="B30" s="40">
        <v>25</v>
      </c>
      <c r="C30" s="41" t="s">
        <v>280</v>
      </c>
      <c r="D30" s="43" t="s">
        <v>281</v>
      </c>
      <c r="E30" s="185">
        <v>972283816305000</v>
      </c>
      <c r="F30" s="41" t="s">
        <v>282</v>
      </c>
      <c r="G30" s="41"/>
      <c r="H30" s="44" t="s">
        <v>38</v>
      </c>
      <c r="I30" s="45" t="s">
        <v>7</v>
      </c>
      <c r="J30" s="58" t="str">
        <f t="shared" si="0"/>
        <v>TER A</v>
      </c>
      <c r="K30" s="60">
        <v>3874583.2300000004</v>
      </c>
      <c r="L30" s="60">
        <v>30575.999999999996</v>
      </c>
      <c r="M30" s="60">
        <v>147340</v>
      </c>
      <c r="N30" s="60"/>
      <c r="O30" s="60"/>
      <c r="P30" s="60"/>
      <c r="Q30" s="60"/>
      <c r="R30" s="60"/>
      <c r="S30" s="62">
        <v>0</v>
      </c>
      <c r="T30" s="60"/>
      <c r="U30" s="60"/>
      <c r="V30" s="60"/>
      <c r="W30" s="62">
        <f t="shared" si="1"/>
        <v>4052499.2300000004</v>
      </c>
      <c r="X30" s="63">
        <f t="shared" si="2"/>
        <v>0</v>
      </c>
      <c r="Y30" s="86">
        <f t="shared" si="3"/>
        <v>0</v>
      </c>
      <c r="Z30" s="60">
        <v>0</v>
      </c>
      <c r="AA30" s="95">
        <f t="shared" si="4"/>
        <v>0</v>
      </c>
      <c r="AB30" s="96"/>
      <c r="AC30" s="93">
        <f t="shared" si="5"/>
        <v>177916</v>
      </c>
      <c r="AE30" s="184"/>
    </row>
    <row r="31" spans="2:31" s="27" customFormat="1">
      <c r="B31" s="40">
        <v>26</v>
      </c>
      <c r="C31" s="41" t="s">
        <v>283</v>
      </c>
      <c r="D31" s="43" t="s">
        <v>284</v>
      </c>
      <c r="E31" s="185">
        <v>934708389305000</v>
      </c>
      <c r="F31" s="41" t="s">
        <v>285</v>
      </c>
      <c r="G31" s="41"/>
      <c r="H31" s="44" t="s">
        <v>38</v>
      </c>
      <c r="I31" s="45" t="s">
        <v>7</v>
      </c>
      <c r="J31" s="58" t="str">
        <f t="shared" si="0"/>
        <v>TER A</v>
      </c>
      <c r="K31" s="60">
        <v>3846083.2300000004</v>
      </c>
      <c r="L31" s="60">
        <v>30575.999999999996</v>
      </c>
      <c r="M31" s="60">
        <v>146200</v>
      </c>
      <c r="N31" s="60"/>
      <c r="O31" s="60"/>
      <c r="P31" s="60"/>
      <c r="Q31" s="60"/>
      <c r="R31" s="60"/>
      <c r="S31" s="62">
        <v>0</v>
      </c>
      <c r="T31" s="60"/>
      <c r="U31" s="60"/>
      <c r="V31" s="60"/>
      <c r="W31" s="62">
        <f t="shared" si="1"/>
        <v>4022859.2300000004</v>
      </c>
      <c r="X31" s="63">
        <f t="shared" si="2"/>
        <v>0</v>
      </c>
      <c r="Y31" s="86">
        <f t="shared" si="3"/>
        <v>0</v>
      </c>
      <c r="Z31" s="60">
        <v>0</v>
      </c>
      <c r="AA31" s="95">
        <f t="shared" si="4"/>
        <v>0</v>
      </c>
      <c r="AB31" s="96"/>
      <c r="AC31" s="93">
        <f t="shared" si="5"/>
        <v>176776</v>
      </c>
      <c r="AE31" s="184"/>
    </row>
    <row r="32" spans="2:31" s="27" customFormat="1">
      <c r="B32" s="40">
        <v>27</v>
      </c>
      <c r="C32" s="41" t="s">
        <v>286</v>
      </c>
      <c r="D32" s="43" t="s">
        <v>287</v>
      </c>
      <c r="E32" s="185" t="s">
        <v>73</v>
      </c>
      <c r="F32" s="41" t="s">
        <v>288</v>
      </c>
      <c r="G32" s="41"/>
      <c r="H32" s="44" t="s">
        <v>38</v>
      </c>
      <c r="I32" s="45" t="s">
        <v>7</v>
      </c>
      <c r="J32" s="58" t="str">
        <f t="shared" si="0"/>
        <v>TER A</v>
      </c>
      <c r="K32" s="60">
        <v>3877643.92</v>
      </c>
      <c r="L32" s="60">
        <v>30575.999999999996</v>
      </c>
      <c r="M32" s="60">
        <v>146200</v>
      </c>
      <c r="N32" s="60"/>
      <c r="O32" s="60"/>
      <c r="P32" s="60"/>
      <c r="Q32" s="60"/>
      <c r="R32" s="60"/>
      <c r="S32" s="62">
        <v>0</v>
      </c>
      <c r="T32" s="60"/>
      <c r="U32" s="60"/>
      <c r="V32" s="60"/>
      <c r="W32" s="62">
        <f t="shared" si="1"/>
        <v>4054419.92</v>
      </c>
      <c r="X32" s="63">
        <f t="shared" si="2"/>
        <v>0</v>
      </c>
      <c r="Y32" s="86">
        <f t="shared" si="3"/>
        <v>0</v>
      </c>
      <c r="Z32" s="60">
        <v>0</v>
      </c>
      <c r="AA32" s="95">
        <f t="shared" si="4"/>
        <v>0</v>
      </c>
      <c r="AB32" s="96"/>
      <c r="AC32" s="93">
        <f t="shared" si="5"/>
        <v>176776</v>
      </c>
      <c r="AE32" s="184"/>
    </row>
    <row r="33" spans="2:32" s="27" customFormat="1">
      <c r="B33" s="40">
        <v>28</v>
      </c>
      <c r="C33" s="41" t="s">
        <v>289</v>
      </c>
      <c r="D33" s="43" t="s">
        <v>290</v>
      </c>
      <c r="E33" s="185" t="s">
        <v>73</v>
      </c>
      <c r="F33" s="41" t="s">
        <v>291</v>
      </c>
      <c r="G33" s="41"/>
      <c r="H33" s="44" t="s">
        <v>38</v>
      </c>
      <c r="I33" s="45" t="s">
        <v>7</v>
      </c>
      <c r="J33" s="58" t="str">
        <f t="shared" si="0"/>
        <v>TER A</v>
      </c>
      <c r="K33" s="60">
        <v>3877643.92</v>
      </c>
      <c r="L33" s="60">
        <v>30575.999999999996</v>
      </c>
      <c r="M33" s="60">
        <v>146200</v>
      </c>
      <c r="N33" s="60"/>
      <c r="O33" s="60"/>
      <c r="P33" s="60"/>
      <c r="Q33" s="60"/>
      <c r="R33" s="60"/>
      <c r="S33" s="62">
        <v>0</v>
      </c>
      <c r="T33" s="60"/>
      <c r="U33" s="60"/>
      <c r="V33" s="60"/>
      <c r="W33" s="62">
        <f t="shared" si="1"/>
        <v>4054419.92</v>
      </c>
      <c r="X33" s="63">
        <f t="shared" si="2"/>
        <v>0</v>
      </c>
      <c r="Y33" s="86">
        <f t="shared" si="3"/>
        <v>0</v>
      </c>
      <c r="Z33" s="60">
        <v>0</v>
      </c>
      <c r="AA33" s="95">
        <f t="shared" si="4"/>
        <v>0</v>
      </c>
      <c r="AB33" s="96"/>
      <c r="AC33" s="93">
        <f t="shared" si="5"/>
        <v>176776</v>
      </c>
      <c r="AE33" s="184"/>
    </row>
    <row r="34" spans="2:32" s="27" customFormat="1">
      <c r="B34" s="40">
        <v>29</v>
      </c>
      <c r="C34" s="41" t="s">
        <v>292</v>
      </c>
      <c r="D34" s="43" t="s">
        <v>293</v>
      </c>
      <c r="E34" s="185">
        <v>842829244305000</v>
      </c>
      <c r="F34" s="41" t="s">
        <v>294</v>
      </c>
      <c r="G34" s="41"/>
      <c r="H34" s="44" t="s">
        <v>38</v>
      </c>
      <c r="I34" s="45" t="s">
        <v>7</v>
      </c>
      <c r="J34" s="58" t="str">
        <f t="shared" si="0"/>
        <v>TER A</v>
      </c>
      <c r="K34" s="60">
        <v>3877643.92</v>
      </c>
      <c r="L34" s="60">
        <v>30575.999999999996</v>
      </c>
      <c r="M34" s="60">
        <v>146200</v>
      </c>
      <c r="N34" s="60"/>
      <c r="O34" s="60"/>
      <c r="P34" s="60"/>
      <c r="Q34" s="60"/>
      <c r="R34" s="60"/>
      <c r="S34" s="62">
        <v>0</v>
      </c>
      <c r="T34" s="60"/>
      <c r="U34" s="60"/>
      <c r="V34" s="60"/>
      <c r="W34" s="62">
        <f t="shared" si="1"/>
        <v>4054419.92</v>
      </c>
      <c r="X34" s="63">
        <f t="shared" si="2"/>
        <v>0</v>
      </c>
      <c r="Y34" s="86">
        <f t="shared" si="3"/>
        <v>0</v>
      </c>
      <c r="Z34" s="60">
        <v>0</v>
      </c>
      <c r="AA34" s="95">
        <f t="shared" si="4"/>
        <v>0</v>
      </c>
      <c r="AB34" s="96"/>
      <c r="AC34" s="93">
        <f t="shared" si="5"/>
        <v>176776</v>
      </c>
      <c r="AE34" s="184"/>
    </row>
    <row r="35" spans="2:32" s="27" customFormat="1">
      <c r="B35" s="40">
        <v>30</v>
      </c>
      <c r="C35" s="41" t="s">
        <v>295</v>
      </c>
      <c r="D35" s="43" t="s">
        <v>296</v>
      </c>
      <c r="E35" s="185">
        <v>972375141305000</v>
      </c>
      <c r="F35" s="41" t="s">
        <v>297</v>
      </c>
      <c r="G35" s="41"/>
      <c r="H35" s="44" t="s">
        <v>39</v>
      </c>
      <c r="I35" s="45" t="s">
        <v>17</v>
      </c>
      <c r="J35" s="58" t="str">
        <f t="shared" si="0"/>
        <v>TER A</v>
      </c>
      <c r="K35" s="60">
        <v>3656066.5700000003</v>
      </c>
      <c r="L35" s="60">
        <v>30575.999999999996</v>
      </c>
      <c r="M35" s="60">
        <v>146920</v>
      </c>
      <c r="N35" s="60"/>
      <c r="O35" s="60"/>
      <c r="P35" s="60"/>
      <c r="Q35" s="60"/>
      <c r="R35" s="60"/>
      <c r="S35" s="62">
        <v>0</v>
      </c>
      <c r="T35" s="60"/>
      <c r="U35" s="60"/>
      <c r="V35" s="60"/>
      <c r="W35" s="62">
        <f t="shared" si="1"/>
        <v>3833562.5700000003</v>
      </c>
      <c r="X35" s="63">
        <f t="shared" si="2"/>
        <v>0</v>
      </c>
      <c r="Y35" s="86">
        <f t="shared" si="3"/>
        <v>0</v>
      </c>
      <c r="Z35" s="60">
        <v>0</v>
      </c>
      <c r="AA35" s="95">
        <f t="shared" si="4"/>
        <v>0</v>
      </c>
      <c r="AB35" s="96"/>
      <c r="AC35" s="93">
        <f t="shared" si="5"/>
        <v>177496</v>
      </c>
      <c r="AE35" s="184"/>
    </row>
    <row r="36" spans="2:32" s="27" customFormat="1">
      <c r="B36" s="40">
        <v>31</v>
      </c>
      <c r="C36" s="41" t="s">
        <v>298</v>
      </c>
      <c r="D36" s="43" t="s">
        <v>299</v>
      </c>
      <c r="E36" s="185">
        <v>972287411305000</v>
      </c>
      <c r="F36" s="41" t="s">
        <v>300</v>
      </c>
      <c r="G36" s="41"/>
      <c r="H36" s="44" t="s">
        <v>38</v>
      </c>
      <c r="I36" s="45" t="s">
        <v>7</v>
      </c>
      <c r="J36" s="58" t="str">
        <f t="shared" si="0"/>
        <v>TER A</v>
      </c>
      <c r="K36" s="60">
        <v>3750999.9000000004</v>
      </c>
      <c r="L36" s="60">
        <v>30575.999999999996</v>
      </c>
      <c r="M36" s="60">
        <v>147340</v>
      </c>
      <c r="N36" s="60"/>
      <c r="O36" s="60"/>
      <c r="P36" s="60"/>
      <c r="Q36" s="60"/>
      <c r="R36" s="60"/>
      <c r="S36" s="62">
        <v>0</v>
      </c>
      <c r="T36" s="60"/>
      <c r="U36" s="60"/>
      <c r="V36" s="60"/>
      <c r="W36" s="62">
        <f t="shared" si="1"/>
        <v>3928915.9000000004</v>
      </c>
      <c r="X36" s="63">
        <f t="shared" si="2"/>
        <v>0</v>
      </c>
      <c r="Y36" s="86">
        <f t="shared" si="3"/>
        <v>0</v>
      </c>
      <c r="Z36" s="60">
        <v>0</v>
      </c>
      <c r="AA36" s="95">
        <f t="shared" si="4"/>
        <v>0</v>
      </c>
      <c r="AB36" s="96"/>
      <c r="AC36" s="93">
        <f t="shared" si="5"/>
        <v>177916</v>
      </c>
      <c r="AE36" s="184"/>
    </row>
    <row r="37" spans="2:32" s="27" customFormat="1">
      <c r="B37" s="40">
        <v>32</v>
      </c>
      <c r="C37" s="41" t="s">
        <v>301</v>
      </c>
      <c r="D37" s="43" t="s">
        <v>302</v>
      </c>
      <c r="E37" s="185">
        <v>972285076305000</v>
      </c>
      <c r="F37" s="41" t="s">
        <v>303</v>
      </c>
      <c r="G37" s="41"/>
      <c r="H37" s="44" t="s">
        <v>39</v>
      </c>
      <c r="I37" s="45" t="s">
        <v>11</v>
      </c>
      <c r="J37" s="58" t="str">
        <f t="shared" si="0"/>
        <v>TER B</v>
      </c>
      <c r="K37" s="60">
        <v>3722266.5700000003</v>
      </c>
      <c r="L37" s="60">
        <v>30575.999999999996</v>
      </c>
      <c r="M37" s="60">
        <v>147480</v>
      </c>
      <c r="N37" s="60"/>
      <c r="O37" s="60"/>
      <c r="P37" s="60"/>
      <c r="Q37" s="60"/>
      <c r="R37" s="60"/>
      <c r="S37" s="62">
        <v>0</v>
      </c>
      <c r="T37" s="60"/>
      <c r="U37" s="60"/>
      <c r="V37" s="60"/>
      <c r="W37" s="62">
        <f t="shared" si="1"/>
        <v>3900322.5700000003</v>
      </c>
      <c r="X37" s="63">
        <f t="shared" si="2"/>
        <v>0</v>
      </c>
      <c r="Y37" s="86">
        <f t="shared" si="3"/>
        <v>0</v>
      </c>
      <c r="Z37" s="60">
        <v>0</v>
      </c>
      <c r="AA37" s="95">
        <f t="shared" si="4"/>
        <v>0</v>
      </c>
      <c r="AB37" s="96"/>
      <c r="AC37" s="93">
        <f t="shared" si="5"/>
        <v>178056</v>
      </c>
      <c r="AE37" s="184"/>
    </row>
    <row r="38" spans="2:32" s="27" customFormat="1">
      <c r="B38" s="40">
        <v>33</v>
      </c>
      <c r="C38" s="41" t="s">
        <v>304</v>
      </c>
      <c r="D38" s="43" t="s">
        <v>305</v>
      </c>
      <c r="E38" s="185" t="s">
        <v>73</v>
      </c>
      <c r="F38" s="41" t="s">
        <v>306</v>
      </c>
      <c r="G38" s="41"/>
      <c r="H38" s="44" t="s">
        <v>39</v>
      </c>
      <c r="I38" s="45" t="s">
        <v>11</v>
      </c>
      <c r="J38" s="58" t="str">
        <f t="shared" si="0"/>
        <v>TER B</v>
      </c>
      <c r="K38" s="60">
        <v>3696266.5700000003</v>
      </c>
      <c r="L38" s="60">
        <v>30575.999999999996</v>
      </c>
      <c r="M38" s="60">
        <v>146440</v>
      </c>
      <c r="N38" s="60"/>
      <c r="O38" s="60"/>
      <c r="P38" s="60"/>
      <c r="Q38" s="60"/>
      <c r="R38" s="60"/>
      <c r="S38" s="62">
        <v>0</v>
      </c>
      <c r="T38" s="60"/>
      <c r="U38" s="60"/>
      <c r="V38" s="60"/>
      <c r="W38" s="62">
        <f t="shared" si="1"/>
        <v>3873282.5700000003</v>
      </c>
      <c r="X38" s="63">
        <f t="shared" si="2"/>
        <v>0</v>
      </c>
      <c r="Y38" s="86">
        <f t="shared" si="3"/>
        <v>0</v>
      </c>
      <c r="Z38" s="60">
        <v>0</v>
      </c>
      <c r="AA38" s="95">
        <f t="shared" si="4"/>
        <v>0</v>
      </c>
      <c r="AB38" s="96"/>
      <c r="AC38" s="93">
        <f t="shared" si="5"/>
        <v>177016</v>
      </c>
      <c r="AE38" s="184"/>
    </row>
    <row r="39" spans="2:32" s="27" customFormat="1">
      <c r="B39" s="40">
        <v>34</v>
      </c>
      <c r="C39" s="41" t="s">
        <v>307</v>
      </c>
      <c r="D39" s="43" t="s">
        <v>308</v>
      </c>
      <c r="E39" s="185">
        <v>738217413305000</v>
      </c>
      <c r="F39" s="41" t="s">
        <v>309</v>
      </c>
      <c r="G39" s="41"/>
      <c r="H39" s="44" t="s">
        <v>38</v>
      </c>
      <c r="I39" s="45" t="s">
        <v>7</v>
      </c>
      <c r="J39" s="58" t="str">
        <f t="shared" si="0"/>
        <v>TER A</v>
      </c>
      <c r="K39" s="60">
        <v>3846083.23</v>
      </c>
      <c r="L39" s="60">
        <v>30575.999999999996</v>
      </c>
      <c r="M39" s="60">
        <v>146200</v>
      </c>
      <c r="N39" s="60"/>
      <c r="O39" s="60"/>
      <c r="P39" s="60"/>
      <c r="Q39" s="60"/>
      <c r="R39" s="60"/>
      <c r="S39" s="62">
        <v>0</v>
      </c>
      <c r="T39" s="60"/>
      <c r="U39" s="60"/>
      <c r="V39" s="60"/>
      <c r="W39" s="62">
        <f t="shared" si="1"/>
        <v>4022859.23</v>
      </c>
      <c r="X39" s="63">
        <f t="shared" ref="X39:X45" si="6">IF($J39="TER A",VLOOKUP(W39,Ter_A,4,TRUE),IF($J39="TER B",VLOOKUP(W39,Ter_B,4,TRUE),VLOOKUP(W39,Ter_C,4,TRUE)))</f>
        <v>0</v>
      </c>
      <c r="Y39" s="86">
        <f t="shared" si="3"/>
        <v>0</v>
      </c>
      <c r="Z39" s="60">
        <v>0</v>
      </c>
      <c r="AA39" s="95">
        <f t="shared" si="4"/>
        <v>0</v>
      </c>
      <c r="AB39" s="96"/>
      <c r="AC39" s="93">
        <f t="shared" si="5"/>
        <v>176776</v>
      </c>
      <c r="AE39" s="184"/>
    </row>
    <row r="40" spans="2:32" s="27" customFormat="1">
      <c r="B40" s="40">
        <v>35</v>
      </c>
      <c r="C40" s="41" t="s">
        <v>310</v>
      </c>
      <c r="D40" s="43" t="s">
        <v>311</v>
      </c>
      <c r="E40" s="185">
        <v>908657414305000</v>
      </c>
      <c r="F40" s="41" t="s">
        <v>312</v>
      </c>
      <c r="G40" s="41"/>
      <c r="H40" s="44" t="s">
        <v>39</v>
      </c>
      <c r="I40" s="45" t="s">
        <v>11</v>
      </c>
      <c r="J40" s="58" t="str">
        <f t="shared" si="0"/>
        <v>TER B</v>
      </c>
      <c r="K40" s="60">
        <v>527933.32000000007</v>
      </c>
      <c r="L40" s="60">
        <v>30575.999999999996</v>
      </c>
      <c r="M40" s="60">
        <v>146440</v>
      </c>
      <c r="N40" s="60"/>
      <c r="O40" s="60"/>
      <c r="P40" s="60"/>
      <c r="Q40" s="60"/>
      <c r="R40" s="60"/>
      <c r="S40" s="62">
        <v>0</v>
      </c>
      <c r="T40" s="60"/>
      <c r="U40" s="60"/>
      <c r="V40" s="60"/>
      <c r="W40" s="62">
        <f t="shared" si="1"/>
        <v>704949.32000000007</v>
      </c>
      <c r="X40" s="63">
        <f t="shared" si="6"/>
        <v>0</v>
      </c>
      <c r="Y40" s="86">
        <f t="shared" si="3"/>
        <v>0</v>
      </c>
      <c r="Z40" s="60">
        <v>0</v>
      </c>
      <c r="AA40" s="95">
        <f t="shared" si="4"/>
        <v>0</v>
      </c>
      <c r="AB40" s="96"/>
      <c r="AC40" s="93">
        <f t="shared" si="5"/>
        <v>177016</v>
      </c>
      <c r="AE40" s="184"/>
    </row>
    <row r="41" spans="2:32" s="27" customFormat="1">
      <c r="B41" s="40">
        <v>36</v>
      </c>
      <c r="C41" s="41" t="s">
        <v>313</v>
      </c>
      <c r="D41" s="43" t="s">
        <v>314</v>
      </c>
      <c r="E41" s="185">
        <v>972374375305000</v>
      </c>
      <c r="F41" s="41" t="s">
        <v>315</v>
      </c>
      <c r="G41" s="41"/>
      <c r="H41" s="44" t="s">
        <v>38</v>
      </c>
      <c r="I41" s="45" t="s">
        <v>7</v>
      </c>
      <c r="J41" s="58" t="str">
        <f t="shared" si="0"/>
        <v>TER A</v>
      </c>
      <c r="K41" s="60">
        <v>3878083.23</v>
      </c>
      <c r="L41" s="60">
        <v>30575.999999999996</v>
      </c>
      <c r="M41" s="60">
        <v>147480</v>
      </c>
      <c r="N41" s="60"/>
      <c r="O41" s="60"/>
      <c r="P41" s="60"/>
      <c r="Q41" s="60"/>
      <c r="R41" s="60"/>
      <c r="S41" s="62">
        <v>0</v>
      </c>
      <c r="T41" s="60"/>
      <c r="U41" s="60"/>
      <c r="V41" s="60"/>
      <c r="W41" s="62">
        <f t="shared" si="1"/>
        <v>4056139.23</v>
      </c>
      <c r="X41" s="63">
        <f t="shared" si="6"/>
        <v>0</v>
      </c>
      <c r="Y41" s="86">
        <f t="shared" si="3"/>
        <v>0</v>
      </c>
      <c r="Z41" s="60">
        <v>0</v>
      </c>
      <c r="AA41" s="95">
        <f t="shared" si="4"/>
        <v>0</v>
      </c>
      <c r="AB41" s="96"/>
      <c r="AC41" s="93">
        <f t="shared" si="5"/>
        <v>178056</v>
      </c>
      <c r="AE41" s="184"/>
    </row>
    <row r="42" spans="2:32" s="27" customFormat="1">
      <c r="B42" s="40">
        <v>37</v>
      </c>
      <c r="C42" s="41" t="s">
        <v>316</v>
      </c>
      <c r="D42" s="43" t="s">
        <v>317</v>
      </c>
      <c r="E42" s="185">
        <v>972283378305000</v>
      </c>
      <c r="F42" s="41" t="s">
        <v>318</v>
      </c>
      <c r="G42" s="41"/>
      <c r="H42" s="44" t="s">
        <v>39</v>
      </c>
      <c r="I42" s="45" t="s">
        <v>9</v>
      </c>
      <c r="J42" s="58" t="str">
        <f t="shared" si="0"/>
        <v>TER B</v>
      </c>
      <c r="K42" s="60">
        <v>6944517.8400000008</v>
      </c>
      <c r="L42" s="60">
        <v>30575.999999999996</v>
      </c>
      <c r="M42" s="60">
        <v>147340</v>
      </c>
      <c r="N42" s="60"/>
      <c r="O42" s="60"/>
      <c r="P42" s="60"/>
      <c r="Q42" s="60"/>
      <c r="R42" s="60"/>
      <c r="S42" s="62">
        <v>0</v>
      </c>
      <c r="T42" s="60"/>
      <c r="U42" s="60"/>
      <c r="V42" s="60"/>
      <c r="W42" s="62">
        <f t="shared" si="1"/>
        <v>7122433.8400000008</v>
      </c>
      <c r="X42" s="63">
        <f t="shared" si="6"/>
        <v>7.4999999999999997E-3</v>
      </c>
      <c r="Y42" s="86">
        <f t="shared" si="3"/>
        <v>53418</v>
      </c>
      <c r="Z42" s="60">
        <v>70355.607400000037</v>
      </c>
      <c r="AA42" s="95">
        <f t="shared" si="4"/>
        <v>16937.607400000037</v>
      </c>
      <c r="AB42" s="96" t="s">
        <v>206</v>
      </c>
      <c r="AC42" s="93">
        <f t="shared" si="5"/>
        <v>177916</v>
      </c>
      <c r="AE42" s="184"/>
    </row>
    <row r="43" spans="2:32" s="27" customFormat="1">
      <c r="B43" s="40">
        <v>38</v>
      </c>
      <c r="C43" s="41" t="s">
        <v>319</v>
      </c>
      <c r="D43" s="43" t="s">
        <v>320</v>
      </c>
      <c r="E43" s="185">
        <v>551663479305000</v>
      </c>
      <c r="F43" s="41" t="s">
        <v>321</v>
      </c>
      <c r="G43" s="41"/>
      <c r="H43" s="44" t="s">
        <v>39</v>
      </c>
      <c r="I43" s="45" t="s">
        <v>9</v>
      </c>
      <c r="J43" s="58" t="str">
        <f t="shared" si="0"/>
        <v>TER B</v>
      </c>
      <c r="K43" s="60">
        <v>6905017.8400000008</v>
      </c>
      <c r="L43" s="60">
        <v>30575.999999999996</v>
      </c>
      <c r="M43" s="60">
        <v>146800</v>
      </c>
      <c r="N43" s="60"/>
      <c r="O43" s="60"/>
      <c r="P43" s="60"/>
      <c r="Q43" s="60"/>
      <c r="R43" s="60"/>
      <c r="S43" s="62">
        <v>0</v>
      </c>
      <c r="T43" s="60"/>
      <c r="U43" s="60"/>
      <c r="V43" s="60"/>
      <c r="W43" s="62">
        <f t="shared" si="1"/>
        <v>7082393.8400000008</v>
      </c>
      <c r="X43" s="63">
        <f t="shared" si="6"/>
        <v>7.4999999999999997E-3</v>
      </c>
      <c r="Y43" s="86">
        <f t="shared" si="3"/>
        <v>53118</v>
      </c>
      <c r="Z43" s="60">
        <v>68453.707400000028</v>
      </c>
      <c r="AA43" s="95">
        <f t="shared" si="4"/>
        <v>15335.707400000028</v>
      </c>
      <c r="AB43" s="96" t="s">
        <v>206</v>
      </c>
      <c r="AC43" s="93">
        <f t="shared" si="5"/>
        <v>177376</v>
      </c>
      <c r="AE43" s="184"/>
    </row>
    <row r="44" spans="2:32" s="27" customFormat="1">
      <c r="B44" s="40">
        <v>39</v>
      </c>
      <c r="C44" s="41" t="s">
        <v>322</v>
      </c>
      <c r="D44" s="43" t="s">
        <v>323</v>
      </c>
      <c r="E44" s="185">
        <v>972283691305000</v>
      </c>
      <c r="F44" s="41" t="s">
        <v>223</v>
      </c>
      <c r="G44" s="41"/>
      <c r="H44" s="44" t="s">
        <v>39</v>
      </c>
      <c r="I44" s="45" t="s">
        <v>11</v>
      </c>
      <c r="J44" s="58" t="str">
        <f t="shared" si="0"/>
        <v>TER B</v>
      </c>
      <c r="K44" s="60">
        <v>6497450.6000000006</v>
      </c>
      <c r="L44" s="60">
        <v>30575.999999999996</v>
      </c>
      <c r="M44" s="60">
        <v>148040</v>
      </c>
      <c r="N44" s="60"/>
      <c r="O44" s="60"/>
      <c r="P44" s="60"/>
      <c r="Q44" s="60"/>
      <c r="R44" s="60"/>
      <c r="S44" s="62">
        <v>0</v>
      </c>
      <c r="T44" s="60"/>
      <c r="U44" s="60"/>
      <c r="V44" s="60"/>
      <c r="W44" s="62">
        <f t="shared" si="1"/>
        <v>6676066.6000000006</v>
      </c>
      <c r="X44" s="63">
        <f t="shared" si="6"/>
        <v>5.0000000000000001E-3</v>
      </c>
      <c r="Y44" s="86">
        <f t="shared" si="3"/>
        <v>33380</v>
      </c>
      <c r="Z44" s="60">
        <v>30403.163500000042</v>
      </c>
      <c r="AA44" s="95">
        <f t="shared" si="4"/>
        <v>-2976.8364999999576</v>
      </c>
      <c r="AB44" s="96" t="s">
        <v>207</v>
      </c>
      <c r="AC44" s="93">
        <f t="shared" si="5"/>
        <v>178616</v>
      </c>
      <c r="AE44" s="184"/>
    </row>
    <row r="45" spans="2:32" s="27" customFormat="1">
      <c r="B45" s="40">
        <v>40</v>
      </c>
      <c r="C45" s="41" t="s">
        <v>324</v>
      </c>
      <c r="D45" s="43" t="s">
        <v>325</v>
      </c>
      <c r="E45" s="185">
        <v>972283709305000</v>
      </c>
      <c r="F45" s="41" t="s">
        <v>223</v>
      </c>
      <c r="G45" s="41"/>
      <c r="H45" s="44" t="s">
        <v>39</v>
      </c>
      <c r="I45" s="45" t="s">
        <v>11</v>
      </c>
      <c r="J45" s="58" t="str">
        <f t="shared" si="0"/>
        <v>TER B</v>
      </c>
      <c r="K45" s="60">
        <v>6509486.5200000005</v>
      </c>
      <c r="L45" s="60">
        <v>30575.999999999996</v>
      </c>
      <c r="M45" s="60">
        <v>148040</v>
      </c>
      <c r="N45" s="60"/>
      <c r="O45" s="60"/>
      <c r="P45" s="60"/>
      <c r="Q45" s="60"/>
      <c r="R45" s="60"/>
      <c r="S45" s="62">
        <v>0</v>
      </c>
      <c r="T45" s="60"/>
      <c r="U45" s="60"/>
      <c r="V45" s="60"/>
      <c r="W45" s="62">
        <f t="shared" si="1"/>
        <v>6688102.5200000005</v>
      </c>
      <c r="X45" s="63">
        <f t="shared" si="6"/>
        <v>5.0000000000000001E-3</v>
      </c>
      <c r="Y45" s="86">
        <f t="shared" si="3"/>
        <v>33441</v>
      </c>
      <c r="Z45" s="60">
        <v>30974.869699999999</v>
      </c>
      <c r="AA45" s="95">
        <f t="shared" si="4"/>
        <v>-2466.1303000000007</v>
      </c>
      <c r="AB45" s="96" t="s">
        <v>207</v>
      </c>
      <c r="AC45" s="93">
        <f t="shared" si="5"/>
        <v>178616</v>
      </c>
      <c r="AE45" s="184"/>
    </row>
    <row r="46" spans="2:32" s="27" customFormat="1" ht="15" customHeight="1" thickBot="1">
      <c r="B46" s="47"/>
      <c r="C46" s="48"/>
      <c r="D46" s="67"/>
      <c r="E46" s="68"/>
      <c r="F46" s="69"/>
      <c r="G46" s="69"/>
      <c r="H46" s="70"/>
      <c r="I46" s="71"/>
      <c r="J46" s="72" t="str">
        <f t="shared" si="0"/>
        <v/>
      </c>
      <c r="K46" s="186"/>
      <c r="L46" s="186"/>
      <c r="M46" s="186"/>
      <c r="N46" s="186"/>
      <c r="O46" s="186"/>
      <c r="P46" s="186"/>
      <c r="Q46" s="186"/>
      <c r="R46" s="186"/>
      <c r="S46" s="73">
        <f ca="1">Y46</f>
        <v>0</v>
      </c>
      <c r="T46" s="186"/>
      <c r="U46" s="186"/>
      <c r="V46" s="186"/>
      <c r="W46" s="62">
        <f t="shared" ca="1" si="1"/>
        <v>0</v>
      </c>
      <c r="X46" s="63">
        <f ca="1">IF($J46="TER A",VLOOKUP(W46,Ter_A,4,TRUE),IF($J46="TER B",VLOOKUP(W46,Ter_B,4,TRUE),VLOOKUP(W46,Ter_C,4,TRUE)))</f>
        <v>0</v>
      </c>
      <c r="Y46" s="187">
        <f t="shared" ca="1" si="3"/>
        <v>0</v>
      </c>
      <c r="Z46" s="186"/>
      <c r="AA46" s="186"/>
      <c r="AC46" s="93">
        <f t="shared" si="5"/>
        <v>0</v>
      </c>
    </row>
    <row r="47" spans="2:32" s="52" customFormat="1" ht="22.15" customHeight="1" thickBot="1">
      <c r="B47" s="82"/>
      <c r="C47" s="83"/>
      <c r="D47" s="83"/>
      <c r="E47" s="83"/>
      <c r="F47" s="83"/>
      <c r="G47" s="83"/>
      <c r="H47" s="83"/>
      <c r="I47" s="83"/>
      <c r="J47" s="83"/>
      <c r="K47" s="84">
        <f t="shared" ref="K47:T47" si="7">SUM(K6:K46)</f>
        <v>175250013.02000004</v>
      </c>
      <c r="L47" s="84">
        <f t="shared" si="7"/>
        <v>1223291.9999999998</v>
      </c>
      <c r="M47" s="84">
        <f t="shared" si="7"/>
        <v>5878740</v>
      </c>
      <c r="N47" s="84">
        <f t="shared" si="7"/>
        <v>0</v>
      </c>
      <c r="O47" s="84">
        <f t="shared" si="7"/>
        <v>0</v>
      </c>
      <c r="P47" s="84">
        <f t="shared" si="7"/>
        <v>0</v>
      </c>
      <c r="Q47" s="84">
        <f t="shared" si="7"/>
        <v>0</v>
      </c>
      <c r="R47" s="84">
        <f t="shared" si="7"/>
        <v>0</v>
      </c>
      <c r="S47" s="84">
        <f t="shared" ca="1" si="7"/>
        <v>0</v>
      </c>
      <c r="T47" s="84">
        <f t="shared" si="7"/>
        <v>0</v>
      </c>
      <c r="U47" s="84"/>
      <c r="V47" s="84"/>
      <c r="W47" s="84">
        <f ca="1">SUM(W6:W46)</f>
        <v>182352045.02000004</v>
      </c>
      <c r="X47" s="84">
        <f ca="1">SUM(X6:X46)</f>
        <v>5.5E-2</v>
      </c>
      <c r="Y47" s="87">
        <f ca="1">SUM(Y6:Y46)</f>
        <v>394574</v>
      </c>
      <c r="Z47" s="87">
        <f>SUM(Z6:Z45)</f>
        <v>547989.33927000011</v>
      </c>
      <c r="AA47" s="87">
        <f ca="1">Z47-Y47</f>
        <v>153415.33927000011</v>
      </c>
      <c r="AB47" s="51"/>
      <c r="AC47" s="51"/>
      <c r="AD47" s="51"/>
      <c r="AE47" s="51"/>
      <c r="AF47" s="51"/>
    </row>
    <row r="48" spans="2:32" ht="15" customHeight="1">
      <c r="K48" s="28">
        <f>+'[3]PAJAK A AVB'!$F$50</f>
        <v>175250013.02000004</v>
      </c>
      <c r="L48" s="28">
        <f>'[3]PAJAK A AVB'!$G$50</f>
        <v>1223291.9999999998</v>
      </c>
      <c r="M48" s="28">
        <f>+'[3]PAJAK A AVB'!$H$50</f>
        <v>5878740</v>
      </c>
      <c r="N48" s="28">
        <f>'[4]Jan''24'!I35</f>
        <v>16575000</v>
      </c>
      <c r="O48" s="28">
        <f>'[4]Jan''24'!J35</f>
        <v>3820500</v>
      </c>
      <c r="P48" s="28">
        <f>'[4]Jan''24'!K35</f>
        <v>14700000</v>
      </c>
      <c r="Q48" s="28">
        <f>'[4]Jan''24'!L35</f>
        <v>1925000</v>
      </c>
      <c r="R48" s="28">
        <f>'[4]Jan''24'!M35</f>
        <v>400000</v>
      </c>
      <c r="T48" s="28">
        <f>+'[4]Jan''24'!$O$35</f>
        <v>2250000</v>
      </c>
      <c r="W48" s="28">
        <f>+'[3]PAJAK A AVB'!$K$50</f>
        <v>182352045.02000004</v>
      </c>
      <c r="Z48" s="92">
        <f>+'[3]PAJAK B AVB'!$N$51</f>
        <v>547989.33927000011</v>
      </c>
    </row>
    <row r="49" spans="2:54" ht="15" hidden="1" customHeight="1">
      <c r="B49" s="51" t="s">
        <v>48</v>
      </c>
    </row>
    <row r="50" spans="2:54" ht="15" hidden="1" customHeight="1">
      <c r="B50" s="27" t="s">
        <v>49</v>
      </c>
    </row>
    <row r="51" spans="2:54" ht="15" hidden="1" customHeight="1">
      <c r="B51" s="27" t="s">
        <v>57</v>
      </c>
    </row>
    <row r="52" spans="2:54" ht="15" hidden="1" customHeight="1">
      <c r="B52" s="27" t="s">
        <v>50</v>
      </c>
    </row>
    <row r="53" spans="2:54" s="31" customFormat="1" ht="15" hidden="1" customHeight="1">
      <c r="B53" s="27" t="s">
        <v>58</v>
      </c>
      <c r="C53" s="28"/>
      <c r="D53" s="194"/>
      <c r="E53" s="29"/>
      <c r="F53" s="28"/>
      <c r="G53" s="30"/>
      <c r="H53" s="195"/>
      <c r="I53" s="195"/>
      <c r="J53" s="195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57"/>
      <c r="Y53" s="28"/>
      <c r="Z53" s="92"/>
      <c r="AA53" s="27"/>
      <c r="AB53" s="27"/>
      <c r="AC53" s="27"/>
      <c r="AD53" s="27"/>
      <c r="AE53" s="27"/>
      <c r="AF53" s="27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</row>
    <row r="54" spans="2:54" s="31" customFormat="1" ht="15" hidden="1" customHeight="1">
      <c r="B54" s="27" t="s">
        <v>51</v>
      </c>
      <c r="C54" s="28"/>
      <c r="D54" s="194"/>
      <c r="E54" s="29"/>
      <c r="F54" s="28"/>
      <c r="G54" s="30"/>
      <c r="H54" s="195"/>
      <c r="I54" s="195"/>
      <c r="J54" s="195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57"/>
      <c r="Y54" s="28"/>
      <c r="Z54" s="92"/>
      <c r="AA54" s="27"/>
      <c r="AB54" s="27"/>
      <c r="AC54" s="27"/>
      <c r="AD54" s="27"/>
      <c r="AE54" s="27"/>
      <c r="AF54" s="27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</row>
    <row r="55" spans="2:54" s="31" customFormat="1" ht="15" hidden="1" customHeight="1">
      <c r="B55" s="27" t="s">
        <v>52</v>
      </c>
      <c r="C55" s="28"/>
      <c r="D55" s="194"/>
      <c r="E55" s="29"/>
      <c r="F55" s="28"/>
      <c r="G55" s="30"/>
      <c r="H55" s="195"/>
      <c r="I55" s="195"/>
      <c r="J55" s="195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57"/>
      <c r="Y55" s="28"/>
      <c r="Z55" s="92"/>
      <c r="AA55" s="27"/>
      <c r="AB55" s="27"/>
      <c r="AC55" s="27"/>
      <c r="AD55" s="27"/>
      <c r="AE55" s="27"/>
      <c r="AF55" s="27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</row>
    <row r="56" spans="2:54" s="31" customFormat="1" ht="15" hidden="1" customHeight="1">
      <c r="B56" s="27" t="s">
        <v>53</v>
      </c>
      <c r="C56" s="28"/>
      <c r="D56" s="194"/>
      <c r="E56" s="29"/>
      <c r="F56" s="28"/>
      <c r="G56" s="30"/>
      <c r="H56" s="195"/>
      <c r="I56" s="195"/>
      <c r="J56" s="195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57"/>
      <c r="Y56" s="28"/>
      <c r="Z56" s="92"/>
      <c r="AA56" s="27"/>
      <c r="AB56" s="27"/>
      <c r="AC56" s="27"/>
      <c r="AD56" s="27"/>
      <c r="AE56" s="27"/>
      <c r="AF56" s="27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</row>
    <row r="57" spans="2:54" s="31" customFormat="1" ht="15" hidden="1" customHeight="1">
      <c r="B57" s="27" t="s">
        <v>59</v>
      </c>
      <c r="C57" s="28"/>
      <c r="D57" s="194"/>
      <c r="E57" s="29"/>
      <c r="F57" s="28"/>
      <c r="G57" s="30"/>
      <c r="H57" s="195"/>
      <c r="I57" s="195"/>
      <c r="J57" s="195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57"/>
      <c r="Y57" s="28"/>
      <c r="Z57" s="92"/>
      <c r="AA57" s="27"/>
      <c r="AB57" s="27"/>
      <c r="AC57" s="27"/>
      <c r="AD57" s="27"/>
      <c r="AE57" s="27"/>
      <c r="AF57" s="27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</row>
    <row r="58" spans="2:54" s="31" customFormat="1" ht="15" hidden="1" customHeight="1">
      <c r="B58" s="27" t="s">
        <v>60</v>
      </c>
      <c r="C58" s="28"/>
      <c r="D58" s="194"/>
      <c r="E58" s="29"/>
      <c r="F58" s="28"/>
      <c r="G58" s="30"/>
      <c r="H58" s="195"/>
      <c r="I58" s="195"/>
      <c r="J58" s="195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57"/>
      <c r="Y58" s="28"/>
      <c r="Z58" s="92"/>
      <c r="AA58" s="27"/>
      <c r="AB58" s="27"/>
      <c r="AC58" s="27"/>
      <c r="AD58" s="27"/>
      <c r="AE58" s="27"/>
      <c r="AF58" s="27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</row>
    <row r="59" spans="2:54" s="31" customFormat="1" ht="15" hidden="1" customHeight="1">
      <c r="B59" s="27" t="s">
        <v>65</v>
      </c>
      <c r="C59" s="28"/>
      <c r="D59" s="194"/>
      <c r="E59" s="29"/>
      <c r="F59" s="28"/>
      <c r="G59" s="30"/>
      <c r="H59" s="195"/>
      <c r="I59" s="195"/>
      <c r="J59" s="195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57"/>
      <c r="Y59" s="28"/>
      <c r="Z59" s="92"/>
      <c r="AA59" s="27"/>
      <c r="AB59" s="27"/>
      <c r="AC59" s="27"/>
      <c r="AD59" s="27"/>
      <c r="AE59" s="27"/>
      <c r="AF59" s="27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</row>
    <row r="60" spans="2:54" s="31" customFormat="1" ht="15" customHeight="1">
      <c r="B60" s="27"/>
      <c r="C60" s="28"/>
      <c r="D60" s="194"/>
      <c r="E60" s="29"/>
      <c r="F60" s="28"/>
      <c r="G60" s="30"/>
      <c r="H60" s="195"/>
      <c r="I60" s="195"/>
      <c r="J60" s="195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57"/>
      <c r="Y60" s="28"/>
      <c r="Z60" s="92"/>
      <c r="AA60" s="27"/>
      <c r="AB60" s="27"/>
      <c r="AC60" s="27"/>
      <c r="AD60" s="27"/>
      <c r="AE60" s="27"/>
      <c r="AF60" s="27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</row>
    <row r="61" spans="2:54" s="31" customFormat="1" ht="15" customHeight="1">
      <c r="B61" s="27"/>
      <c r="C61" s="28"/>
      <c r="D61" s="194"/>
      <c r="E61" s="29"/>
      <c r="F61" s="28"/>
      <c r="G61" s="30"/>
      <c r="H61" s="195"/>
      <c r="I61" s="195"/>
      <c r="J61" s="195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57"/>
      <c r="Y61" s="28"/>
      <c r="Z61" s="92"/>
      <c r="AA61" s="27"/>
      <c r="AB61" s="27"/>
      <c r="AC61" s="27"/>
      <c r="AD61" s="27"/>
      <c r="AE61" s="27"/>
      <c r="AF61" s="27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</row>
    <row r="62" spans="2:54" s="31" customFormat="1" ht="15" customHeight="1">
      <c r="B62" s="27"/>
      <c r="C62" s="28"/>
      <c r="D62" s="194"/>
      <c r="E62" s="29"/>
      <c r="F62" s="28"/>
      <c r="G62" s="30"/>
      <c r="H62" s="195"/>
      <c r="I62" s="195"/>
      <c r="J62" s="195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57"/>
      <c r="Y62" s="28"/>
      <c r="Z62" s="92"/>
      <c r="AA62" s="27"/>
      <c r="AB62" s="27"/>
      <c r="AC62" s="27"/>
      <c r="AD62" s="27"/>
      <c r="AE62" s="27"/>
      <c r="AF62" s="27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</row>
    <row r="63" spans="2:54" s="31" customFormat="1" ht="15" customHeight="1">
      <c r="B63" s="27"/>
      <c r="C63" s="28"/>
      <c r="D63" s="194"/>
      <c r="E63" s="29"/>
      <c r="F63" s="28"/>
      <c r="G63" s="30"/>
      <c r="H63" s="195"/>
      <c r="I63" s="195"/>
      <c r="J63" s="195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57"/>
      <c r="Y63" s="28"/>
      <c r="Z63" s="92"/>
      <c r="AA63" s="27"/>
      <c r="AB63" s="27"/>
      <c r="AC63" s="27"/>
      <c r="AD63" s="27"/>
      <c r="AE63" s="27"/>
      <c r="AF63" s="27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</row>
    <row r="64" spans="2:54" s="31" customFormat="1" ht="15" customHeight="1">
      <c r="B64" s="27"/>
      <c r="C64" s="28"/>
      <c r="D64" s="194"/>
      <c r="E64" s="29"/>
      <c r="F64" s="28"/>
      <c r="G64" s="30"/>
      <c r="H64" s="195"/>
      <c r="I64" s="195"/>
      <c r="J64" s="195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57"/>
      <c r="Y64" s="28"/>
      <c r="Z64" s="92"/>
      <c r="AA64" s="27"/>
      <c r="AB64" s="27"/>
      <c r="AC64" s="27"/>
      <c r="AD64" s="27"/>
      <c r="AE64" s="27"/>
      <c r="AF64" s="27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</row>
    <row r="65" spans="2:54" s="31" customFormat="1" ht="15" customHeight="1">
      <c r="B65" s="27"/>
      <c r="C65" s="28"/>
      <c r="D65" s="194"/>
      <c r="E65" s="29"/>
      <c r="F65" s="28"/>
      <c r="G65" s="30"/>
      <c r="H65" s="195"/>
      <c r="I65" s="195"/>
      <c r="J65" s="195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57"/>
      <c r="Y65" s="28"/>
      <c r="Z65" s="92"/>
      <c r="AA65" s="27"/>
      <c r="AB65" s="27"/>
      <c r="AC65" s="27"/>
      <c r="AD65" s="27"/>
      <c r="AE65" s="27"/>
      <c r="AF65" s="27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</row>
    <row r="66" spans="2:54" s="31" customFormat="1" ht="15" customHeight="1">
      <c r="B66" s="27"/>
      <c r="C66" s="28"/>
      <c r="D66" s="194"/>
      <c r="E66" s="29"/>
      <c r="F66" s="28"/>
      <c r="G66" s="30"/>
      <c r="H66" s="195"/>
      <c r="I66" s="195"/>
      <c r="J66" s="195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57"/>
      <c r="Y66" s="28"/>
      <c r="Z66" s="92"/>
      <c r="AA66" s="27"/>
      <c r="AB66" s="27"/>
      <c r="AC66" s="27"/>
      <c r="AD66" s="27"/>
      <c r="AE66" s="27"/>
      <c r="AF66" s="27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</row>
    <row r="67" spans="2:54" s="31" customFormat="1" ht="15" customHeight="1">
      <c r="B67" s="27"/>
      <c r="C67" s="28"/>
      <c r="D67" s="194"/>
      <c r="E67" s="29"/>
      <c r="F67" s="28"/>
      <c r="G67" s="30"/>
      <c r="H67" s="195"/>
      <c r="I67" s="195"/>
      <c r="J67" s="195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57"/>
      <c r="Y67" s="28"/>
      <c r="Z67" s="92"/>
      <c r="AA67" s="27"/>
      <c r="AB67" s="27"/>
      <c r="AC67" s="27"/>
      <c r="AD67" s="27"/>
      <c r="AE67" s="27"/>
      <c r="AF67" s="27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</row>
    <row r="68" spans="2:54" s="28" customFormat="1" ht="15" customHeight="1">
      <c r="B68" s="27"/>
      <c r="D68" s="194"/>
      <c r="E68" s="29"/>
      <c r="G68" s="30"/>
      <c r="H68" s="195"/>
      <c r="I68" s="195"/>
      <c r="J68" s="195"/>
      <c r="X68" s="57"/>
      <c r="Z68" s="92"/>
      <c r="AA68" s="27"/>
      <c r="AB68" s="27"/>
      <c r="AC68" s="27"/>
      <c r="AD68" s="27"/>
      <c r="AE68" s="27"/>
      <c r="AF68" s="27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</row>
    <row r="69" spans="2:54" s="28" customFormat="1" ht="15" customHeight="1">
      <c r="B69" s="27"/>
      <c r="D69" s="194"/>
      <c r="E69" s="29"/>
      <c r="G69" s="30"/>
      <c r="H69" s="195"/>
      <c r="I69" s="195"/>
      <c r="J69" s="195"/>
      <c r="X69" s="57"/>
      <c r="Z69" s="92"/>
      <c r="AA69" s="27"/>
      <c r="AB69" s="27"/>
      <c r="AC69" s="27"/>
      <c r="AD69" s="27"/>
      <c r="AE69" s="27"/>
      <c r="AF69" s="27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</row>
    <row r="70" spans="2:54" s="28" customFormat="1">
      <c r="B70" s="27"/>
      <c r="D70" s="194"/>
      <c r="E70" s="29"/>
      <c r="G70" s="30"/>
      <c r="H70" s="195"/>
      <c r="I70" s="195"/>
      <c r="J70" s="195"/>
      <c r="X70" s="57"/>
      <c r="Z70" s="92"/>
      <c r="AA70" s="27"/>
      <c r="AB70" s="27"/>
      <c r="AC70" s="27"/>
      <c r="AD70" s="27"/>
      <c r="AE70" s="27"/>
      <c r="AF70" s="27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</row>
    <row r="71" spans="2:54" s="28" customFormat="1">
      <c r="B71" s="27"/>
      <c r="D71" s="194"/>
      <c r="E71" s="29"/>
      <c r="G71" s="30"/>
      <c r="H71" s="195"/>
      <c r="I71" s="195"/>
      <c r="J71" s="195"/>
      <c r="X71" s="57"/>
      <c r="Z71" s="92"/>
      <c r="AA71" s="27"/>
      <c r="AB71" s="27"/>
      <c r="AC71" s="27"/>
      <c r="AD71" s="27"/>
      <c r="AE71" s="27"/>
      <c r="AF71" s="27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</row>
    <row r="72" spans="2:54" s="28" customFormat="1">
      <c r="B72" s="27"/>
      <c r="D72" s="194"/>
      <c r="E72" s="29"/>
      <c r="G72" s="30"/>
      <c r="H72" s="195"/>
      <c r="I72" s="195"/>
      <c r="J72" s="195"/>
      <c r="X72" s="57"/>
      <c r="Z72" s="92"/>
      <c r="AA72" s="27"/>
      <c r="AB72" s="27"/>
      <c r="AC72" s="27"/>
      <c r="AD72" s="27"/>
      <c r="AE72" s="27"/>
      <c r="AF72" s="27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</row>
    <row r="73" spans="2:54" s="28" customFormat="1">
      <c r="B73" s="27"/>
      <c r="D73" s="194"/>
      <c r="E73" s="29"/>
      <c r="G73" s="30"/>
      <c r="H73" s="195"/>
      <c r="I73" s="195"/>
      <c r="J73" s="195"/>
      <c r="X73" s="57"/>
      <c r="Z73" s="92"/>
      <c r="AA73" s="27"/>
      <c r="AB73" s="27"/>
      <c r="AC73" s="27"/>
      <c r="AD73" s="27"/>
      <c r="AE73" s="27"/>
      <c r="AF73" s="27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</row>
    <row r="74" spans="2:54" s="28" customFormat="1">
      <c r="B74" s="27"/>
      <c r="D74" s="194"/>
      <c r="E74" s="29"/>
      <c r="G74" s="30"/>
      <c r="H74" s="195"/>
      <c r="I74" s="195"/>
      <c r="J74" s="195"/>
      <c r="X74" s="57"/>
      <c r="Z74" s="92"/>
      <c r="AA74" s="27"/>
      <c r="AB74" s="27"/>
      <c r="AC74" s="27"/>
      <c r="AD74" s="27"/>
      <c r="AE74" s="27"/>
      <c r="AF74" s="27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</row>
    <row r="75" spans="2:54" s="28" customFormat="1">
      <c r="B75" s="27"/>
      <c r="D75" s="194"/>
      <c r="E75" s="29"/>
      <c r="G75" s="30"/>
      <c r="H75" s="195"/>
      <c r="I75" s="195"/>
      <c r="J75" s="195"/>
      <c r="X75" s="57"/>
      <c r="Z75" s="92"/>
      <c r="AA75" s="27"/>
      <c r="AB75" s="27"/>
      <c r="AC75" s="27"/>
      <c r="AD75" s="27"/>
      <c r="AE75" s="27"/>
      <c r="AF75" s="27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</row>
    <row r="76" spans="2:54" s="28" customFormat="1">
      <c r="B76" s="27"/>
      <c r="D76" s="194"/>
      <c r="E76" s="29"/>
      <c r="G76" s="30"/>
      <c r="H76" s="195"/>
      <c r="I76" s="195"/>
      <c r="J76" s="195"/>
      <c r="X76" s="57"/>
      <c r="Z76" s="92"/>
      <c r="AA76" s="27"/>
      <c r="AB76" s="27"/>
      <c r="AC76" s="27"/>
      <c r="AD76" s="27"/>
      <c r="AE76" s="27"/>
      <c r="AF76" s="27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</row>
    <row r="77" spans="2:54" s="28" customFormat="1">
      <c r="B77" s="27"/>
      <c r="D77" s="194"/>
      <c r="E77" s="29"/>
      <c r="G77" s="30"/>
      <c r="H77" s="195"/>
      <c r="I77" s="195"/>
      <c r="J77" s="195"/>
      <c r="X77" s="57"/>
      <c r="Z77" s="92"/>
      <c r="AA77" s="27"/>
      <c r="AB77" s="27"/>
      <c r="AC77" s="27"/>
      <c r="AD77" s="27"/>
      <c r="AE77" s="27"/>
      <c r="AF77" s="27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</row>
    <row r="78" spans="2:54" s="28" customFormat="1">
      <c r="B78" s="27"/>
      <c r="D78" s="194"/>
      <c r="E78" s="29"/>
      <c r="G78" s="30"/>
      <c r="H78" s="195"/>
      <c r="I78" s="195"/>
      <c r="J78" s="195"/>
      <c r="X78" s="57"/>
      <c r="Z78" s="92"/>
      <c r="AA78" s="27"/>
      <c r="AB78" s="27"/>
      <c r="AC78" s="27"/>
      <c r="AD78" s="27"/>
      <c r="AE78" s="27"/>
      <c r="AF78" s="27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</row>
    <row r="79" spans="2:54" s="28" customFormat="1">
      <c r="B79" s="27"/>
      <c r="D79" s="194"/>
      <c r="E79" s="29"/>
      <c r="G79" s="30"/>
      <c r="H79" s="195"/>
      <c r="I79" s="195"/>
      <c r="J79" s="195"/>
      <c r="X79" s="57"/>
      <c r="Z79" s="92"/>
      <c r="AA79" s="27"/>
      <c r="AB79" s="27"/>
      <c r="AC79" s="27"/>
      <c r="AD79" s="27"/>
      <c r="AE79" s="27"/>
      <c r="AF79" s="27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</row>
    <row r="80" spans="2:54" s="28" customFormat="1">
      <c r="B80" s="27"/>
      <c r="D80" s="194"/>
      <c r="E80" s="29"/>
      <c r="G80" s="30"/>
      <c r="H80" s="195"/>
      <c r="I80" s="195"/>
      <c r="J80" s="195"/>
      <c r="X80" s="57"/>
      <c r="Z80" s="92"/>
      <c r="AA80" s="27"/>
      <c r="AB80" s="27"/>
      <c r="AC80" s="27"/>
      <c r="AD80" s="27"/>
      <c r="AE80" s="27"/>
      <c r="AF80" s="27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</row>
    <row r="81" spans="2:54" s="28" customFormat="1">
      <c r="B81" s="27"/>
      <c r="D81" s="194"/>
      <c r="E81" s="29"/>
      <c r="G81" s="30"/>
      <c r="H81" s="195"/>
      <c r="I81" s="195"/>
      <c r="J81" s="195"/>
      <c r="X81" s="57"/>
      <c r="Z81" s="92"/>
      <c r="AA81" s="27"/>
      <c r="AB81" s="27"/>
      <c r="AC81" s="27"/>
      <c r="AD81" s="27"/>
      <c r="AE81" s="27"/>
      <c r="AF81" s="27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</row>
    <row r="82" spans="2:54" s="28" customFormat="1">
      <c r="B82" s="27"/>
      <c r="D82" s="194"/>
      <c r="E82" s="29"/>
      <c r="G82" s="30"/>
      <c r="H82" s="195"/>
      <c r="I82" s="195"/>
      <c r="J82" s="195"/>
      <c r="X82" s="57"/>
      <c r="Z82" s="92"/>
      <c r="AA82" s="27"/>
      <c r="AB82" s="27"/>
      <c r="AC82" s="27"/>
      <c r="AD82" s="27"/>
      <c r="AE82" s="27"/>
      <c r="AF82" s="27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</row>
    <row r="83" spans="2:54" s="28" customFormat="1">
      <c r="B83" s="27"/>
      <c r="D83" s="194"/>
      <c r="E83" s="29"/>
      <c r="G83" s="30"/>
      <c r="H83" s="195"/>
      <c r="I83" s="195"/>
      <c r="J83" s="195"/>
      <c r="X83" s="57"/>
      <c r="Z83" s="92"/>
      <c r="AA83" s="27"/>
      <c r="AB83" s="27"/>
      <c r="AC83" s="27"/>
      <c r="AD83" s="27"/>
      <c r="AE83" s="27"/>
      <c r="AF83" s="27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</row>
    <row r="84" spans="2:54" s="28" customFormat="1">
      <c r="B84" s="27"/>
      <c r="D84" s="194"/>
      <c r="E84" s="29"/>
      <c r="G84" s="30"/>
      <c r="H84" s="195"/>
      <c r="I84" s="195"/>
      <c r="J84" s="195"/>
      <c r="X84" s="57"/>
      <c r="Z84" s="92"/>
      <c r="AA84" s="27"/>
      <c r="AB84" s="27"/>
      <c r="AC84" s="27"/>
      <c r="AD84" s="27"/>
      <c r="AE84" s="27"/>
      <c r="AF84" s="27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</row>
    <row r="85" spans="2:54" s="28" customFormat="1">
      <c r="B85" s="27"/>
      <c r="D85" s="194"/>
      <c r="E85" s="29"/>
      <c r="G85" s="30"/>
      <c r="H85" s="195"/>
      <c r="I85" s="195"/>
      <c r="J85" s="195"/>
      <c r="X85" s="57"/>
      <c r="Z85" s="92"/>
      <c r="AA85" s="27"/>
      <c r="AB85" s="27"/>
      <c r="AC85" s="27"/>
      <c r="AD85" s="27"/>
      <c r="AE85" s="27"/>
      <c r="AF85" s="27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</row>
    <row r="86" spans="2:54" s="28" customFormat="1">
      <c r="B86" s="27"/>
      <c r="D86" s="194"/>
      <c r="E86" s="29"/>
      <c r="G86" s="30"/>
      <c r="H86" s="195"/>
      <c r="I86" s="195"/>
      <c r="J86" s="195"/>
      <c r="X86" s="57"/>
      <c r="Z86" s="92"/>
      <c r="AA86" s="27"/>
      <c r="AB86" s="27"/>
      <c r="AC86" s="27"/>
      <c r="AD86" s="27"/>
      <c r="AE86" s="27"/>
      <c r="AF86" s="27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</row>
    <row r="87" spans="2:54" s="28" customFormat="1">
      <c r="B87" s="27"/>
      <c r="D87" s="194"/>
      <c r="E87" s="29"/>
      <c r="G87" s="30"/>
      <c r="H87" s="195"/>
      <c r="I87" s="195"/>
      <c r="J87" s="195"/>
      <c r="X87" s="57"/>
      <c r="Z87" s="92"/>
      <c r="AA87" s="27"/>
      <c r="AB87" s="27"/>
      <c r="AC87" s="27"/>
      <c r="AD87" s="27"/>
      <c r="AE87" s="27"/>
      <c r="AF87" s="27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</row>
    <row r="88" spans="2:54" s="28" customFormat="1">
      <c r="B88" s="27"/>
      <c r="D88" s="194"/>
      <c r="E88" s="29"/>
      <c r="G88" s="30"/>
      <c r="H88" s="195"/>
      <c r="I88" s="195"/>
      <c r="J88" s="195"/>
      <c r="X88" s="57"/>
      <c r="Z88" s="92"/>
      <c r="AA88" s="27"/>
      <c r="AB88" s="27"/>
      <c r="AC88" s="27"/>
      <c r="AD88" s="27"/>
      <c r="AE88" s="27"/>
      <c r="AF88" s="27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</row>
    <row r="89" spans="2:54" s="28" customFormat="1">
      <c r="B89" s="27"/>
      <c r="D89" s="194"/>
      <c r="E89" s="29"/>
      <c r="G89" s="30"/>
      <c r="H89" s="195"/>
      <c r="I89" s="195"/>
      <c r="J89" s="195"/>
      <c r="X89" s="57"/>
      <c r="Z89" s="92"/>
      <c r="AA89" s="27"/>
      <c r="AB89" s="27"/>
      <c r="AC89" s="27"/>
      <c r="AD89" s="27"/>
      <c r="AE89" s="27"/>
      <c r="AF89" s="27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</row>
    <row r="90" spans="2:54" s="28" customFormat="1">
      <c r="B90" s="27"/>
      <c r="D90" s="194"/>
      <c r="E90" s="29"/>
      <c r="G90" s="30"/>
      <c r="H90" s="195"/>
      <c r="I90" s="195"/>
      <c r="J90" s="195"/>
      <c r="X90" s="57"/>
      <c r="Z90" s="92"/>
      <c r="AA90" s="27"/>
      <c r="AB90" s="27"/>
      <c r="AC90" s="27"/>
      <c r="AD90" s="27"/>
      <c r="AE90" s="27"/>
      <c r="AF90" s="27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</row>
    <row r="91" spans="2:54" s="28" customFormat="1">
      <c r="B91" s="27"/>
      <c r="D91" s="194"/>
      <c r="E91" s="29"/>
      <c r="G91" s="30"/>
      <c r="H91" s="195"/>
      <c r="I91" s="195"/>
      <c r="J91" s="195"/>
      <c r="X91" s="57"/>
      <c r="Z91" s="92"/>
      <c r="AA91" s="27"/>
      <c r="AB91" s="27"/>
      <c r="AC91" s="27"/>
      <c r="AD91" s="27"/>
      <c r="AE91" s="27"/>
      <c r="AF91" s="27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</row>
    <row r="92" spans="2:54" s="28" customFormat="1">
      <c r="B92" s="27"/>
      <c r="D92" s="194"/>
      <c r="E92" s="29"/>
      <c r="G92" s="30"/>
      <c r="H92" s="195"/>
      <c r="I92" s="195"/>
      <c r="J92" s="195"/>
      <c r="X92" s="57"/>
      <c r="Z92" s="92"/>
      <c r="AA92" s="27"/>
      <c r="AB92" s="27"/>
      <c r="AC92" s="27"/>
      <c r="AD92" s="27"/>
      <c r="AE92" s="27"/>
      <c r="AF92" s="27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</row>
    <row r="93" spans="2:54" s="28" customFormat="1">
      <c r="B93" s="27"/>
      <c r="D93" s="194"/>
      <c r="E93" s="29"/>
      <c r="G93" s="30"/>
      <c r="H93" s="195"/>
      <c r="I93" s="195"/>
      <c r="J93" s="195"/>
      <c r="X93" s="57"/>
      <c r="Z93" s="92"/>
      <c r="AA93" s="27"/>
      <c r="AB93" s="27"/>
      <c r="AC93" s="27"/>
      <c r="AD93" s="27"/>
      <c r="AE93" s="27"/>
      <c r="AF93" s="27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</row>
    <row r="94" spans="2:54" s="28" customFormat="1">
      <c r="B94" s="27"/>
      <c r="D94" s="194"/>
      <c r="E94" s="29"/>
      <c r="G94" s="30"/>
      <c r="H94" s="195"/>
      <c r="I94" s="195"/>
      <c r="J94" s="195"/>
      <c r="X94" s="57"/>
      <c r="Z94" s="92"/>
      <c r="AA94" s="27"/>
      <c r="AB94" s="27"/>
      <c r="AC94" s="27"/>
      <c r="AD94" s="27"/>
      <c r="AE94" s="27"/>
      <c r="AF94" s="27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</row>
    <row r="95" spans="2:54" s="28" customFormat="1">
      <c r="B95" s="27"/>
      <c r="D95" s="194"/>
      <c r="E95" s="29"/>
      <c r="G95" s="30"/>
      <c r="H95" s="195"/>
      <c r="I95" s="195"/>
      <c r="J95" s="195"/>
      <c r="X95" s="57"/>
      <c r="Z95" s="92"/>
      <c r="AA95" s="27"/>
      <c r="AB95" s="27"/>
      <c r="AC95" s="27"/>
      <c r="AD95" s="27"/>
      <c r="AE95" s="27"/>
      <c r="AF95" s="27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</row>
    <row r="96" spans="2:54" s="28" customFormat="1">
      <c r="B96" s="27"/>
      <c r="D96" s="194"/>
      <c r="E96" s="29"/>
      <c r="G96" s="30"/>
      <c r="H96" s="195"/>
      <c r="I96" s="195"/>
      <c r="J96" s="195"/>
      <c r="X96" s="57"/>
      <c r="Z96" s="92"/>
      <c r="AA96" s="27"/>
      <c r="AB96" s="27"/>
      <c r="AC96" s="27"/>
      <c r="AD96" s="27"/>
      <c r="AE96" s="27"/>
      <c r="AF96" s="27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</row>
    <row r="97" spans="2:54" s="28" customFormat="1">
      <c r="B97" s="27"/>
      <c r="D97" s="194"/>
      <c r="E97" s="29"/>
      <c r="G97" s="30"/>
      <c r="H97" s="195"/>
      <c r="I97" s="195"/>
      <c r="J97" s="195"/>
      <c r="X97" s="57"/>
      <c r="Z97" s="92"/>
      <c r="AA97" s="27"/>
      <c r="AB97" s="27"/>
      <c r="AC97" s="27"/>
      <c r="AD97" s="27"/>
      <c r="AE97" s="27"/>
      <c r="AF97" s="27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</row>
    <row r="98" spans="2:54" s="28" customFormat="1">
      <c r="B98" s="27"/>
      <c r="D98" s="194"/>
      <c r="E98" s="29"/>
      <c r="G98" s="30"/>
      <c r="H98" s="195"/>
      <c r="I98" s="195"/>
      <c r="J98" s="195"/>
      <c r="X98" s="57"/>
      <c r="Z98" s="92"/>
      <c r="AA98" s="27"/>
      <c r="AB98" s="27"/>
      <c r="AC98" s="27"/>
      <c r="AD98" s="27"/>
      <c r="AE98" s="27"/>
      <c r="AF98" s="27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</row>
    <row r="99" spans="2:54" s="28" customFormat="1">
      <c r="B99" s="27"/>
      <c r="D99" s="194"/>
      <c r="E99" s="29"/>
      <c r="G99" s="30"/>
      <c r="H99" s="195"/>
      <c r="I99" s="195"/>
      <c r="J99" s="195"/>
      <c r="X99" s="57"/>
      <c r="Z99" s="92"/>
      <c r="AA99" s="27"/>
      <c r="AB99" s="27"/>
      <c r="AC99" s="27"/>
      <c r="AD99" s="27"/>
      <c r="AE99" s="27"/>
      <c r="AF99" s="27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</row>
    <row r="100" spans="2:54" s="28" customFormat="1">
      <c r="B100" s="27"/>
      <c r="D100" s="194"/>
      <c r="E100" s="29"/>
      <c r="G100" s="30"/>
      <c r="H100" s="195"/>
      <c r="I100" s="195"/>
      <c r="J100" s="195"/>
      <c r="X100" s="57"/>
      <c r="Z100" s="92"/>
      <c r="AA100" s="27"/>
      <c r="AB100" s="27"/>
      <c r="AC100" s="27"/>
      <c r="AD100" s="27"/>
      <c r="AE100" s="27"/>
      <c r="AF100" s="27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</row>
    <row r="101" spans="2:54" s="28" customFormat="1">
      <c r="B101" s="27"/>
      <c r="D101" s="194"/>
      <c r="E101" s="29"/>
      <c r="G101" s="30"/>
      <c r="H101" s="195"/>
      <c r="I101" s="195"/>
      <c r="J101" s="195"/>
      <c r="X101" s="57"/>
      <c r="Z101" s="92"/>
      <c r="AA101" s="27"/>
      <c r="AB101" s="27"/>
      <c r="AC101" s="27"/>
      <c r="AD101" s="27"/>
      <c r="AE101" s="27"/>
      <c r="AF101" s="27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</row>
    <row r="102" spans="2:54" s="28" customFormat="1">
      <c r="B102" s="27"/>
      <c r="D102" s="194"/>
      <c r="E102" s="29"/>
      <c r="G102" s="30"/>
      <c r="H102" s="195"/>
      <c r="I102" s="195"/>
      <c r="J102" s="195"/>
      <c r="X102" s="57"/>
      <c r="Z102" s="92"/>
      <c r="AA102" s="27"/>
      <c r="AB102" s="27"/>
      <c r="AC102" s="27"/>
      <c r="AD102" s="27"/>
      <c r="AE102" s="27"/>
      <c r="AF102" s="27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</row>
    <row r="103" spans="2:54" s="28" customFormat="1">
      <c r="B103" s="27"/>
      <c r="D103" s="194"/>
      <c r="E103" s="29"/>
      <c r="G103" s="30"/>
      <c r="H103" s="195"/>
      <c r="I103" s="195"/>
      <c r="J103" s="195"/>
      <c r="X103" s="57"/>
      <c r="Z103" s="92"/>
      <c r="AA103" s="27"/>
      <c r="AB103" s="27"/>
      <c r="AC103" s="27"/>
      <c r="AD103" s="27"/>
      <c r="AE103" s="27"/>
      <c r="AF103" s="27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</row>
    <row r="104" spans="2:54" s="28" customFormat="1">
      <c r="B104" s="27"/>
      <c r="D104" s="194"/>
      <c r="E104" s="29"/>
      <c r="G104" s="30"/>
      <c r="H104" s="195"/>
      <c r="I104" s="195"/>
      <c r="J104" s="195"/>
      <c r="X104" s="57"/>
      <c r="Z104" s="92"/>
      <c r="AA104" s="27"/>
      <c r="AB104" s="27"/>
      <c r="AC104" s="27"/>
      <c r="AD104" s="27"/>
      <c r="AE104" s="27"/>
      <c r="AF104" s="27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</row>
    <row r="105" spans="2:54" s="28" customFormat="1">
      <c r="B105" s="27"/>
      <c r="D105" s="194"/>
      <c r="E105" s="29"/>
      <c r="G105" s="30"/>
      <c r="H105" s="195"/>
      <c r="I105" s="195"/>
      <c r="J105" s="195"/>
      <c r="X105" s="57"/>
      <c r="Z105" s="92"/>
      <c r="AA105" s="27"/>
      <c r="AB105" s="27"/>
      <c r="AC105" s="27"/>
      <c r="AD105" s="27"/>
      <c r="AE105" s="27"/>
      <c r="AF105" s="27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</row>
    <row r="106" spans="2:54" s="28" customFormat="1">
      <c r="B106" s="27"/>
      <c r="D106" s="194"/>
      <c r="E106" s="29"/>
      <c r="G106" s="30"/>
      <c r="H106" s="195"/>
      <c r="I106" s="195"/>
      <c r="J106" s="195"/>
      <c r="X106" s="57"/>
      <c r="Z106" s="92"/>
      <c r="AA106" s="27"/>
      <c r="AB106" s="27"/>
      <c r="AC106" s="27"/>
      <c r="AD106" s="27"/>
      <c r="AE106" s="27"/>
      <c r="AF106" s="27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</row>
    <row r="107" spans="2:54" s="28" customFormat="1">
      <c r="B107" s="27"/>
      <c r="D107" s="194"/>
      <c r="E107" s="29"/>
      <c r="G107" s="30"/>
      <c r="H107" s="195"/>
      <c r="I107" s="195"/>
      <c r="J107" s="195"/>
      <c r="X107" s="57"/>
      <c r="Z107" s="92"/>
      <c r="AA107" s="27"/>
      <c r="AB107" s="27"/>
      <c r="AC107" s="27"/>
      <c r="AD107" s="27"/>
      <c r="AE107" s="27"/>
      <c r="AF107" s="27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</row>
    <row r="108" spans="2:54" s="28" customFormat="1">
      <c r="B108" s="27"/>
      <c r="D108" s="194"/>
      <c r="E108" s="29"/>
      <c r="G108" s="30"/>
      <c r="H108" s="195"/>
      <c r="I108" s="195"/>
      <c r="J108" s="195"/>
      <c r="X108" s="57"/>
      <c r="Z108" s="92"/>
      <c r="AA108" s="27"/>
      <c r="AB108" s="27"/>
      <c r="AC108" s="27"/>
      <c r="AD108" s="27"/>
      <c r="AE108" s="27"/>
      <c r="AF108" s="27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</row>
    <row r="109" spans="2:54" s="28" customFormat="1">
      <c r="B109" s="27"/>
      <c r="D109" s="194"/>
      <c r="E109" s="29"/>
      <c r="G109" s="30"/>
      <c r="H109" s="195"/>
      <c r="I109" s="195"/>
      <c r="J109" s="195"/>
      <c r="X109" s="57"/>
      <c r="Z109" s="92"/>
      <c r="AA109" s="27"/>
      <c r="AB109" s="27"/>
      <c r="AC109" s="27"/>
      <c r="AD109" s="27"/>
      <c r="AE109" s="27"/>
      <c r="AF109" s="27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</row>
    <row r="110" spans="2:54" s="28" customFormat="1">
      <c r="B110" s="27"/>
      <c r="D110" s="194"/>
      <c r="E110" s="29"/>
      <c r="G110" s="30"/>
      <c r="H110" s="195"/>
      <c r="I110" s="195"/>
      <c r="J110" s="195"/>
      <c r="X110" s="57"/>
      <c r="Z110" s="92"/>
      <c r="AA110" s="27"/>
      <c r="AB110" s="27"/>
      <c r="AC110" s="27"/>
      <c r="AD110" s="27"/>
      <c r="AE110" s="27"/>
      <c r="AF110" s="27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</row>
    <row r="111" spans="2:54" s="28" customFormat="1">
      <c r="B111" s="27"/>
      <c r="D111" s="194"/>
      <c r="E111" s="29"/>
      <c r="G111" s="30"/>
      <c r="H111" s="195"/>
      <c r="I111" s="195"/>
      <c r="J111" s="195"/>
      <c r="X111" s="57"/>
      <c r="Z111" s="92"/>
      <c r="AA111" s="27"/>
      <c r="AB111" s="27"/>
      <c r="AC111" s="27"/>
      <c r="AD111" s="27"/>
      <c r="AE111" s="27"/>
      <c r="AF111" s="27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</row>
    <row r="112" spans="2:54" s="28" customFormat="1">
      <c r="B112" s="27"/>
      <c r="D112" s="194"/>
      <c r="E112" s="29"/>
      <c r="G112" s="30"/>
      <c r="H112" s="195"/>
      <c r="I112" s="195"/>
      <c r="J112" s="195"/>
      <c r="X112" s="57"/>
      <c r="Z112" s="92"/>
      <c r="AA112" s="27"/>
      <c r="AB112" s="27"/>
      <c r="AC112" s="27"/>
      <c r="AD112" s="27"/>
      <c r="AE112" s="27"/>
      <c r="AF112" s="27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</row>
    <row r="113" spans="2:54" s="28" customFormat="1">
      <c r="B113" s="27"/>
      <c r="D113" s="194"/>
      <c r="E113" s="29"/>
      <c r="G113" s="30"/>
      <c r="H113" s="195"/>
      <c r="I113" s="195"/>
      <c r="J113" s="195"/>
      <c r="X113" s="57"/>
      <c r="Z113" s="92"/>
      <c r="AA113" s="27"/>
      <c r="AB113" s="27"/>
      <c r="AC113" s="27"/>
      <c r="AD113" s="27"/>
      <c r="AE113" s="27"/>
      <c r="AF113" s="27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</row>
    <row r="114" spans="2:54" s="28" customFormat="1">
      <c r="B114" s="27"/>
      <c r="D114" s="194"/>
      <c r="E114" s="29"/>
      <c r="G114" s="30"/>
      <c r="H114" s="195"/>
      <c r="I114" s="195"/>
      <c r="J114" s="195"/>
      <c r="X114" s="57"/>
      <c r="Z114" s="92"/>
      <c r="AA114" s="27"/>
      <c r="AB114" s="27"/>
      <c r="AC114" s="27"/>
      <c r="AD114" s="27"/>
      <c r="AE114" s="27"/>
      <c r="AF114" s="27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</row>
    <row r="115" spans="2:54" s="28" customFormat="1">
      <c r="B115" s="27"/>
      <c r="D115" s="194"/>
      <c r="E115" s="29"/>
      <c r="G115" s="30"/>
      <c r="H115" s="195"/>
      <c r="I115" s="195"/>
      <c r="J115" s="195"/>
      <c r="X115" s="57"/>
      <c r="Z115" s="92"/>
      <c r="AA115" s="27"/>
      <c r="AB115" s="27"/>
      <c r="AC115" s="27"/>
      <c r="AD115" s="27"/>
      <c r="AE115" s="27"/>
      <c r="AF115" s="27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</row>
    <row r="116" spans="2:54" s="28" customFormat="1">
      <c r="B116" s="27"/>
      <c r="D116" s="194"/>
      <c r="E116" s="29"/>
      <c r="G116" s="30"/>
      <c r="H116" s="195"/>
      <c r="I116" s="195"/>
      <c r="J116" s="195"/>
      <c r="X116" s="57"/>
      <c r="Z116" s="92"/>
      <c r="AA116" s="27"/>
      <c r="AB116" s="27"/>
      <c r="AC116" s="27"/>
      <c r="AD116" s="27"/>
      <c r="AE116" s="27"/>
      <c r="AF116" s="27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</row>
    <row r="117" spans="2:54" s="28" customFormat="1">
      <c r="B117" s="27"/>
      <c r="D117" s="194"/>
      <c r="E117" s="29"/>
      <c r="G117" s="30"/>
      <c r="H117" s="195"/>
      <c r="I117" s="195"/>
      <c r="J117" s="195"/>
      <c r="X117" s="57"/>
      <c r="Z117" s="92"/>
      <c r="AA117" s="27"/>
      <c r="AB117" s="27"/>
      <c r="AC117" s="27"/>
      <c r="AD117" s="27"/>
      <c r="AE117" s="27"/>
      <c r="AF117" s="27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</row>
    <row r="118" spans="2:54" s="28" customFormat="1">
      <c r="B118" s="27"/>
      <c r="D118" s="194"/>
      <c r="E118" s="29"/>
      <c r="G118" s="30"/>
      <c r="H118" s="195"/>
      <c r="I118" s="195"/>
      <c r="J118" s="195"/>
      <c r="X118" s="57"/>
      <c r="Z118" s="92"/>
      <c r="AA118" s="27"/>
      <c r="AB118" s="27"/>
      <c r="AC118" s="27"/>
      <c r="AD118" s="27"/>
      <c r="AE118" s="27"/>
      <c r="AF118" s="27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</row>
    <row r="119" spans="2:54" s="28" customFormat="1">
      <c r="B119" s="27"/>
      <c r="D119" s="194"/>
      <c r="E119" s="29"/>
      <c r="G119" s="30"/>
      <c r="H119" s="195"/>
      <c r="I119" s="195"/>
      <c r="J119" s="195"/>
      <c r="X119" s="57"/>
      <c r="Z119" s="92"/>
      <c r="AA119" s="27"/>
      <c r="AB119" s="27"/>
      <c r="AC119" s="27"/>
      <c r="AD119" s="27"/>
      <c r="AE119" s="27"/>
      <c r="AF119" s="27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</row>
    <row r="120" spans="2:54" s="28" customFormat="1">
      <c r="B120" s="27"/>
      <c r="D120" s="194"/>
      <c r="E120" s="29"/>
      <c r="G120" s="30"/>
      <c r="H120" s="195"/>
      <c r="I120" s="195"/>
      <c r="J120" s="195"/>
      <c r="X120" s="57"/>
      <c r="Z120" s="92"/>
      <c r="AA120" s="27"/>
      <c r="AB120" s="27"/>
      <c r="AC120" s="27"/>
      <c r="AD120" s="27"/>
      <c r="AE120" s="27"/>
      <c r="AF120" s="27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</row>
    <row r="121" spans="2:54" s="28" customFormat="1">
      <c r="B121" s="27"/>
      <c r="D121" s="194"/>
      <c r="E121" s="29"/>
      <c r="G121" s="30"/>
      <c r="H121" s="195"/>
      <c r="I121" s="195"/>
      <c r="J121" s="195"/>
      <c r="X121" s="57"/>
      <c r="Z121" s="92"/>
      <c r="AA121" s="27"/>
      <c r="AB121" s="27"/>
      <c r="AC121" s="27"/>
      <c r="AD121" s="27"/>
      <c r="AE121" s="27"/>
      <c r="AF121" s="27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</row>
    <row r="122" spans="2:54" s="28" customFormat="1">
      <c r="B122" s="27"/>
      <c r="D122" s="194"/>
      <c r="E122" s="29"/>
      <c r="G122" s="30"/>
      <c r="H122" s="195"/>
      <c r="I122" s="195"/>
      <c r="J122" s="195"/>
      <c r="X122" s="57"/>
      <c r="Z122" s="92"/>
      <c r="AA122" s="27"/>
      <c r="AB122" s="27"/>
      <c r="AC122" s="27"/>
      <c r="AD122" s="27"/>
      <c r="AE122" s="27"/>
      <c r="AF122" s="27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</row>
    <row r="123" spans="2:54" s="28" customFormat="1">
      <c r="B123" s="27"/>
      <c r="D123" s="194"/>
      <c r="E123" s="29"/>
      <c r="G123" s="30"/>
      <c r="H123" s="195"/>
      <c r="I123" s="195"/>
      <c r="J123" s="195"/>
      <c r="X123" s="57"/>
      <c r="Z123" s="92"/>
      <c r="AA123" s="27"/>
      <c r="AB123" s="27"/>
      <c r="AC123" s="27"/>
      <c r="AD123" s="27"/>
      <c r="AE123" s="27"/>
      <c r="AF123" s="27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</row>
    <row r="124" spans="2:54" s="28" customFormat="1">
      <c r="B124" s="27"/>
      <c r="D124" s="194"/>
      <c r="E124" s="29"/>
      <c r="G124" s="30"/>
      <c r="H124" s="195"/>
      <c r="I124" s="195"/>
      <c r="J124" s="195"/>
      <c r="X124" s="57"/>
      <c r="Z124" s="92"/>
      <c r="AA124" s="27"/>
      <c r="AB124" s="27"/>
      <c r="AC124" s="27"/>
      <c r="AD124" s="27"/>
      <c r="AE124" s="27"/>
      <c r="AF124" s="27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</row>
    <row r="125" spans="2:54" s="28" customFormat="1">
      <c r="B125" s="27"/>
      <c r="D125" s="194"/>
      <c r="E125" s="29"/>
      <c r="G125" s="30"/>
      <c r="H125" s="195"/>
      <c r="I125" s="195"/>
      <c r="J125" s="195"/>
      <c r="X125" s="57"/>
      <c r="Z125" s="92"/>
      <c r="AA125" s="27"/>
      <c r="AB125" s="27"/>
      <c r="AC125" s="27"/>
      <c r="AD125" s="27"/>
      <c r="AE125" s="27"/>
      <c r="AF125" s="27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</row>
    <row r="126" spans="2:54" s="28" customFormat="1">
      <c r="B126" s="27"/>
      <c r="D126" s="194"/>
      <c r="E126" s="29"/>
      <c r="G126" s="30"/>
      <c r="H126" s="195"/>
      <c r="I126" s="195"/>
      <c r="J126" s="195"/>
      <c r="X126" s="57"/>
      <c r="Z126" s="92"/>
      <c r="AA126" s="27"/>
      <c r="AB126" s="27"/>
      <c r="AC126" s="27"/>
      <c r="AD126" s="27"/>
      <c r="AE126" s="27"/>
      <c r="AF126" s="27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</row>
    <row r="127" spans="2:54" s="28" customFormat="1">
      <c r="B127" s="27"/>
      <c r="D127" s="194"/>
      <c r="E127" s="29"/>
      <c r="G127" s="30"/>
      <c r="H127" s="195"/>
      <c r="I127" s="195"/>
      <c r="J127" s="195"/>
      <c r="X127" s="57"/>
      <c r="Z127" s="92"/>
      <c r="AA127" s="27"/>
      <c r="AB127" s="27"/>
      <c r="AC127" s="27"/>
      <c r="AD127" s="27"/>
      <c r="AE127" s="27"/>
      <c r="AF127" s="27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</row>
    <row r="128" spans="2:54" s="28" customFormat="1">
      <c r="B128" s="27"/>
      <c r="D128" s="194"/>
      <c r="E128" s="29"/>
      <c r="G128" s="30"/>
      <c r="H128" s="195"/>
      <c r="I128" s="195"/>
      <c r="J128" s="195"/>
      <c r="X128" s="57"/>
      <c r="Z128" s="92"/>
      <c r="AA128" s="27"/>
      <c r="AB128" s="27"/>
      <c r="AC128" s="27"/>
      <c r="AD128" s="27"/>
      <c r="AE128" s="27"/>
      <c r="AF128" s="27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</row>
    <row r="129" spans="2:54" s="28" customFormat="1">
      <c r="B129" s="27"/>
      <c r="D129" s="194"/>
      <c r="E129" s="29"/>
      <c r="G129" s="30"/>
      <c r="H129" s="195"/>
      <c r="I129" s="195"/>
      <c r="J129" s="195"/>
      <c r="X129" s="57"/>
      <c r="Z129" s="92"/>
      <c r="AA129" s="27"/>
      <c r="AB129" s="27"/>
      <c r="AC129" s="27"/>
      <c r="AD129" s="27"/>
      <c r="AE129" s="27"/>
      <c r="AF129" s="27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</row>
    <row r="130" spans="2:54" s="28" customFormat="1">
      <c r="B130" s="27"/>
      <c r="D130" s="194"/>
      <c r="E130" s="29"/>
      <c r="G130" s="30"/>
      <c r="H130" s="195"/>
      <c r="I130" s="195"/>
      <c r="J130" s="195"/>
      <c r="X130" s="57"/>
      <c r="Z130" s="92"/>
      <c r="AA130" s="27"/>
      <c r="AB130" s="27"/>
      <c r="AC130" s="27"/>
      <c r="AD130" s="27"/>
      <c r="AE130" s="27"/>
      <c r="AF130" s="27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</row>
    <row r="131" spans="2:54" s="28" customFormat="1">
      <c r="B131" s="27"/>
      <c r="D131" s="194"/>
      <c r="E131" s="29"/>
      <c r="G131" s="30"/>
      <c r="H131" s="195"/>
      <c r="I131" s="195"/>
      <c r="J131" s="195"/>
      <c r="X131" s="57"/>
      <c r="Z131" s="92"/>
      <c r="AA131" s="27"/>
      <c r="AB131" s="27"/>
      <c r="AC131" s="27"/>
      <c r="AD131" s="27"/>
      <c r="AE131" s="27"/>
      <c r="AF131" s="27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</row>
    <row r="132" spans="2:54" s="28" customFormat="1">
      <c r="B132" s="27"/>
      <c r="D132" s="194"/>
      <c r="E132" s="29"/>
      <c r="G132" s="30"/>
      <c r="H132" s="195"/>
      <c r="I132" s="195"/>
      <c r="J132" s="195"/>
      <c r="X132" s="57"/>
      <c r="Z132" s="92"/>
      <c r="AA132" s="27"/>
      <c r="AB132" s="27"/>
      <c r="AC132" s="27"/>
      <c r="AD132" s="27"/>
      <c r="AE132" s="27"/>
      <c r="AF132" s="27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</row>
    <row r="133" spans="2:54" s="28" customFormat="1">
      <c r="B133" s="27"/>
      <c r="D133" s="194"/>
      <c r="E133" s="29"/>
      <c r="G133" s="30"/>
      <c r="H133" s="195"/>
      <c r="I133" s="195"/>
      <c r="J133" s="195"/>
      <c r="X133" s="57"/>
      <c r="Z133" s="92"/>
      <c r="AA133" s="27"/>
      <c r="AB133" s="27"/>
      <c r="AC133" s="27"/>
      <c r="AD133" s="27"/>
      <c r="AE133" s="27"/>
      <c r="AF133" s="27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</row>
    <row r="134" spans="2:54" s="28" customFormat="1">
      <c r="B134" s="27"/>
      <c r="D134" s="194"/>
      <c r="E134" s="29"/>
      <c r="G134" s="30"/>
      <c r="H134" s="195"/>
      <c r="I134" s="195"/>
      <c r="J134" s="195"/>
      <c r="X134" s="57"/>
      <c r="Z134" s="92"/>
      <c r="AA134" s="27"/>
      <c r="AB134" s="27"/>
      <c r="AC134" s="27"/>
      <c r="AD134" s="27"/>
      <c r="AE134" s="27"/>
      <c r="AF134" s="27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</row>
    <row r="135" spans="2:54" s="28" customFormat="1">
      <c r="B135" s="27"/>
      <c r="D135" s="194"/>
      <c r="E135" s="29"/>
      <c r="G135" s="30"/>
      <c r="H135" s="195"/>
      <c r="I135" s="195"/>
      <c r="J135" s="195"/>
      <c r="X135" s="57"/>
      <c r="Z135" s="92"/>
      <c r="AA135" s="27"/>
      <c r="AB135" s="27"/>
      <c r="AC135" s="27"/>
      <c r="AD135" s="27"/>
      <c r="AE135" s="27"/>
      <c r="AF135" s="27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</row>
    <row r="136" spans="2:54" s="28" customFormat="1">
      <c r="B136" s="27"/>
      <c r="D136" s="194"/>
      <c r="E136" s="29"/>
      <c r="G136" s="30"/>
      <c r="H136" s="195"/>
      <c r="I136" s="195"/>
      <c r="J136" s="195"/>
      <c r="X136" s="57"/>
      <c r="Z136" s="92"/>
      <c r="AA136" s="27"/>
      <c r="AB136" s="27"/>
      <c r="AC136" s="27"/>
      <c r="AD136" s="27"/>
      <c r="AE136" s="27"/>
      <c r="AF136" s="27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</row>
    <row r="137" spans="2:54" s="28" customFormat="1">
      <c r="B137" s="27"/>
      <c r="D137" s="194"/>
      <c r="E137" s="29"/>
      <c r="G137" s="30"/>
      <c r="H137" s="195"/>
      <c r="I137" s="195"/>
      <c r="J137" s="195"/>
      <c r="X137" s="57"/>
      <c r="Z137" s="92"/>
      <c r="AA137" s="27"/>
      <c r="AB137" s="27"/>
      <c r="AC137" s="27"/>
      <c r="AD137" s="27"/>
      <c r="AE137" s="27"/>
      <c r="AF137" s="27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</row>
    <row r="138" spans="2:54" s="28" customFormat="1">
      <c r="B138" s="27"/>
      <c r="D138" s="194"/>
      <c r="E138" s="29"/>
      <c r="G138" s="30"/>
      <c r="H138" s="195"/>
      <c r="I138" s="195"/>
      <c r="J138" s="195"/>
      <c r="X138" s="57"/>
      <c r="Z138" s="92"/>
      <c r="AA138" s="27"/>
      <c r="AB138" s="27"/>
      <c r="AC138" s="27"/>
      <c r="AD138" s="27"/>
      <c r="AE138" s="27"/>
      <c r="AF138" s="27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</row>
    <row r="139" spans="2:54" s="28" customFormat="1">
      <c r="B139" s="27"/>
      <c r="D139" s="194"/>
      <c r="E139" s="29"/>
      <c r="G139" s="30"/>
      <c r="H139" s="195"/>
      <c r="I139" s="195"/>
      <c r="J139" s="195"/>
      <c r="X139" s="57"/>
      <c r="Z139" s="92"/>
      <c r="AA139" s="27"/>
      <c r="AB139" s="27"/>
      <c r="AC139" s="27"/>
      <c r="AD139" s="27"/>
      <c r="AE139" s="27"/>
      <c r="AF139" s="27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</row>
    <row r="140" spans="2:54" s="28" customFormat="1">
      <c r="B140" s="27"/>
      <c r="D140" s="194"/>
      <c r="E140" s="29"/>
      <c r="G140" s="30"/>
      <c r="H140" s="195"/>
      <c r="I140" s="195"/>
      <c r="J140" s="195"/>
      <c r="X140" s="57"/>
      <c r="Z140" s="92"/>
      <c r="AA140" s="27"/>
      <c r="AB140" s="27"/>
      <c r="AC140" s="27"/>
      <c r="AD140" s="27"/>
      <c r="AE140" s="27"/>
      <c r="AF140" s="27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</row>
    <row r="141" spans="2:54" s="28" customFormat="1">
      <c r="B141" s="27"/>
      <c r="D141" s="194"/>
      <c r="E141" s="29"/>
      <c r="G141" s="30"/>
      <c r="H141" s="195"/>
      <c r="I141" s="195"/>
      <c r="J141" s="195"/>
      <c r="X141" s="57"/>
      <c r="Z141" s="92"/>
      <c r="AA141" s="27"/>
      <c r="AB141" s="27"/>
      <c r="AC141" s="27"/>
      <c r="AD141" s="27"/>
      <c r="AE141" s="27"/>
      <c r="AF141" s="27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</row>
    <row r="142" spans="2:54" s="28" customFormat="1">
      <c r="B142" s="27"/>
      <c r="D142" s="194"/>
      <c r="E142" s="29"/>
      <c r="G142" s="30"/>
      <c r="H142" s="195"/>
      <c r="I142" s="195"/>
      <c r="J142" s="195"/>
      <c r="X142" s="57"/>
      <c r="Z142" s="92"/>
      <c r="AA142" s="27"/>
      <c r="AB142" s="27"/>
      <c r="AC142" s="27"/>
      <c r="AD142" s="27"/>
      <c r="AE142" s="27"/>
      <c r="AF142" s="27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</row>
    <row r="143" spans="2:54" s="28" customFormat="1">
      <c r="B143" s="27"/>
      <c r="D143" s="194"/>
      <c r="E143" s="29"/>
      <c r="G143" s="30"/>
      <c r="H143" s="195"/>
      <c r="I143" s="195"/>
      <c r="J143" s="195"/>
      <c r="X143" s="57"/>
      <c r="Z143" s="92"/>
      <c r="AA143" s="27"/>
      <c r="AB143" s="27"/>
      <c r="AC143" s="27"/>
      <c r="AD143" s="27"/>
      <c r="AE143" s="27"/>
      <c r="AF143" s="27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</row>
    <row r="144" spans="2:54" s="28" customFormat="1">
      <c r="B144" s="27"/>
      <c r="D144" s="194"/>
      <c r="E144" s="29"/>
      <c r="G144" s="30"/>
      <c r="H144" s="195"/>
      <c r="I144" s="195"/>
      <c r="J144" s="195"/>
      <c r="X144" s="57"/>
      <c r="Z144" s="92"/>
      <c r="AA144" s="27"/>
      <c r="AB144" s="27"/>
      <c r="AC144" s="27"/>
      <c r="AD144" s="27"/>
      <c r="AE144" s="27"/>
      <c r="AF144" s="27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</row>
    <row r="145" spans="2:54" s="28" customFormat="1">
      <c r="B145" s="27"/>
      <c r="D145" s="194"/>
      <c r="E145" s="29"/>
      <c r="G145" s="30"/>
      <c r="H145" s="195"/>
      <c r="I145" s="195"/>
      <c r="J145" s="195"/>
      <c r="X145" s="57"/>
      <c r="Z145" s="92"/>
      <c r="AA145" s="27"/>
      <c r="AB145" s="27"/>
      <c r="AC145" s="27"/>
      <c r="AD145" s="27"/>
      <c r="AE145" s="27"/>
      <c r="AF145" s="27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</row>
    <row r="146" spans="2:54" s="28" customFormat="1">
      <c r="B146" s="27"/>
      <c r="D146" s="194"/>
      <c r="E146" s="29"/>
      <c r="G146" s="30"/>
      <c r="H146" s="195"/>
      <c r="I146" s="195"/>
      <c r="J146" s="195"/>
      <c r="X146" s="57"/>
      <c r="Z146" s="92"/>
      <c r="AA146" s="27"/>
      <c r="AB146" s="27"/>
      <c r="AC146" s="27"/>
      <c r="AD146" s="27"/>
      <c r="AE146" s="27"/>
      <c r="AF146" s="27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</row>
    <row r="147" spans="2:54" s="28" customFormat="1">
      <c r="B147" s="27"/>
      <c r="D147" s="194"/>
      <c r="E147" s="29"/>
      <c r="G147" s="30"/>
      <c r="H147" s="195"/>
      <c r="I147" s="195"/>
      <c r="J147" s="195"/>
      <c r="X147" s="57"/>
      <c r="Z147" s="92"/>
      <c r="AA147" s="27"/>
      <c r="AB147" s="27"/>
      <c r="AC147" s="27"/>
      <c r="AD147" s="27"/>
      <c r="AE147" s="27"/>
      <c r="AF147" s="27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</row>
    <row r="148" spans="2:54" s="28" customFormat="1">
      <c r="B148" s="27"/>
      <c r="D148" s="194"/>
      <c r="E148" s="29"/>
      <c r="G148" s="30"/>
      <c r="H148" s="195"/>
      <c r="I148" s="195"/>
      <c r="J148" s="195"/>
      <c r="X148" s="57"/>
      <c r="Z148" s="92"/>
      <c r="AA148" s="27"/>
      <c r="AB148" s="27"/>
      <c r="AC148" s="27"/>
      <c r="AD148" s="27"/>
      <c r="AE148" s="27"/>
      <c r="AF148" s="27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</row>
    <row r="149" spans="2:54" s="28" customFormat="1">
      <c r="B149" s="27"/>
      <c r="D149" s="194"/>
      <c r="E149" s="29"/>
      <c r="G149" s="30"/>
      <c r="H149" s="195"/>
      <c r="I149" s="195"/>
      <c r="J149" s="195"/>
      <c r="X149" s="57"/>
      <c r="Z149" s="92"/>
      <c r="AA149" s="27"/>
      <c r="AB149" s="27"/>
      <c r="AC149" s="27"/>
      <c r="AD149" s="27"/>
      <c r="AE149" s="27"/>
      <c r="AF149" s="27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</row>
    <row r="150" spans="2:54" s="28" customFormat="1">
      <c r="B150" s="27"/>
      <c r="D150" s="194"/>
      <c r="E150" s="29"/>
      <c r="G150" s="30"/>
      <c r="H150" s="195"/>
      <c r="I150" s="195"/>
      <c r="J150" s="195"/>
      <c r="X150" s="57"/>
      <c r="Z150" s="92"/>
      <c r="AA150" s="27"/>
      <c r="AB150" s="27"/>
      <c r="AC150" s="27"/>
      <c r="AD150" s="27"/>
      <c r="AE150" s="27"/>
      <c r="AF150" s="27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</row>
    <row r="151" spans="2:54" s="28" customFormat="1">
      <c r="B151" s="27"/>
      <c r="D151" s="194"/>
      <c r="E151" s="29"/>
      <c r="G151" s="30"/>
      <c r="H151" s="195"/>
      <c r="I151" s="195"/>
      <c r="J151" s="195"/>
      <c r="X151" s="57"/>
      <c r="Z151" s="92"/>
      <c r="AA151" s="27"/>
      <c r="AB151" s="27"/>
      <c r="AC151" s="27"/>
      <c r="AD151" s="27"/>
      <c r="AE151" s="27"/>
      <c r="AF151" s="27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</row>
    <row r="152" spans="2:54" s="28" customFormat="1">
      <c r="B152" s="27"/>
      <c r="D152" s="194"/>
      <c r="E152" s="29"/>
      <c r="G152" s="30"/>
      <c r="H152" s="195"/>
      <c r="I152" s="195"/>
      <c r="J152" s="195"/>
      <c r="X152" s="57"/>
      <c r="Z152" s="92"/>
      <c r="AA152" s="27"/>
      <c r="AB152" s="27"/>
      <c r="AC152" s="27"/>
      <c r="AD152" s="27"/>
      <c r="AE152" s="27"/>
      <c r="AF152" s="27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</row>
    <row r="153" spans="2:54" s="28" customFormat="1">
      <c r="B153" s="27"/>
      <c r="D153" s="194"/>
      <c r="E153" s="29"/>
      <c r="G153" s="30"/>
      <c r="H153" s="195"/>
      <c r="I153" s="195"/>
      <c r="J153" s="195"/>
      <c r="X153" s="57"/>
      <c r="Z153" s="92"/>
      <c r="AA153" s="27"/>
      <c r="AB153" s="27"/>
      <c r="AC153" s="27"/>
      <c r="AD153" s="27"/>
      <c r="AE153" s="27"/>
      <c r="AF153" s="27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</row>
    <row r="154" spans="2:54" s="28" customFormat="1">
      <c r="B154" s="27"/>
      <c r="D154" s="194"/>
      <c r="E154" s="29"/>
      <c r="G154" s="30"/>
      <c r="H154" s="195"/>
      <c r="I154" s="195"/>
      <c r="J154" s="195"/>
      <c r="X154" s="57"/>
      <c r="Z154" s="92"/>
      <c r="AA154" s="27"/>
      <c r="AB154" s="27"/>
      <c r="AC154" s="27"/>
      <c r="AD154" s="27"/>
      <c r="AE154" s="27"/>
      <c r="AF154" s="27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</row>
    <row r="155" spans="2:54" s="28" customFormat="1">
      <c r="B155" s="27"/>
      <c r="D155" s="194"/>
      <c r="E155" s="29"/>
      <c r="G155" s="30"/>
      <c r="H155" s="195"/>
      <c r="I155" s="195"/>
      <c r="J155" s="195"/>
      <c r="X155" s="57"/>
      <c r="Z155" s="92"/>
      <c r="AA155" s="27"/>
      <c r="AB155" s="27"/>
      <c r="AC155" s="27"/>
      <c r="AD155" s="27"/>
      <c r="AE155" s="27"/>
      <c r="AF155" s="27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</row>
    <row r="156" spans="2:54" s="28" customFormat="1">
      <c r="B156" s="27"/>
      <c r="D156" s="194"/>
      <c r="E156" s="29"/>
      <c r="G156" s="30"/>
      <c r="H156" s="195"/>
      <c r="I156" s="195"/>
      <c r="J156" s="195"/>
      <c r="X156" s="57"/>
      <c r="Z156" s="92"/>
      <c r="AA156" s="27"/>
      <c r="AB156" s="27"/>
      <c r="AC156" s="27"/>
      <c r="AD156" s="27"/>
      <c r="AE156" s="27"/>
      <c r="AF156" s="27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</row>
    <row r="157" spans="2:54" s="28" customFormat="1">
      <c r="B157" s="27"/>
      <c r="D157" s="194"/>
      <c r="E157" s="29"/>
      <c r="G157" s="30"/>
      <c r="H157" s="195"/>
      <c r="I157" s="195"/>
      <c r="J157" s="195"/>
      <c r="X157" s="57"/>
      <c r="Z157" s="92"/>
      <c r="AA157" s="27"/>
      <c r="AB157" s="27"/>
      <c r="AC157" s="27"/>
      <c r="AD157" s="27"/>
      <c r="AE157" s="27"/>
      <c r="AF157" s="27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</row>
    <row r="158" spans="2:54" s="28" customFormat="1">
      <c r="B158" s="27"/>
      <c r="D158" s="194"/>
      <c r="E158" s="29"/>
      <c r="G158" s="30"/>
      <c r="H158" s="195"/>
      <c r="I158" s="195"/>
      <c r="J158" s="195"/>
      <c r="X158" s="57"/>
      <c r="Z158" s="92"/>
      <c r="AA158" s="27"/>
      <c r="AB158" s="27"/>
      <c r="AC158" s="27"/>
      <c r="AD158" s="27"/>
      <c r="AE158" s="27"/>
      <c r="AF158" s="27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</row>
    <row r="159" spans="2:54" s="28" customFormat="1">
      <c r="B159" s="27"/>
      <c r="D159" s="194"/>
      <c r="E159" s="29"/>
      <c r="G159" s="30"/>
      <c r="H159" s="195"/>
      <c r="I159" s="195"/>
      <c r="J159" s="195"/>
      <c r="X159" s="57"/>
      <c r="Z159" s="92"/>
      <c r="AA159" s="27"/>
      <c r="AB159" s="27"/>
      <c r="AC159" s="27"/>
      <c r="AD159" s="27"/>
      <c r="AE159" s="27"/>
      <c r="AF159" s="27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</row>
    <row r="160" spans="2:54" s="28" customFormat="1">
      <c r="B160" s="27"/>
      <c r="D160" s="194"/>
      <c r="E160" s="29"/>
      <c r="G160" s="30"/>
      <c r="H160" s="195"/>
      <c r="I160" s="195"/>
      <c r="J160" s="195"/>
      <c r="X160" s="57"/>
      <c r="Z160" s="92"/>
      <c r="AA160" s="27"/>
      <c r="AB160" s="27"/>
      <c r="AC160" s="27"/>
      <c r="AD160" s="27"/>
      <c r="AE160" s="27"/>
      <c r="AF160" s="27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</row>
    <row r="161" spans="2:54" s="28" customFormat="1">
      <c r="B161" s="27"/>
      <c r="D161" s="194"/>
      <c r="E161" s="29"/>
      <c r="G161" s="30"/>
      <c r="H161" s="195"/>
      <c r="I161" s="195"/>
      <c r="J161" s="195"/>
      <c r="X161" s="57"/>
      <c r="Z161" s="92"/>
      <c r="AA161" s="27"/>
      <c r="AB161" s="27"/>
      <c r="AC161" s="27"/>
      <c r="AD161" s="27"/>
      <c r="AE161" s="27"/>
      <c r="AF161" s="27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</row>
    <row r="162" spans="2:54" s="28" customFormat="1">
      <c r="B162" s="27"/>
      <c r="D162" s="194"/>
      <c r="E162" s="29"/>
      <c r="G162" s="30"/>
      <c r="H162" s="195"/>
      <c r="I162" s="195"/>
      <c r="J162" s="195"/>
      <c r="X162" s="57"/>
      <c r="Z162" s="92"/>
      <c r="AA162" s="27"/>
      <c r="AB162" s="27"/>
      <c r="AC162" s="27"/>
      <c r="AD162" s="27"/>
      <c r="AE162" s="27"/>
      <c r="AF162" s="27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</row>
    <row r="163" spans="2:54" s="28" customFormat="1">
      <c r="B163" s="27"/>
      <c r="D163" s="194"/>
      <c r="E163" s="29"/>
      <c r="G163" s="30"/>
      <c r="H163" s="195"/>
      <c r="I163" s="195"/>
      <c r="J163" s="195"/>
      <c r="X163" s="57"/>
      <c r="Z163" s="92"/>
      <c r="AA163" s="27"/>
      <c r="AB163" s="27"/>
      <c r="AC163" s="27"/>
      <c r="AD163" s="27"/>
      <c r="AE163" s="27"/>
      <c r="AF163" s="27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</row>
    <row r="164" spans="2:54" s="28" customFormat="1">
      <c r="B164" s="27"/>
      <c r="D164" s="194"/>
      <c r="E164" s="29"/>
      <c r="G164" s="30"/>
      <c r="H164" s="195"/>
      <c r="I164" s="195"/>
      <c r="J164" s="195"/>
      <c r="X164" s="57"/>
      <c r="Z164" s="92"/>
      <c r="AA164" s="27"/>
      <c r="AB164" s="27"/>
      <c r="AC164" s="27"/>
      <c r="AD164" s="27"/>
      <c r="AE164" s="27"/>
      <c r="AF164" s="27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</row>
    <row r="165" spans="2:54" s="28" customFormat="1">
      <c r="B165" s="27"/>
      <c r="D165" s="194"/>
      <c r="E165" s="29"/>
      <c r="G165" s="30"/>
      <c r="H165" s="195"/>
      <c r="I165" s="195"/>
      <c r="J165" s="195"/>
      <c r="X165" s="57"/>
      <c r="Z165" s="92"/>
      <c r="AA165" s="27"/>
      <c r="AB165" s="27"/>
      <c r="AC165" s="27"/>
      <c r="AD165" s="27"/>
      <c r="AE165" s="27"/>
      <c r="AF165" s="27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</row>
    <row r="166" spans="2:54" s="28" customFormat="1">
      <c r="B166" s="27"/>
      <c r="D166" s="194"/>
      <c r="E166" s="29"/>
      <c r="G166" s="30"/>
      <c r="H166" s="195"/>
      <c r="I166" s="195"/>
      <c r="J166" s="195"/>
      <c r="X166" s="57"/>
      <c r="Z166" s="92"/>
      <c r="AA166" s="27"/>
      <c r="AB166" s="27"/>
      <c r="AC166" s="27"/>
      <c r="AD166" s="27"/>
      <c r="AE166" s="27"/>
      <c r="AF166" s="27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</row>
    <row r="167" spans="2:54" s="28" customFormat="1">
      <c r="B167" s="27"/>
      <c r="D167" s="194"/>
      <c r="E167" s="29"/>
      <c r="G167" s="30"/>
      <c r="H167" s="195"/>
      <c r="I167" s="195"/>
      <c r="J167" s="195"/>
      <c r="X167" s="57"/>
      <c r="Z167" s="92"/>
      <c r="AA167" s="27"/>
      <c r="AB167" s="27"/>
      <c r="AC167" s="27"/>
      <c r="AD167" s="27"/>
      <c r="AE167" s="27"/>
      <c r="AF167" s="27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</row>
    <row r="168" spans="2:54" s="28" customFormat="1">
      <c r="B168" s="27"/>
      <c r="D168" s="194"/>
      <c r="E168" s="29"/>
      <c r="G168" s="30"/>
      <c r="H168" s="195"/>
      <c r="I168" s="195"/>
      <c r="J168" s="195"/>
      <c r="X168" s="57"/>
      <c r="Z168" s="92"/>
      <c r="AA168" s="27"/>
      <c r="AB168" s="27"/>
      <c r="AC168" s="27"/>
      <c r="AD168" s="27"/>
      <c r="AE168" s="27"/>
      <c r="AF168" s="27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</row>
    <row r="169" spans="2:54" s="28" customFormat="1">
      <c r="B169" s="27"/>
      <c r="D169" s="194"/>
      <c r="E169" s="29"/>
      <c r="G169" s="30"/>
      <c r="H169" s="195"/>
      <c r="I169" s="195"/>
      <c r="J169" s="195"/>
      <c r="X169" s="57"/>
      <c r="Z169" s="92"/>
      <c r="AA169" s="27"/>
      <c r="AB169" s="27"/>
      <c r="AC169" s="27"/>
      <c r="AD169" s="27"/>
      <c r="AE169" s="27"/>
      <c r="AF169" s="27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</row>
    <row r="170" spans="2:54" s="28" customFormat="1">
      <c r="B170" s="27"/>
      <c r="D170" s="194"/>
      <c r="E170" s="29"/>
      <c r="G170" s="30"/>
      <c r="H170" s="195"/>
      <c r="I170" s="195"/>
      <c r="J170" s="195"/>
      <c r="X170" s="57"/>
      <c r="Z170" s="92"/>
      <c r="AA170" s="27"/>
      <c r="AB170" s="27"/>
      <c r="AC170" s="27"/>
      <c r="AD170" s="27"/>
      <c r="AE170" s="27"/>
      <c r="AF170" s="27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</row>
    <row r="171" spans="2:54" s="28" customFormat="1">
      <c r="B171" s="27"/>
      <c r="D171" s="194"/>
      <c r="E171" s="29"/>
      <c r="G171" s="30"/>
      <c r="H171" s="195"/>
      <c r="I171" s="195"/>
      <c r="J171" s="195"/>
      <c r="X171" s="57"/>
      <c r="Z171" s="92"/>
      <c r="AA171" s="27"/>
      <c r="AB171" s="27"/>
      <c r="AC171" s="27"/>
      <c r="AD171" s="27"/>
      <c r="AE171" s="27"/>
      <c r="AF171" s="27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</row>
    <row r="172" spans="2:54" s="28" customFormat="1">
      <c r="B172" s="27"/>
      <c r="D172" s="194"/>
      <c r="E172" s="29"/>
      <c r="G172" s="30"/>
      <c r="H172" s="195"/>
      <c r="I172" s="195"/>
      <c r="J172" s="195"/>
      <c r="X172" s="57"/>
      <c r="Z172" s="92"/>
      <c r="AA172" s="27"/>
      <c r="AB172" s="27"/>
      <c r="AC172" s="27"/>
      <c r="AD172" s="27"/>
      <c r="AE172" s="27"/>
      <c r="AF172" s="27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</row>
    <row r="173" spans="2:54" s="28" customFormat="1">
      <c r="B173" s="27"/>
      <c r="D173" s="194"/>
      <c r="E173" s="29"/>
      <c r="G173" s="30"/>
      <c r="H173" s="195"/>
      <c r="I173" s="195"/>
      <c r="J173" s="195"/>
      <c r="X173" s="57"/>
      <c r="Z173" s="92"/>
      <c r="AA173" s="27"/>
      <c r="AB173" s="27"/>
      <c r="AC173" s="27"/>
      <c r="AD173" s="27"/>
      <c r="AE173" s="27"/>
      <c r="AF173" s="27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</row>
    <row r="174" spans="2:54" s="28" customFormat="1">
      <c r="B174" s="27"/>
      <c r="D174" s="194"/>
      <c r="E174" s="29"/>
      <c r="G174" s="30"/>
      <c r="H174" s="195"/>
      <c r="I174" s="195"/>
      <c r="J174" s="195"/>
      <c r="X174" s="57"/>
      <c r="Z174" s="92"/>
      <c r="AA174" s="27"/>
      <c r="AB174" s="27"/>
      <c r="AC174" s="27"/>
      <c r="AD174" s="27"/>
      <c r="AE174" s="27"/>
      <c r="AF174" s="27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</row>
    <row r="175" spans="2:54" s="28" customFormat="1">
      <c r="B175" s="27"/>
      <c r="D175" s="194"/>
      <c r="E175" s="29"/>
      <c r="G175" s="30"/>
      <c r="H175" s="195"/>
      <c r="I175" s="195"/>
      <c r="J175" s="195"/>
      <c r="X175" s="57"/>
      <c r="Z175" s="92"/>
      <c r="AA175" s="27"/>
      <c r="AB175" s="27"/>
      <c r="AC175" s="27"/>
      <c r="AD175" s="27"/>
      <c r="AE175" s="27"/>
      <c r="AF175" s="27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</row>
    <row r="176" spans="2:54" s="28" customFormat="1">
      <c r="B176" s="27"/>
      <c r="D176" s="194"/>
      <c r="E176" s="29"/>
      <c r="G176" s="30"/>
      <c r="H176" s="195"/>
      <c r="I176" s="195"/>
      <c r="J176" s="195"/>
      <c r="X176" s="57"/>
      <c r="Z176" s="92"/>
      <c r="AA176" s="27"/>
      <c r="AB176" s="27"/>
      <c r="AC176" s="27"/>
      <c r="AD176" s="27"/>
      <c r="AE176" s="27"/>
      <c r="AF176" s="27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</row>
    <row r="177" spans="2:54" s="28" customFormat="1">
      <c r="B177" s="27"/>
      <c r="D177" s="194"/>
      <c r="E177" s="29"/>
      <c r="G177" s="30"/>
      <c r="H177" s="195"/>
      <c r="I177" s="195"/>
      <c r="J177" s="195"/>
      <c r="X177" s="57"/>
      <c r="Z177" s="92"/>
      <c r="AA177" s="27"/>
      <c r="AB177" s="27"/>
      <c r="AC177" s="27"/>
      <c r="AD177" s="27"/>
      <c r="AE177" s="27"/>
      <c r="AF177" s="27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</row>
    <row r="178" spans="2:54" s="28" customFormat="1">
      <c r="B178" s="27"/>
      <c r="D178" s="194"/>
      <c r="E178" s="29"/>
      <c r="G178" s="30"/>
      <c r="H178" s="195"/>
      <c r="I178" s="195"/>
      <c r="J178" s="195"/>
      <c r="X178" s="57"/>
      <c r="Z178" s="92"/>
      <c r="AA178" s="27"/>
      <c r="AB178" s="27"/>
      <c r="AC178" s="27"/>
      <c r="AD178" s="27"/>
      <c r="AE178" s="27"/>
      <c r="AF178" s="27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</row>
    <row r="179" spans="2:54" s="28" customFormat="1">
      <c r="B179" s="27"/>
      <c r="D179" s="194"/>
      <c r="E179" s="29"/>
      <c r="G179" s="30"/>
      <c r="H179" s="195"/>
      <c r="I179" s="195"/>
      <c r="J179" s="195"/>
      <c r="X179" s="57"/>
      <c r="Z179" s="92"/>
      <c r="AA179" s="27"/>
      <c r="AB179" s="27"/>
      <c r="AC179" s="27"/>
      <c r="AD179" s="27"/>
      <c r="AE179" s="27"/>
      <c r="AF179" s="27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</row>
    <row r="180" spans="2:54" s="28" customFormat="1">
      <c r="B180" s="27"/>
      <c r="D180" s="194"/>
      <c r="E180" s="29"/>
      <c r="G180" s="30"/>
      <c r="H180" s="195"/>
      <c r="I180" s="195"/>
      <c r="J180" s="195"/>
      <c r="X180" s="57"/>
      <c r="Z180" s="92"/>
      <c r="AA180" s="27"/>
      <c r="AB180" s="27"/>
      <c r="AC180" s="27"/>
      <c r="AD180" s="27"/>
      <c r="AE180" s="27"/>
      <c r="AF180" s="27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</row>
    <row r="181" spans="2:54" s="28" customFormat="1">
      <c r="B181" s="27"/>
      <c r="D181" s="194"/>
      <c r="E181" s="29"/>
      <c r="G181" s="30"/>
      <c r="H181" s="195"/>
      <c r="I181" s="195"/>
      <c r="J181" s="195"/>
      <c r="X181" s="57"/>
      <c r="Z181" s="92"/>
      <c r="AA181" s="27"/>
      <c r="AB181" s="27"/>
      <c r="AC181" s="27"/>
      <c r="AD181" s="27"/>
      <c r="AE181" s="27"/>
      <c r="AF181" s="27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</row>
    <row r="182" spans="2:54" s="28" customFormat="1">
      <c r="B182" s="27"/>
      <c r="D182" s="194"/>
      <c r="E182" s="29"/>
      <c r="G182" s="30"/>
      <c r="H182" s="195"/>
      <c r="I182" s="195"/>
      <c r="J182" s="195"/>
      <c r="X182" s="57"/>
      <c r="Z182" s="92"/>
      <c r="AA182" s="27"/>
      <c r="AB182" s="27"/>
      <c r="AC182" s="27"/>
      <c r="AD182" s="27"/>
      <c r="AE182" s="27"/>
      <c r="AF182" s="27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</row>
    <row r="183" spans="2:54" s="28" customFormat="1">
      <c r="B183" s="27"/>
      <c r="D183" s="194"/>
      <c r="E183" s="29"/>
      <c r="G183" s="30"/>
      <c r="H183" s="195"/>
      <c r="I183" s="195"/>
      <c r="J183" s="195"/>
      <c r="X183" s="57"/>
      <c r="Z183" s="92"/>
      <c r="AA183" s="27"/>
      <c r="AB183" s="27"/>
      <c r="AC183" s="27"/>
      <c r="AD183" s="27"/>
      <c r="AE183" s="27"/>
      <c r="AF183" s="27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</row>
    <row r="184" spans="2:54" s="28" customFormat="1">
      <c r="B184" s="27"/>
      <c r="D184" s="194"/>
      <c r="E184" s="29"/>
      <c r="G184" s="30"/>
      <c r="H184" s="195"/>
      <c r="I184" s="195"/>
      <c r="J184" s="195"/>
      <c r="X184" s="57"/>
      <c r="Z184" s="92"/>
      <c r="AA184" s="27"/>
      <c r="AB184" s="27"/>
      <c r="AC184" s="27"/>
      <c r="AD184" s="27"/>
      <c r="AE184" s="27"/>
      <c r="AF184" s="27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</row>
    <row r="185" spans="2:54" s="28" customFormat="1">
      <c r="B185" s="27"/>
      <c r="D185" s="194"/>
      <c r="E185" s="29"/>
      <c r="G185" s="30"/>
      <c r="H185" s="195"/>
      <c r="I185" s="195"/>
      <c r="J185" s="195"/>
      <c r="X185" s="57"/>
      <c r="Z185" s="92"/>
      <c r="AA185" s="27"/>
      <c r="AB185" s="27"/>
      <c r="AC185" s="27"/>
      <c r="AD185" s="27"/>
      <c r="AE185" s="27"/>
      <c r="AF185" s="27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</row>
    <row r="186" spans="2:54" s="28" customFormat="1">
      <c r="B186" s="27"/>
      <c r="D186" s="194"/>
      <c r="E186" s="29"/>
      <c r="G186" s="30"/>
      <c r="H186" s="195"/>
      <c r="I186" s="195"/>
      <c r="J186" s="195"/>
      <c r="X186" s="57"/>
      <c r="Z186" s="92"/>
      <c r="AA186" s="27"/>
      <c r="AB186" s="27"/>
      <c r="AC186" s="27"/>
      <c r="AD186" s="27"/>
      <c r="AE186" s="27"/>
      <c r="AF186" s="27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</row>
    <row r="187" spans="2:54" s="28" customFormat="1">
      <c r="B187" s="27"/>
      <c r="D187" s="194"/>
      <c r="E187" s="29"/>
      <c r="G187" s="30"/>
      <c r="H187" s="195"/>
      <c r="I187" s="195"/>
      <c r="J187" s="195"/>
      <c r="X187" s="57"/>
      <c r="Z187" s="92"/>
      <c r="AA187" s="27"/>
      <c r="AB187" s="27"/>
      <c r="AC187" s="27"/>
      <c r="AD187" s="27"/>
      <c r="AE187" s="27"/>
      <c r="AF187" s="27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</row>
    <row r="188" spans="2:54" s="28" customFormat="1">
      <c r="B188" s="27"/>
      <c r="D188" s="194"/>
      <c r="E188" s="29"/>
      <c r="G188" s="30"/>
      <c r="H188" s="195"/>
      <c r="I188" s="195"/>
      <c r="J188" s="195"/>
      <c r="X188" s="57"/>
      <c r="Z188" s="92"/>
      <c r="AA188" s="27"/>
      <c r="AB188" s="27"/>
      <c r="AC188" s="27"/>
      <c r="AD188" s="27"/>
      <c r="AE188" s="27"/>
      <c r="AF188" s="27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</row>
    <row r="189" spans="2:54" s="28" customFormat="1">
      <c r="B189" s="27"/>
      <c r="D189" s="194"/>
      <c r="E189" s="29"/>
      <c r="G189" s="30"/>
      <c r="H189" s="195"/>
      <c r="I189" s="195"/>
      <c r="J189" s="195"/>
      <c r="X189" s="57"/>
      <c r="Z189" s="92"/>
      <c r="AA189" s="27"/>
      <c r="AB189" s="27"/>
      <c r="AC189" s="27"/>
      <c r="AD189" s="27"/>
      <c r="AE189" s="27"/>
      <c r="AF189" s="27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</row>
    <row r="190" spans="2:54" s="28" customFormat="1">
      <c r="B190" s="27"/>
      <c r="D190" s="194"/>
      <c r="E190" s="29"/>
      <c r="G190" s="30"/>
      <c r="H190" s="195"/>
      <c r="I190" s="195"/>
      <c r="J190" s="195"/>
      <c r="X190" s="57"/>
      <c r="Z190" s="92"/>
      <c r="AA190" s="27"/>
      <c r="AB190" s="27"/>
      <c r="AC190" s="27"/>
      <c r="AD190" s="27"/>
      <c r="AE190" s="27"/>
      <c r="AF190" s="27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</row>
    <row r="191" spans="2:54" s="28" customFormat="1">
      <c r="B191" s="27"/>
      <c r="D191" s="194"/>
      <c r="E191" s="29"/>
      <c r="G191" s="30"/>
      <c r="H191" s="195"/>
      <c r="I191" s="195"/>
      <c r="J191" s="195"/>
      <c r="X191" s="57"/>
      <c r="Z191" s="92"/>
      <c r="AA191" s="27"/>
      <c r="AB191" s="27"/>
      <c r="AC191" s="27"/>
      <c r="AD191" s="27"/>
      <c r="AE191" s="27"/>
      <c r="AF191" s="27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</row>
    <row r="192" spans="2:54" s="28" customFormat="1">
      <c r="B192" s="27"/>
      <c r="D192" s="194"/>
      <c r="E192" s="29"/>
      <c r="G192" s="30"/>
      <c r="H192" s="195"/>
      <c r="I192" s="195"/>
      <c r="J192" s="195"/>
      <c r="X192" s="57"/>
      <c r="Z192" s="92"/>
      <c r="AA192" s="27"/>
      <c r="AB192" s="27"/>
      <c r="AC192" s="27"/>
      <c r="AD192" s="27"/>
      <c r="AE192" s="27"/>
      <c r="AF192" s="27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</row>
    <row r="193" spans="2:54" s="28" customFormat="1">
      <c r="B193" s="27"/>
      <c r="D193" s="194"/>
      <c r="E193" s="29"/>
      <c r="G193" s="30"/>
      <c r="H193" s="195"/>
      <c r="I193" s="195"/>
      <c r="J193" s="195"/>
      <c r="X193" s="57"/>
      <c r="Z193" s="92"/>
      <c r="AA193" s="27"/>
      <c r="AB193" s="27"/>
      <c r="AC193" s="27"/>
      <c r="AD193" s="27"/>
      <c r="AE193" s="27"/>
      <c r="AF193" s="27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</row>
    <row r="194" spans="2:54" s="28" customFormat="1">
      <c r="B194" s="27"/>
      <c r="D194" s="194"/>
      <c r="E194" s="29"/>
      <c r="G194" s="30"/>
      <c r="H194" s="195"/>
      <c r="I194" s="195"/>
      <c r="J194" s="195"/>
      <c r="X194" s="57"/>
      <c r="Z194" s="92"/>
      <c r="AA194" s="27"/>
      <c r="AB194" s="27"/>
      <c r="AC194" s="27"/>
      <c r="AD194" s="27"/>
      <c r="AE194" s="27"/>
      <c r="AF194" s="27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</row>
    <row r="195" spans="2:54" s="28" customFormat="1">
      <c r="B195" s="27"/>
      <c r="D195" s="194"/>
      <c r="E195" s="29"/>
      <c r="G195" s="30"/>
      <c r="H195" s="195"/>
      <c r="I195" s="195"/>
      <c r="J195" s="195"/>
      <c r="X195" s="57"/>
      <c r="Z195" s="92"/>
      <c r="AA195" s="27"/>
      <c r="AB195" s="27"/>
      <c r="AC195" s="27"/>
      <c r="AD195" s="27"/>
      <c r="AE195" s="27"/>
      <c r="AF195" s="27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</row>
    <row r="196" spans="2:54" s="28" customFormat="1">
      <c r="B196" s="27"/>
      <c r="D196" s="194"/>
      <c r="E196" s="29"/>
      <c r="G196" s="30"/>
      <c r="H196" s="195"/>
      <c r="I196" s="195"/>
      <c r="J196" s="195"/>
      <c r="X196" s="57"/>
      <c r="Z196" s="92"/>
      <c r="AA196" s="27"/>
      <c r="AB196" s="27"/>
      <c r="AC196" s="27"/>
      <c r="AD196" s="27"/>
      <c r="AE196" s="27"/>
      <c r="AF196" s="27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</row>
    <row r="197" spans="2:54" s="28" customFormat="1">
      <c r="B197" s="27"/>
      <c r="D197" s="194"/>
      <c r="E197" s="29"/>
      <c r="G197" s="30"/>
      <c r="H197" s="195"/>
      <c r="I197" s="195"/>
      <c r="J197" s="195"/>
      <c r="X197" s="57"/>
      <c r="Z197" s="92"/>
      <c r="AA197" s="27"/>
      <c r="AB197" s="27"/>
      <c r="AC197" s="27"/>
      <c r="AD197" s="27"/>
      <c r="AE197" s="27"/>
      <c r="AF197" s="27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</row>
    <row r="198" spans="2:54" s="28" customFormat="1">
      <c r="B198" s="27"/>
      <c r="D198" s="194"/>
      <c r="E198" s="29"/>
      <c r="G198" s="30"/>
      <c r="H198" s="195"/>
      <c r="I198" s="195"/>
      <c r="J198" s="195"/>
      <c r="X198" s="57"/>
      <c r="Z198" s="92"/>
      <c r="AA198" s="27"/>
      <c r="AB198" s="27"/>
      <c r="AC198" s="27"/>
      <c r="AD198" s="27"/>
      <c r="AE198" s="27"/>
      <c r="AF198" s="27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</row>
    <row r="199" spans="2:54" s="28" customFormat="1">
      <c r="B199" s="27"/>
      <c r="D199" s="194"/>
      <c r="E199" s="29"/>
      <c r="G199" s="30"/>
      <c r="H199" s="195"/>
      <c r="I199" s="195"/>
      <c r="J199" s="195"/>
      <c r="X199" s="57"/>
      <c r="Z199" s="92"/>
      <c r="AA199" s="27"/>
      <c r="AB199" s="27"/>
      <c r="AC199" s="27"/>
      <c r="AD199" s="27"/>
      <c r="AE199" s="27"/>
      <c r="AF199" s="27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</row>
    <row r="200" spans="2:54" s="28" customFormat="1">
      <c r="B200" s="27"/>
      <c r="D200" s="194"/>
      <c r="E200" s="29"/>
      <c r="G200" s="30"/>
      <c r="H200" s="195"/>
      <c r="I200" s="195"/>
      <c r="J200" s="195"/>
      <c r="X200" s="57"/>
      <c r="Z200" s="92"/>
      <c r="AA200" s="27"/>
      <c r="AB200" s="27"/>
      <c r="AC200" s="27"/>
      <c r="AD200" s="27"/>
      <c r="AE200" s="27"/>
      <c r="AF200" s="27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</row>
    <row r="201" spans="2:54" s="28" customFormat="1">
      <c r="B201" s="27"/>
      <c r="D201" s="194"/>
      <c r="E201" s="29"/>
      <c r="G201" s="30"/>
      <c r="H201" s="195"/>
      <c r="I201" s="195"/>
      <c r="J201" s="195"/>
      <c r="X201" s="57"/>
      <c r="Z201" s="92"/>
      <c r="AA201" s="27"/>
      <c r="AB201" s="27"/>
      <c r="AC201" s="27"/>
      <c r="AD201" s="27"/>
      <c r="AE201" s="27"/>
      <c r="AF201" s="27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</row>
    <row r="202" spans="2:54" s="28" customFormat="1">
      <c r="B202" s="27"/>
      <c r="D202" s="194"/>
      <c r="E202" s="29"/>
      <c r="G202" s="30"/>
      <c r="H202" s="195"/>
      <c r="I202" s="195"/>
      <c r="J202" s="195"/>
      <c r="X202" s="57"/>
      <c r="Z202" s="92"/>
      <c r="AA202" s="27"/>
      <c r="AB202" s="27"/>
      <c r="AC202" s="27"/>
      <c r="AD202" s="27"/>
      <c r="AE202" s="27"/>
      <c r="AF202" s="27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</row>
    <row r="203" spans="2:54" s="28" customFormat="1">
      <c r="B203" s="27"/>
      <c r="D203" s="194"/>
      <c r="E203" s="29"/>
      <c r="G203" s="30"/>
      <c r="H203" s="195"/>
      <c r="I203" s="195"/>
      <c r="J203" s="195"/>
      <c r="X203" s="57"/>
      <c r="Z203" s="92"/>
      <c r="AA203" s="27"/>
      <c r="AB203" s="27"/>
      <c r="AC203" s="27"/>
      <c r="AD203" s="27"/>
      <c r="AE203" s="27"/>
      <c r="AF203" s="27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</row>
    <row r="204" spans="2:54" s="28" customFormat="1">
      <c r="B204" s="27"/>
      <c r="D204" s="194"/>
      <c r="E204" s="29"/>
      <c r="G204" s="30"/>
      <c r="H204" s="195"/>
      <c r="I204" s="195"/>
      <c r="J204" s="195"/>
      <c r="X204" s="57"/>
      <c r="Z204" s="92"/>
      <c r="AA204" s="27"/>
      <c r="AB204" s="27"/>
      <c r="AC204" s="27"/>
      <c r="AD204" s="27"/>
      <c r="AE204" s="27"/>
      <c r="AF204" s="27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</row>
    <row r="205" spans="2:54" s="28" customFormat="1">
      <c r="B205" s="27"/>
      <c r="D205" s="194"/>
      <c r="E205" s="29"/>
      <c r="G205" s="30"/>
      <c r="H205" s="195"/>
      <c r="I205" s="195"/>
      <c r="J205" s="195"/>
      <c r="X205" s="57"/>
      <c r="Z205" s="92"/>
      <c r="AA205" s="27"/>
      <c r="AB205" s="27"/>
      <c r="AC205" s="27"/>
      <c r="AD205" s="27"/>
      <c r="AE205" s="27"/>
      <c r="AF205" s="27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</row>
    <row r="206" spans="2:54" s="28" customFormat="1">
      <c r="B206" s="27"/>
      <c r="D206" s="194"/>
      <c r="E206" s="29"/>
      <c r="G206" s="30"/>
      <c r="H206" s="195"/>
      <c r="I206" s="195"/>
      <c r="J206" s="195"/>
      <c r="X206" s="57"/>
      <c r="Z206" s="92"/>
      <c r="AA206" s="27"/>
      <c r="AB206" s="27"/>
      <c r="AC206" s="27"/>
      <c r="AD206" s="27"/>
      <c r="AE206" s="27"/>
      <c r="AF206" s="27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</row>
    <row r="207" spans="2:54" s="28" customFormat="1">
      <c r="B207" s="27"/>
      <c r="D207" s="194"/>
      <c r="E207" s="29"/>
      <c r="G207" s="30"/>
      <c r="H207" s="195"/>
      <c r="I207" s="195"/>
      <c r="J207" s="195"/>
      <c r="X207" s="57"/>
      <c r="Z207" s="92"/>
      <c r="AA207" s="27"/>
      <c r="AB207" s="27"/>
      <c r="AC207" s="27"/>
      <c r="AD207" s="27"/>
      <c r="AE207" s="27"/>
      <c r="AF207" s="27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</row>
    <row r="208" spans="2:54" s="28" customFormat="1">
      <c r="B208" s="27"/>
      <c r="D208" s="194"/>
      <c r="E208" s="29"/>
      <c r="G208" s="30"/>
      <c r="H208" s="195"/>
      <c r="I208" s="195"/>
      <c r="J208" s="195"/>
      <c r="X208" s="57"/>
      <c r="Z208" s="92"/>
      <c r="AA208" s="27"/>
      <c r="AB208" s="27"/>
      <c r="AC208" s="27"/>
      <c r="AD208" s="27"/>
      <c r="AE208" s="27"/>
      <c r="AF208" s="27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</row>
    <row r="209" spans="2:54" s="28" customFormat="1">
      <c r="B209" s="27"/>
      <c r="D209" s="194"/>
      <c r="E209" s="29"/>
      <c r="G209" s="30"/>
      <c r="H209" s="195"/>
      <c r="I209" s="195"/>
      <c r="J209" s="195"/>
      <c r="X209" s="57"/>
      <c r="Z209" s="92"/>
      <c r="AA209" s="27"/>
      <c r="AB209" s="27"/>
      <c r="AC209" s="27"/>
      <c r="AD209" s="27"/>
      <c r="AE209" s="27"/>
      <c r="AF209" s="27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</row>
    <row r="210" spans="2:54" s="28" customFormat="1">
      <c r="B210" s="27"/>
      <c r="D210" s="194"/>
      <c r="E210" s="29"/>
      <c r="G210" s="30"/>
      <c r="H210" s="195"/>
      <c r="I210" s="195"/>
      <c r="J210" s="195"/>
      <c r="X210" s="57"/>
      <c r="Z210" s="92"/>
      <c r="AA210" s="27"/>
      <c r="AB210" s="27"/>
      <c r="AC210" s="27"/>
      <c r="AD210" s="27"/>
      <c r="AE210" s="27"/>
      <c r="AF210" s="27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</row>
    <row r="211" spans="2:54" s="28" customFormat="1">
      <c r="B211" s="27"/>
      <c r="D211" s="194"/>
      <c r="E211" s="29"/>
      <c r="G211" s="30"/>
      <c r="H211" s="195"/>
      <c r="I211" s="195"/>
      <c r="J211" s="195"/>
      <c r="X211" s="57"/>
      <c r="Z211" s="92"/>
      <c r="AA211" s="27"/>
      <c r="AB211" s="27"/>
      <c r="AC211" s="27"/>
      <c r="AD211" s="27"/>
      <c r="AE211" s="27"/>
      <c r="AF211" s="27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</row>
    <row r="212" spans="2:54" s="28" customFormat="1">
      <c r="B212" s="27"/>
      <c r="D212" s="194"/>
      <c r="E212" s="29"/>
      <c r="G212" s="30"/>
      <c r="H212" s="195"/>
      <c r="I212" s="195"/>
      <c r="J212" s="195"/>
      <c r="X212" s="57"/>
      <c r="Z212" s="92"/>
      <c r="AA212" s="27"/>
      <c r="AB212" s="27"/>
      <c r="AC212" s="27"/>
      <c r="AD212" s="27"/>
      <c r="AE212" s="27"/>
      <c r="AF212" s="27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</row>
    <row r="213" spans="2:54" s="28" customFormat="1">
      <c r="B213" s="27"/>
      <c r="D213" s="194"/>
      <c r="E213" s="29"/>
      <c r="G213" s="30"/>
      <c r="H213" s="195"/>
      <c r="I213" s="195"/>
      <c r="J213" s="195"/>
      <c r="X213" s="57"/>
      <c r="Z213" s="92"/>
      <c r="AA213" s="27"/>
      <c r="AB213" s="27"/>
      <c r="AC213" s="27"/>
      <c r="AD213" s="27"/>
      <c r="AE213" s="27"/>
      <c r="AF213" s="27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</row>
    <row r="214" spans="2:54" s="28" customFormat="1">
      <c r="B214" s="27"/>
      <c r="D214" s="194"/>
      <c r="E214" s="29"/>
      <c r="G214" s="30"/>
      <c r="H214" s="195"/>
      <c r="I214" s="195"/>
      <c r="J214" s="195"/>
      <c r="X214" s="57"/>
      <c r="Z214" s="92"/>
      <c r="AA214" s="27"/>
      <c r="AB214" s="27"/>
      <c r="AC214" s="27"/>
      <c r="AD214" s="27"/>
      <c r="AE214" s="27"/>
      <c r="AF214" s="27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</row>
    <row r="215" spans="2:54" s="28" customFormat="1">
      <c r="B215" s="27"/>
      <c r="D215" s="194"/>
      <c r="E215" s="29"/>
      <c r="G215" s="30"/>
      <c r="H215" s="195"/>
      <c r="I215" s="195"/>
      <c r="J215" s="195"/>
      <c r="X215" s="57"/>
      <c r="Z215" s="92"/>
      <c r="AA215" s="27"/>
      <c r="AB215" s="27"/>
      <c r="AC215" s="27"/>
      <c r="AD215" s="27"/>
      <c r="AE215" s="27"/>
      <c r="AF215" s="27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</row>
    <row r="216" spans="2:54" s="28" customFormat="1">
      <c r="B216" s="27"/>
      <c r="D216" s="194"/>
      <c r="E216" s="29"/>
      <c r="G216" s="30"/>
      <c r="H216" s="195"/>
      <c r="I216" s="195"/>
      <c r="J216" s="195"/>
      <c r="X216" s="57"/>
      <c r="Z216" s="92"/>
      <c r="AA216" s="27"/>
      <c r="AB216" s="27"/>
      <c r="AC216" s="27"/>
      <c r="AD216" s="27"/>
      <c r="AE216" s="27"/>
      <c r="AF216" s="27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</row>
    <row r="217" spans="2:54" s="28" customFormat="1">
      <c r="B217" s="27"/>
      <c r="D217" s="194"/>
      <c r="E217" s="29"/>
      <c r="G217" s="30"/>
      <c r="H217" s="195"/>
      <c r="I217" s="195"/>
      <c r="J217" s="195"/>
      <c r="X217" s="57"/>
      <c r="Z217" s="92"/>
      <c r="AA217" s="27"/>
      <c r="AB217" s="27"/>
      <c r="AC217" s="27"/>
      <c r="AD217" s="27"/>
      <c r="AE217" s="27"/>
      <c r="AF217" s="27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</row>
    <row r="218" spans="2:54" s="28" customFormat="1">
      <c r="B218" s="27"/>
      <c r="D218" s="194"/>
      <c r="E218" s="29"/>
      <c r="G218" s="30"/>
      <c r="H218" s="195"/>
      <c r="I218" s="195"/>
      <c r="J218" s="195"/>
      <c r="X218" s="57"/>
      <c r="Z218" s="92"/>
      <c r="AA218" s="27"/>
      <c r="AB218" s="27"/>
      <c r="AC218" s="27"/>
      <c r="AD218" s="27"/>
      <c r="AE218" s="27"/>
      <c r="AF218" s="27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</row>
    <row r="219" spans="2:54" s="28" customFormat="1">
      <c r="B219" s="27"/>
      <c r="D219" s="194"/>
      <c r="E219" s="29"/>
      <c r="G219" s="30"/>
      <c r="H219" s="195"/>
      <c r="I219" s="195"/>
      <c r="J219" s="195"/>
      <c r="X219" s="57"/>
      <c r="Z219" s="92"/>
      <c r="AA219" s="27"/>
      <c r="AB219" s="27"/>
      <c r="AC219" s="27"/>
      <c r="AD219" s="27"/>
      <c r="AE219" s="27"/>
      <c r="AF219" s="27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</row>
    <row r="220" spans="2:54" s="28" customFormat="1">
      <c r="B220" s="27"/>
      <c r="D220" s="194"/>
      <c r="E220" s="29"/>
      <c r="G220" s="30"/>
      <c r="H220" s="195"/>
      <c r="I220" s="195"/>
      <c r="J220" s="195"/>
      <c r="X220" s="57"/>
      <c r="Z220" s="92"/>
      <c r="AA220" s="27"/>
      <c r="AB220" s="27"/>
      <c r="AC220" s="27"/>
      <c r="AD220" s="27"/>
      <c r="AE220" s="27"/>
      <c r="AF220" s="27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</row>
    <row r="221" spans="2:54" s="28" customFormat="1">
      <c r="B221" s="27"/>
      <c r="D221" s="194"/>
      <c r="E221" s="29"/>
      <c r="G221" s="30"/>
      <c r="H221" s="195"/>
      <c r="I221" s="195"/>
      <c r="J221" s="195"/>
      <c r="X221" s="57"/>
      <c r="Z221" s="92"/>
      <c r="AA221" s="27"/>
      <c r="AB221" s="27"/>
      <c r="AC221" s="27"/>
      <c r="AD221" s="27"/>
      <c r="AE221" s="27"/>
      <c r="AF221" s="27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</row>
    <row r="222" spans="2:54" s="28" customFormat="1">
      <c r="B222" s="27"/>
      <c r="D222" s="194"/>
      <c r="E222" s="29"/>
      <c r="G222" s="30"/>
      <c r="H222" s="195"/>
      <c r="I222" s="195"/>
      <c r="J222" s="195"/>
      <c r="X222" s="57"/>
      <c r="Z222" s="92"/>
      <c r="AA222" s="27"/>
      <c r="AB222" s="27"/>
      <c r="AC222" s="27"/>
      <c r="AD222" s="27"/>
      <c r="AE222" s="27"/>
      <c r="AF222" s="27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</row>
    <row r="223" spans="2:54" s="28" customFormat="1">
      <c r="B223" s="27"/>
      <c r="D223" s="194"/>
      <c r="E223" s="29"/>
      <c r="G223" s="30"/>
      <c r="H223" s="195"/>
      <c r="I223" s="195"/>
      <c r="J223" s="195"/>
      <c r="X223" s="57"/>
      <c r="Z223" s="92"/>
      <c r="AA223" s="27"/>
      <c r="AB223" s="27"/>
      <c r="AC223" s="27"/>
      <c r="AD223" s="27"/>
      <c r="AE223" s="27"/>
      <c r="AF223" s="27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</row>
    <row r="224" spans="2:54" s="28" customFormat="1">
      <c r="B224" s="27"/>
      <c r="D224" s="194"/>
      <c r="E224" s="29"/>
      <c r="G224" s="30"/>
      <c r="H224" s="195"/>
      <c r="I224" s="195"/>
      <c r="J224" s="195"/>
      <c r="X224" s="57"/>
      <c r="Z224" s="92"/>
      <c r="AA224" s="27"/>
      <c r="AB224" s="27"/>
      <c r="AC224" s="27"/>
      <c r="AD224" s="27"/>
      <c r="AE224" s="27"/>
      <c r="AF224" s="27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</row>
    <row r="225" spans="2:54" s="28" customFormat="1">
      <c r="B225" s="27"/>
      <c r="D225" s="194"/>
      <c r="E225" s="29"/>
      <c r="G225" s="30"/>
      <c r="H225" s="195"/>
      <c r="I225" s="195"/>
      <c r="J225" s="195"/>
      <c r="X225" s="57"/>
      <c r="Z225" s="92"/>
      <c r="AA225" s="27"/>
      <c r="AB225" s="27"/>
      <c r="AC225" s="27"/>
      <c r="AD225" s="27"/>
      <c r="AE225" s="27"/>
      <c r="AF225" s="27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</row>
    <row r="226" spans="2:54" s="28" customFormat="1">
      <c r="B226" s="27"/>
      <c r="D226" s="194"/>
      <c r="E226" s="29"/>
      <c r="G226" s="30"/>
      <c r="H226" s="195"/>
      <c r="I226" s="195"/>
      <c r="J226" s="195"/>
      <c r="X226" s="57"/>
      <c r="Z226" s="92"/>
      <c r="AA226" s="27"/>
      <c r="AB226" s="27"/>
      <c r="AC226" s="27"/>
      <c r="AD226" s="27"/>
      <c r="AE226" s="27"/>
      <c r="AF226" s="27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</row>
    <row r="227" spans="2:54" s="28" customFormat="1">
      <c r="B227" s="27"/>
      <c r="D227" s="194"/>
      <c r="E227" s="29"/>
      <c r="G227" s="30"/>
      <c r="H227" s="195"/>
      <c r="I227" s="195"/>
      <c r="J227" s="195"/>
      <c r="X227" s="57"/>
      <c r="Z227" s="92"/>
      <c r="AA227" s="27"/>
      <c r="AB227" s="27"/>
      <c r="AC227" s="27"/>
      <c r="AD227" s="27"/>
      <c r="AE227" s="27"/>
      <c r="AF227" s="27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</row>
    <row r="228" spans="2:54" s="28" customFormat="1">
      <c r="B228" s="27"/>
      <c r="D228" s="194"/>
      <c r="E228" s="29"/>
      <c r="G228" s="30"/>
      <c r="H228" s="195"/>
      <c r="I228" s="195"/>
      <c r="J228" s="195"/>
      <c r="X228" s="57"/>
      <c r="Z228" s="92"/>
      <c r="AA228" s="27"/>
      <c r="AB228" s="27"/>
      <c r="AC228" s="27"/>
      <c r="AD228" s="27"/>
      <c r="AE228" s="27"/>
      <c r="AF228" s="27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</row>
    <row r="229" spans="2:54" s="28" customFormat="1">
      <c r="B229" s="27"/>
      <c r="D229" s="194"/>
      <c r="E229" s="29"/>
      <c r="G229" s="30"/>
      <c r="H229" s="195"/>
      <c r="I229" s="195"/>
      <c r="J229" s="195"/>
      <c r="X229" s="57"/>
      <c r="Z229" s="92"/>
      <c r="AA229" s="27"/>
      <c r="AB229" s="27"/>
      <c r="AC229" s="27"/>
      <c r="AD229" s="27"/>
      <c r="AE229" s="27"/>
      <c r="AF229" s="27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</row>
    <row r="230" spans="2:54" s="28" customFormat="1">
      <c r="B230" s="27"/>
      <c r="D230" s="194"/>
      <c r="E230" s="29"/>
      <c r="G230" s="30"/>
      <c r="H230" s="195"/>
      <c r="I230" s="195"/>
      <c r="J230" s="195"/>
      <c r="X230" s="57"/>
      <c r="Z230" s="92"/>
      <c r="AA230" s="27"/>
      <c r="AB230" s="27"/>
      <c r="AC230" s="27"/>
      <c r="AD230" s="27"/>
      <c r="AE230" s="27"/>
      <c r="AF230" s="27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</row>
    <row r="231" spans="2:54" s="28" customFormat="1">
      <c r="B231" s="27"/>
      <c r="D231" s="194"/>
      <c r="E231" s="29"/>
      <c r="G231" s="30"/>
      <c r="H231" s="195"/>
      <c r="I231" s="195"/>
      <c r="J231" s="195"/>
      <c r="X231" s="57"/>
      <c r="Z231" s="92"/>
      <c r="AA231" s="27"/>
      <c r="AB231" s="27"/>
      <c r="AC231" s="27"/>
      <c r="AD231" s="27"/>
      <c r="AE231" s="27"/>
      <c r="AF231" s="27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</row>
    <row r="232" spans="2:54" s="28" customFormat="1">
      <c r="B232" s="27"/>
      <c r="D232" s="194"/>
      <c r="E232" s="29"/>
      <c r="G232" s="30"/>
      <c r="H232" s="195"/>
      <c r="I232" s="195"/>
      <c r="J232" s="195"/>
      <c r="X232" s="57"/>
      <c r="Z232" s="92"/>
      <c r="AA232" s="27"/>
      <c r="AB232" s="27"/>
      <c r="AC232" s="27"/>
      <c r="AD232" s="27"/>
      <c r="AE232" s="27"/>
      <c r="AF232" s="27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</row>
    <row r="233" spans="2:54" s="28" customFormat="1">
      <c r="B233" s="27"/>
      <c r="D233" s="194"/>
      <c r="E233" s="29"/>
      <c r="G233" s="30"/>
      <c r="H233" s="195"/>
      <c r="I233" s="195"/>
      <c r="J233" s="195"/>
      <c r="X233" s="57"/>
      <c r="Z233" s="92"/>
      <c r="AA233" s="27"/>
      <c r="AB233" s="27"/>
      <c r="AC233" s="27"/>
      <c r="AD233" s="27"/>
      <c r="AE233" s="27"/>
      <c r="AF233" s="27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</row>
    <row r="234" spans="2:54" s="28" customFormat="1">
      <c r="B234" s="27"/>
      <c r="D234" s="194"/>
      <c r="E234" s="29"/>
      <c r="G234" s="30"/>
      <c r="H234" s="195"/>
      <c r="I234" s="195"/>
      <c r="J234" s="195"/>
      <c r="X234" s="57"/>
      <c r="Z234" s="92"/>
      <c r="AA234" s="27"/>
      <c r="AB234" s="27"/>
      <c r="AC234" s="27"/>
      <c r="AD234" s="27"/>
      <c r="AE234" s="27"/>
      <c r="AF234" s="27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</row>
    <row r="235" spans="2:54" s="28" customFormat="1">
      <c r="B235" s="27"/>
      <c r="D235" s="194"/>
      <c r="E235" s="29"/>
      <c r="G235" s="30"/>
      <c r="H235" s="195"/>
      <c r="I235" s="195"/>
      <c r="J235" s="195"/>
      <c r="X235" s="57"/>
      <c r="Z235" s="92"/>
      <c r="AA235" s="27"/>
      <c r="AB235" s="27"/>
      <c r="AC235" s="27"/>
      <c r="AD235" s="27"/>
      <c r="AE235" s="27"/>
      <c r="AF235" s="27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</row>
    <row r="236" spans="2:54" s="28" customFormat="1">
      <c r="B236" s="27"/>
      <c r="D236" s="194"/>
      <c r="E236" s="29"/>
      <c r="G236" s="30"/>
      <c r="H236" s="195"/>
      <c r="I236" s="195"/>
      <c r="J236" s="195"/>
      <c r="X236" s="57"/>
      <c r="Z236" s="92"/>
      <c r="AA236" s="27"/>
      <c r="AB236" s="27"/>
      <c r="AC236" s="27"/>
      <c r="AD236" s="27"/>
      <c r="AE236" s="27"/>
      <c r="AF236" s="27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</row>
    <row r="237" spans="2:54" s="28" customFormat="1">
      <c r="B237" s="27"/>
      <c r="D237" s="194"/>
      <c r="E237" s="29"/>
      <c r="G237" s="30"/>
      <c r="H237" s="195"/>
      <c r="I237" s="195"/>
      <c r="J237" s="195"/>
      <c r="X237" s="57"/>
      <c r="Z237" s="92"/>
      <c r="AA237" s="27"/>
      <c r="AB237" s="27"/>
      <c r="AC237" s="27"/>
      <c r="AD237" s="27"/>
      <c r="AE237" s="27"/>
      <c r="AF237" s="27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</row>
    <row r="238" spans="2:54" s="28" customFormat="1">
      <c r="B238" s="27"/>
      <c r="D238" s="194"/>
      <c r="E238" s="29"/>
      <c r="G238" s="30"/>
      <c r="H238" s="195"/>
      <c r="I238" s="195"/>
      <c r="J238" s="195"/>
      <c r="X238" s="57"/>
      <c r="Z238" s="92"/>
      <c r="AA238" s="27"/>
      <c r="AB238" s="27"/>
      <c r="AC238" s="27"/>
      <c r="AD238" s="27"/>
      <c r="AE238" s="27"/>
      <c r="AF238" s="27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</row>
    <row r="239" spans="2:54" s="28" customFormat="1">
      <c r="B239" s="27"/>
      <c r="D239" s="194"/>
      <c r="E239" s="29"/>
      <c r="G239" s="30"/>
      <c r="H239" s="195"/>
      <c r="I239" s="195"/>
      <c r="J239" s="195"/>
      <c r="X239" s="57"/>
      <c r="Z239" s="92"/>
      <c r="AA239" s="27"/>
      <c r="AB239" s="27"/>
      <c r="AC239" s="27"/>
      <c r="AD239" s="27"/>
      <c r="AE239" s="27"/>
      <c r="AF239" s="27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</row>
    <row r="240" spans="2:54" s="28" customFormat="1">
      <c r="B240" s="27"/>
      <c r="D240" s="194"/>
      <c r="E240" s="29"/>
      <c r="G240" s="30"/>
      <c r="H240" s="195"/>
      <c r="I240" s="195"/>
      <c r="J240" s="195"/>
      <c r="X240" s="57"/>
      <c r="Z240" s="92"/>
      <c r="AA240" s="27"/>
      <c r="AB240" s="27"/>
      <c r="AC240" s="27"/>
      <c r="AD240" s="27"/>
      <c r="AE240" s="27"/>
      <c r="AF240" s="27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</row>
    <row r="241" spans="2:54" s="28" customFormat="1">
      <c r="B241" s="27"/>
      <c r="D241" s="194"/>
      <c r="E241" s="29"/>
      <c r="G241" s="30"/>
      <c r="H241" s="195"/>
      <c r="I241" s="195"/>
      <c r="J241" s="195"/>
      <c r="X241" s="57"/>
      <c r="Z241" s="92"/>
      <c r="AA241" s="27"/>
      <c r="AB241" s="27"/>
      <c r="AC241" s="27"/>
      <c r="AD241" s="27"/>
      <c r="AE241" s="27"/>
      <c r="AF241" s="27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</row>
    <row r="242" spans="2:54" s="28" customFormat="1">
      <c r="B242" s="27"/>
      <c r="D242" s="194"/>
      <c r="E242" s="29"/>
      <c r="G242" s="30"/>
      <c r="H242" s="195"/>
      <c r="I242" s="195"/>
      <c r="J242" s="195"/>
      <c r="X242" s="57"/>
      <c r="Z242" s="92"/>
      <c r="AA242" s="27"/>
      <c r="AB242" s="27"/>
      <c r="AC242" s="27"/>
      <c r="AD242" s="27"/>
      <c r="AE242" s="27"/>
      <c r="AF242" s="27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</row>
    <row r="243" spans="2:54" s="28" customFormat="1">
      <c r="B243" s="27"/>
      <c r="D243" s="194"/>
      <c r="E243" s="29"/>
      <c r="G243" s="30"/>
      <c r="H243" s="195"/>
      <c r="I243" s="195"/>
      <c r="J243" s="195"/>
      <c r="X243" s="57"/>
      <c r="Z243" s="92"/>
      <c r="AA243" s="27"/>
      <c r="AB243" s="27"/>
      <c r="AC243" s="27"/>
      <c r="AD243" s="27"/>
      <c r="AE243" s="27"/>
      <c r="AF243" s="27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</row>
    <row r="244" spans="2:54" s="28" customFormat="1">
      <c r="B244" s="27"/>
      <c r="D244" s="194"/>
      <c r="E244" s="29"/>
      <c r="G244" s="30"/>
      <c r="H244" s="195"/>
      <c r="I244" s="195"/>
      <c r="J244" s="195"/>
      <c r="X244" s="57"/>
      <c r="Z244" s="92"/>
      <c r="AA244" s="27"/>
      <c r="AB244" s="27"/>
      <c r="AC244" s="27"/>
      <c r="AD244" s="27"/>
      <c r="AE244" s="27"/>
      <c r="AF244" s="27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</row>
    <row r="245" spans="2:54" s="28" customFormat="1">
      <c r="B245" s="27"/>
      <c r="D245" s="194"/>
      <c r="E245" s="29"/>
      <c r="G245" s="30"/>
      <c r="H245" s="195"/>
      <c r="I245" s="195"/>
      <c r="J245" s="195"/>
      <c r="X245" s="57"/>
      <c r="Z245" s="92"/>
      <c r="AA245" s="27"/>
      <c r="AB245" s="27"/>
      <c r="AC245" s="27"/>
      <c r="AD245" s="27"/>
      <c r="AE245" s="27"/>
      <c r="AF245" s="27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</row>
    <row r="246" spans="2:54" s="28" customFormat="1">
      <c r="B246" s="27"/>
      <c r="D246" s="194"/>
      <c r="E246" s="29"/>
      <c r="G246" s="30"/>
      <c r="H246" s="195"/>
      <c r="I246" s="195"/>
      <c r="J246" s="195"/>
      <c r="X246" s="57"/>
      <c r="Z246" s="92"/>
      <c r="AA246" s="27"/>
      <c r="AB246" s="27"/>
      <c r="AC246" s="27"/>
      <c r="AD246" s="27"/>
      <c r="AE246" s="27"/>
      <c r="AF246" s="27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</row>
    <row r="247" spans="2:54" s="28" customFormat="1">
      <c r="B247" s="27"/>
      <c r="D247" s="194"/>
      <c r="E247" s="29"/>
      <c r="G247" s="30"/>
      <c r="H247" s="195"/>
      <c r="I247" s="195"/>
      <c r="J247" s="195"/>
      <c r="X247" s="57"/>
      <c r="Z247" s="92"/>
      <c r="AA247" s="27"/>
      <c r="AB247" s="27"/>
      <c r="AC247" s="27"/>
      <c r="AD247" s="27"/>
      <c r="AE247" s="27"/>
      <c r="AF247" s="27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</row>
    <row r="248" spans="2:54" s="28" customFormat="1">
      <c r="B248" s="27"/>
      <c r="D248" s="194"/>
      <c r="E248" s="29"/>
      <c r="G248" s="30"/>
      <c r="H248" s="195"/>
      <c r="I248" s="195"/>
      <c r="J248" s="195"/>
      <c r="X248" s="57"/>
      <c r="Z248" s="92"/>
      <c r="AA248" s="27"/>
      <c r="AB248" s="27"/>
      <c r="AC248" s="27"/>
      <c r="AD248" s="27"/>
      <c r="AE248" s="27"/>
      <c r="AF248" s="27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</row>
    <row r="249" spans="2:54" s="28" customFormat="1">
      <c r="B249" s="27"/>
      <c r="D249" s="194"/>
      <c r="E249" s="29"/>
      <c r="G249" s="30"/>
      <c r="H249" s="195"/>
      <c r="I249" s="195"/>
      <c r="J249" s="195"/>
      <c r="X249" s="57"/>
      <c r="Z249" s="92"/>
      <c r="AA249" s="27"/>
      <c r="AB249" s="27"/>
      <c r="AC249" s="27"/>
      <c r="AD249" s="27"/>
      <c r="AE249" s="27"/>
      <c r="AF249" s="27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</row>
    <row r="250" spans="2:54" s="28" customFormat="1">
      <c r="B250" s="27"/>
      <c r="D250" s="194"/>
      <c r="E250" s="29"/>
      <c r="G250" s="30"/>
      <c r="H250" s="195"/>
      <c r="I250" s="195"/>
      <c r="J250" s="195"/>
      <c r="X250" s="57"/>
      <c r="Z250" s="92"/>
      <c r="AA250" s="27"/>
      <c r="AB250" s="27"/>
      <c r="AC250" s="27"/>
      <c r="AD250" s="27"/>
      <c r="AE250" s="27"/>
      <c r="AF250" s="27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</row>
    <row r="251" spans="2:54" s="28" customFormat="1">
      <c r="B251" s="27"/>
      <c r="D251" s="194"/>
      <c r="E251" s="29"/>
      <c r="G251" s="30"/>
      <c r="H251" s="195"/>
      <c r="I251" s="195"/>
      <c r="J251" s="195"/>
      <c r="X251" s="57"/>
      <c r="Z251" s="92"/>
      <c r="AA251" s="27"/>
      <c r="AB251" s="27"/>
      <c r="AC251" s="27"/>
      <c r="AD251" s="27"/>
      <c r="AE251" s="27"/>
      <c r="AF251" s="27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</row>
    <row r="252" spans="2:54" s="28" customFormat="1">
      <c r="B252" s="27"/>
      <c r="D252" s="194"/>
      <c r="E252" s="29"/>
      <c r="G252" s="30"/>
      <c r="H252" s="195"/>
      <c r="I252" s="195"/>
      <c r="J252" s="195"/>
      <c r="X252" s="57"/>
      <c r="Z252" s="92"/>
      <c r="AA252" s="27"/>
      <c r="AB252" s="27"/>
      <c r="AC252" s="27"/>
      <c r="AD252" s="27"/>
      <c r="AE252" s="27"/>
      <c r="AF252" s="27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</row>
    <row r="253" spans="2:54" s="28" customFormat="1">
      <c r="B253" s="27"/>
      <c r="D253" s="194"/>
      <c r="E253" s="29"/>
      <c r="G253" s="30"/>
      <c r="H253" s="195"/>
      <c r="I253" s="195"/>
      <c r="J253" s="195"/>
      <c r="X253" s="57"/>
      <c r="Z253" s="92"/>
      <c r="AA253" s="27"/>
      <c r="AB253" s="27"/>
      <c r="AC253" s="27"/>
      <c r="AD253" s="27"/>
      <c r="AE253" s="27"/>
      <c r="AF253" s="27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</row>
    <row r="254" spans="2:54" s="28" customFormat="1">
      <c r="B254" s="27"/>
      <c r="D254" s="194"/>
      <c r="E254" s="29"/>
      <c r="G254" s="30"/>
      <c r="H254" s="195"/>
      <c r="I254" s="195"/>
      <c r="J254" s="195"/>
      <c r="X254" s="57"/>
      <c r="Z254" s="92"/>
      <c r="AA254" s="27"/>
      <c r="AB254" s="27"/>
      <c r="AC254" s="27"/>
      <c r="AD254" s="27"/>
      <c r="AE254" s="27"/>
      <c r="AF254" s="27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</row>
    <row r="255" spans="2:54" s="28" customFormat="1">
      <c r="B255" s="27"/>
      <c r="D255" s="194"/>
      <c r="E255" s="29"/>
      <c r="G255" s="30"/>
      <c r="H255" s="195"/>
      <c r="I255" s="195"/>
      <c r="J255" s="195"/>
      <c r="X255" s="57"/>
      <c r="Z255" s="92"/>
      <c r="AA255" s="27"/>
      <c r="AB255" s="27"/>
      <c r="AC255" s="27"/>
      <c r="AD255" s="27"/>
      <c r="AE255" s="27"/>
      <c r="AF255" s="27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</row>
    <row r="256" spans="2:54" s="28" customFormat="1">
      <c r="B256" s="27"/>
      <c r="D256" s="194"/>
      <c r="E256" s="29"/>
      <c r="G256" s="30"/>
      <c r="H256" s="195"/>
      <c r="I256" s="195"/>
      <c r="J256" s="195"/>
      <c r="X256" s="57"/>
      <c r="Z256" s="92"/>
      <c r="AA256" s="27"/>
      <c r="AB256" s="27"/>
      <c r="AC256" s="27"/>
      <c r="AD256" s="27"/>
      <c r="AE256" s="27"/>
      <c r="AF256" s="27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</row>
    <row r="257" spans="2:54" s="28" customFormat="1">
      <c r="B257" s="27"/>
      <c r="D257" s="194"/>
      <c r="E257" s="29"/>
      <c r="G257" s="30"/>
      <c r="H257" s="195"/>
      <c r="I257" s="195"/>
      <c r="J257" s="195"/>
      <c r="X257" s="57"/>
      <c r="Z257" s="92"/>
      <c r="AA257" s="27"/>
      <c r="AB257" s="27"/>
      <c r="AC257" s="27"/>
      <c r="AD257" s="27"/>
      <c r="AE257" s="27"/>
      <c r="AF257" s="27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</row>
    <row r="258" spans="2:54" s="28" customFormat="1">
      <c r="B258" s="27"/>
      <c r="D258" s="194"/>
      <c r="E258" s="29"/>
      <c r="G258" s="30"/>
      <c r="H258" s="195"/>
      <c r="I258" s="195"/>
      <c r="J258" s="195"/>
      <c r="X258" s="57"/>
      <c r="Z258" s="92"/>
      <c r="AA258" s="27"/>
      <c r="AB258" s="27"/>
      <c r="AC258" s="27"/>
      <c r="AD258" s="27"/>
      <c r="AE258" s="27"/>
      <c r="AF258" s="27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</row>
    <row r="259" spans="2:54" s="28" customFormat="1">
      <c r="B259" s="27"/>
      <c r="D259" s="194"/>
      <c r="E259" s="29"/>
      <c r="G259" s="30"/>
      <c r="H259" s="195"/>
      <c r="I259" s="195"/>
      <c r="J259" s="195"/>
      <c r="X259" s="57"/>
      <c r="Z259" s="92"/>
      <c r="AA259" s="27"/>
      <c r="AB259" s="27"/>
      <c r="AC259" s="27"/>
      <c r="AD259" s="27"/>
      <c r="AE259" s="27"/>
      <c r="AF259" s="27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</row>
    <row r="260" spans="2:54" s="28" customFormat="1">
      <c r="B260" s="27"/>
      <c r="D260" s="194"/>
      <c r="E260" s="29"/>
      <c r="G260" s="30"/>
      <c r="H260" s="195"/>
      <c r="I260" s="195"/>
      <c r="J260" s="195"/>
      <c r="X260" s="57"/>
      <c r="Z260" s="92"/>
      <c r="AA260" s="27"/>
      <c r="AB260" s="27"/>
      <c r="AC260" s="27"/>
      <c r="AD260" s="27"/>
      <c r="AE260" s="27"/>
      <c r="AF260" s="27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</row>
    <row r="261" spans="2:54" s="28" customFormat="1">
      <c r="B261" s="27"/>
      <c r="D261" s="194"/>
      <c r="E261" s="29"/>
      <c r="G261" s="30"/>
      <c r="H261" s="195"/>
      <c r="I261" s="195"/>
      <c r="J261" s="195"/>
      <c r="X261" s="57"/>
      <c r="Z261" s="92"/>
      <c r="AA261" s="27"/>
      <c r="AB261" s="27"/>
      <c r="AC261" s="27"/>
      <c r="AD261" s="27"/>
      <c r="AE261" s="27"/>
      <c r="AF261" s="27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</row>
    <row r="262" spans="2:54" s="28" customFormat="1">
      <c r="B262" s="27"/>
      <c r="D262" s="194"/>
      <c r="E262" s="29"/>
      <c r="G262" s="30"/>
      <c r="H262" s="195"/>
      <c r="I262" s="195"/>
      <c r="J262" s="195"/>
      <c r="X262" s="57"/>
      <c r="Z262" s="92"/>
      <c r="AA262" s="27"/>
      <c r="AB262" s="27"/>
      <c r="AC262" s="27"/>
      <c r="AD262" s="27"/>
      <c r="AE262" s="27"/>
      <c r="AF262" s="27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</row>
    <row r="263" spans="2:54" s="28" customFormat="1">
      <c r="B263" s="27"/>
      <c r="D263" s="194"/>
      <c r="E263" s="29"/>
      <c r="G263" s="30"/>
      <c r="H263" s="195"/>
      <c r="I263" s="195"/>
      <c r="J263" s="195"/>
      <c r="X263" s="57"/>
      <c r="Z263" s="92"/>
      <c r="AA263" s="27"/>
      <c r="AB263" s="27"/>
      <c r="AC263" s="27"/>
      <c r="AD263" s="27"/>
      <c r="AE263" s="27"/>
      <c r="AF263" s="27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</row>
    <row r="264" spans="2:54" s="28" customFormat="1">
      <c r="B264" s="27"/>
      <c r="D264" s="194"/>
      <c r="E264" s="29"/>
      <c r="G264" s="30"/>
      <c r="H264" s="195"/>
      <c r="I264" s="195"/>
      <c r="J264" s="195"/>
      <c r="X264" s="57"/>
      <c r="Z264" s="92"/>
      <c r="AA264" s="27"/>
      <c r="AB264" s="27"/>
      <c r="AC264" s="27"/>
      <c r="AD264" s="27"/>
      <c r="AE264" s="27"/>
      <c r="AF264" s="27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</row>
    <row r="265" spans="2:54" s="28" customFormat="1">
      <c r="B265" s="27"/>
      <c r="D265" s="194"/>
      <c r="E265" s="29"/>
      <c r="G265" s="30"/>
      <c r="H265" s="195"/>
      <c r="I265" s="195"/>
      <c r="J265" s="195"/>
      <c r="X265" s="57"/>
      <c r="Z265" s="92"/>
      <c r="AA265" s="27"/>
      <c r="AB265" s="27"/>
      <c r="AC265" s="27"/>
      <c r="AD265" s="27"/>
      <c r="AE265" s="27"/>
      <c r="AF265" s="27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</row>
    <row r="266" spans="2:54" s="28" customFormat="1">
      <c r="B266" s="27"/>
      <c r="D266" s="194"/>
      <c r="E266" s="29"/>
      <c r="G266" s="30"/>
      <c r="H266" s="195"/>
      <c r="I266" s="195"/>
      <c r="J266" s="195"/>
      <c r="X266" s="57"/>
      <c r="Z266" s="92"/>
      <c r="AA266" s="27"/>
      <c r="AB266" s="27"/>
      <c r="AC266" s="27"/>
      <c r="AD266" s="27"/>
      <c r="AE266" s="27"/>
      <c r="AF266" s="27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</row>
    <row r="267" spans="2:54" s="28" customFormat="1">
      <c r="B267" s="27"/>
      <c r="D267" s="194"/>
      <c r="E267" s="29"/>
      <c r="G267" s="30"/>
      <c r="H267" s="195"/>
      <c r="I267" s="195"/>
      <c r="J267" s="195"/>
      <c r="X267" s="57"/>
      <c r="Z267" s="92"/>
      <c r="AA267" s="27"/>
      <c r="AB267" s="27"/>
      <c r="AC267" s="27"/>
      <c r="AD267" s="27"/>
      <c r="AE267" s="27"/>
      <c r="AF267" s="27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</row>
    <row r="268" spans="2:54" s="28" customFormat="1">
      <c r="B268" s="27"/>
      <c r="D268" s="194"/>
      <c r="E268" s="29"/>
      <c r="G268" s="30"/>
      <c r="H268" s="195"/>
      <c r="I268" s="195"/>
      <c r="J268" s="195"/>
      <c r="X268" s="57"/>
      <c r="Z268" s="92"/>
      <c r="AA268" s="27"/>
      <c r="AB268" s="27"/>
      <c r="AC268" s="27"/>
      <c r="AD268" s="27"/>
      <c r="AE268" s="27"/>
      <c r="AF268" s="27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</row>
    <row r="269" spans="2:54" s="28" customFormat="1">
      <c r="B269" s="27"/>
      <c r="D269" s="194"/>
      <c r="E269" s="29"/>
      <c r="G269" s="30"/>
      <c r="H269" s="195"/>
      <c r="I269" s="195"/>
      <c r="J269" s="195"/>
      <c r="X269" s="57"/>
      <c r="Z269" s="92"/>
      <c r="AA269" s="27"/>
      <c r="AB269" s="27"/>
      <c r="AC269" s="27"/>
      <c r="AD269" s="27"/>
      <c r="AE269" s="27"/>
      <c r="AF269" s="27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</row>
    <row r="270" spans="2:54" s="28" customFormat="1">
      <c r="B270" s="27"/>
      <c r="D270" s="194"/>
      <c r="E270" s="29"/>
      <c r="G270" s="30"/>
      <c r="H270" s="195"/>
      <c r="I270" s="195"/>
      <c r="J270" s="195"/>
      <c r="X270" s="57"/>
      <c r="Z270" s="92"/>
      <c r="AA270" s="27"/>
      <c r="AB270" s="27"/>
      <c r="AC270" s="27"/>
      <c r="AD270" s="27"/>
      <c r="AE270" s="27"/>
      <c r="AF270" s="27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</row>
    <row r="271" spans="2:54" s="28" customFormat="1">
      <c r="B271" s="27"/>
      <c r="D271" s="194"/>
      <c r="E271" s="29"/>
      <c r="G271" s="30"/>
      <c r="H271" s="195"/>
      <c r="I271" s="195"/>
      <c r="J271" s="195"/>
      <c r="X271" s="57"/>
      <c r="Z271" s="92"/>
      <c r="AA271" s="27"/>
      <c r="AB271" s="27"/>
      <c r="AC271" s="27"/>
      <c r="AD271" s="27"/>
      <c r="AE271" s="27"/>
      <c r="AF271" s="27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</row>
    <row r="272" spans="2:54" s="28" customFormat="1">
      <c r="B272" s="27"/>
      <c r="D272" s="194"/>
      <c r="E272" s="29"/>
      <c r="G272" s="30"/>
      <c r="H272" s="195"/>
      <c r="I272" s="195"/>
      <c r="J272" s="195"/>
      <c r="X272" s="57"/>
      <c r="Z272" s="92"/>
      <c r="AA272" s="27"/>
      <c r="AB272" s="27"/>
      <c r="AC272" s="27"/>
      <c r="AD272" s="27"/>
      <c r="AE272" s="27"/>
      <c r="AF272" s="27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</row>
    <row r="273" spans="2:54" s="28" customFormat="1">
      <c r="B273" s="27"/>
      <c r="D273" s="194"/>
      <c r="E273" s="29"/>
      <c r="G273" s="30"/>
      <c r="H273" s="195"/>
      <c r="I273" s="195"/>
      <c r="J273" s="195"/>
      <c r="X273" s="57"/>
      <c r="Z273" s="92"/>
      <c r="AA273" s="27"/>
      <c r="AB273" s="27"/>
      <c r="AC273" s="27"/>
      <c r="AD273" s="27"/>
      <c r="AE273" s="27"/>
      <c r="AF273" s="27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</row>
    <row r="274" spans="2:54" s="28" customFormat="1">
      <c r="B274" s="27"/>
      <c r="D274" s="194"/>
      <c r="E274" s="29"/>
      <c r="G274" s="30"/>
      <c r="H274" s="195"/>
      <c r="I274" s="195"/>
      <c r="J274" s="195"/>
      <c r="X274" s="57"/>
      <c r="Z274" s="92"/>
      <c r="AA274" s="27"/>
      <c r="AB274" s="27"/>
      <c r="AC274" s="27"/>
      <c r="AD274" s="27"/>
      <c r="AE274" s="27"/>
      <c r="AF274" s="27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</row>
    <row r="275" spans="2:54" s="28" customFormat="1">
      <c r="B275" s="27"/>
      <c r="D275" s="194"/>
      <c r="E275" s="29"/>
      <c r="G275" s="30"/>
      <c r="H275" s="195"/>
      <c r="I275" s="195"/>
      <c r="J275" s="195"/>
      <c r="X275" s="57"/>
      <c r="Z275" s="92"/>
      <c r="AA275" s="27"/>
      <c r="AB275" s="27"/>
      <c r="AC275" s="27"/>
      <c r="AD275" s="27"/>
      <c r="AE275" s="27"/>
      <c r="AF275" s="27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</row>
    <row r="276" spans="2:54" s="28" customFormat="1">
      <c r="B276" s="27"/>
      <c r="D276" s="194"/>
      <c r="E276" s="29"/>
      <c r="G276" s="30"/>
      <c r="H276" s="195"/>
      <c r="I276" s="195"/>
      <c r="J276" s="195"/>
      <c r="X276" s="57"/>
      <c r="Z276" s="92"/>
      <c r="AA276" s="27"/>
      <c r="AB276" s="27"/>
      <c r="AC276" s="27"/>
      <c r="AD276" s="27"/>
      <c r="AE276" s="27"/>
      <c r="AF276" s="27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</row>
    <row r="277" spans="2:54" s="28" customFormat="1">
      <c r="B277" s="27"/>
      <c r="D277" s="194"/>
      <c r="E277" s="29"/>
      <c r="G277" s="30"/>
      <c r="H277" s="195"/>
      <c r="I277" s="195"/>
      <c r="J277" s="195"/>
      <c r="X277" s="57"/>
      <c r="Z277" s="92"/>
      <c r="AA277" s="27"/>
      <c r="AB277" s="27"/>
      <c r="AC277" s="27"/>
      <c r="AD277" s="27"/>
      <c r="AE277" s="27"/>
      <c r="AF277" s="27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</row>
    <row r="278" spans="2:54" s="28" customFormat="1">
      <c r="B278" s="27"/>
      <c r="D278" s="194"/>
      <c r="E278" s="29"/>
      <c r="G278" s="30"/>
      <c r="H278" s="195"/>
      <c r="I278" s="195"/>
      <c r="J278" s="195"/>
      <c r="X278" s="57"/>
      <c r="Z278" s="92"/>
      <c r="AA278" s="27"/>
      <c r="AB278" s="27"/>
      <c r="AC278" s="27"/>
      <c r="AD278" s="27"/>
      <c r="AE278" s="27"/>
      <c r="AF278" s="27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</row>
    <row r="279" spans="2:54" s="28" customFormat="1">
      <c r="B279" s="27"/>
      <c r="D279" s="194"/>
      <c r="E279" s="29"/>
      <c r="G279" s="30"/>
      <c r="H279" s="195"/>
      <c r="I279" s="195"/>
      <c r="J279" s="195"/>
      <c r="X279" s="57"/>
      <c r="Z279" s="92"/>
      <c r="AA279" s="27"/>
      <c r="AB279" s="27"/>
      <c r="AC279" s="27"/>
      <c r="AD279" s="27"/>
      <c r="AE279" s="27"/>
      <c r="AF279" s="27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</row>
    <row r="280" spans="2:54" s="28" customFormat="1">
      <c r="B280" s="27"/>
      <c r="D280" s="194"/>
      <c r="E280" s="29"/>
      <c r="G280" s="30"/>
      <c r="H280" s="195"/>
      <c r="I280" s="195"/>
      <c r="J280" s="195"/>
      <c r="X280" s="57"/>
      <c r="Z280" s="92"/>
      <c r="AA280" s="27"/>
      <c r="AB280" s="27"/>
      <c r="AC280" s="27"/>
      <c r="AD280" s="27"/>
      <c r="AE280" s="27"/>
      <c r="AF280" s="27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</row>
    <row r="281" spans="2:54" s="28" customFormat="1">
      <c r="B281" s="27"/>
      <c r="D281" s="194"/>
      <c r="E281" s="29"/>
      <c r="G281" s="30"/>
      <c r="H281" s="195"/>
      <c r="I281" s="195"/>
      <c r="J281" s="195"/>
      <c r="X281" s="57"/>
      <c r="Z281" s="92"/>
      <c r="AA281" s="27"/>
      <c r="AB281" s="27"/>
      <c r="AC281" s="27"/>
      <c r="AD281" s="27"/>
      <c r="AE281" s="27"/>
      <c r="AF281" s="27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</row>
    <row r="282" spans="2:54" s="28" customFormat="1">
      <c r="B282" s="27"/>
      <c r="D282" s="194"/>
      <c r="E282" s="29"/>
      <c r="G282" s="30"/>
      <c r="H282" s="195"/>
      <c r="I282" s="195"/>
      <c r="J282" s="195"/>
      <c r="X282" s="57"/>
      <c r="Z282" s="92"/>
      <c r="AA282" s="27"/>
      <c r="AB282" s="27"/>
      <c r="AC282" s="27"/>
      <c r="AD282" s="27"/>
      <c r="AE282" s="27"/>
      <c r="AF282" s="27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</row>
    <row r="283" spans="2:54" s="28" customFormat="1">
      <c r="B283" s="27"/>
      <c r="D283" s="194"/>
      <c r="E283" s="29"/>
      <c r="G283" s="30"/>
      <c r="H283" s="195"/>
      <c r="I283" s="195"/>
      <c r="J283" s="195"/>
      <c r="X283" s="57"/>
      <c r="Z283" s="92"/>
      <c r="AA283" s="27"/>
      <c r="AB283" s="27"/>
      <c r="AC283" s="27"/>
      <c r="AD283" s="27"/>
      <c r="AE283" s="27"/>
      <c r="AF283" s="27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</row>
    <row r="284" spans="2:54" s="28" customFormat="1">
      <c r="B284" s="27"/>
      <c r="D284" s="194"/>
      <c r="E284" s="29"/>
      <c r="G284" s="30"/>
      <c r="H284" s="195"/>
      <c r="I284" s="195"/>
      <c r="J284" s="195"/>
      <c r="X284" s="57"/>
      <c r="Z284" s="92"/>
      <c r="AA284" s="27"/>
      <c r="AB284" s="27"/>
      <c r="AC284" s="27"/>
      <c r="AD284" s="27"/>
      <c r="AE284" s="27"/>
      <c r="AF284" s="27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</row>
    <row r="285" spans="2:54" s="28" customFormat="1">
      <c r="B285" s="27"/>
      <c r="D285" s="194"/>
      <c r="E285" s="29"/>
      <c r="G285" s="30"/>
      <c r="H285" s="195"/>
      <c r="I285" s="195"/>
      <c r="J285" s="195"/>
      <c r="X285" s="57"/>
      <c r="Z285" s="92"/>
      <c r="AA285" s="27"/>
      <c r="AB285" s="27"/>
      <c r="AC285" s="27"/>
      <c r="AD285" s="27"/>
      <c r="AE285" s="27"/>
      <c r="AF285" s="27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</row>
    <row r="286" spans="2:54" s="28" customFormat="1">
      <c r="B286" s="27"/>
      <c r="D286" s="194"/>
      <c r="E286" s="29"/>
      <c r="G286" s="30"/>
      <c r="H286" s="195"/>
      <c r="I286" s="195"/>
      <c r="J286" s="195"/>
      <c r="X286" s="57"/>
      <c r="Z286" s="92"/>
      <c r="AA286" s="27"/>
      <c r="AB286" s="27"/>
      <c r="AC286" s="27"/>
      <c r="AD286" s="27"/>
      <c r="AE286" s="27"/>
      <c r="AF286" s="27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</row>
    <row r="287" spans="2:54" s="28" customFormat="1">
      <c r="B287" s="27"/>
      <c r="D287" s="194"/>
      <c r="E287" s="29"/>
      <c r="G287" s="30"/>
      <c r="H287" s="195"/>
      <c r="I287" s="195"/>
      <c r="J287" s="195"/>
      <c r="X287" s="57"/>
      <c r="Z287" s="92"/>
      <c r="AA287" s="27"/>
      <c r="AB287" s="27"/>
      <c r="AC287" s="27"/>
      <c r="AD287" s="27"/>
      <c r="AE287" s="27"/>
      <c r="AF287" s="27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</row>
    <row r="288" spans="2:54" s="28" customFormat="1">
      <c r="B288" s="27"/>
      <c r="D288" s="194"/>
      <c r="E288" s="29"/>
      <c r="G288" s="30"/>
      <c r="H288" s="195"/>
      <c r="I288" s="195"/>
      <c r="J288" s="195"/>
      <c r="X288" s="57"/>
      <c r="Z288" s="92"/>
      <c r="AA288" s="27"/>
      <c r="AB288" s="27"/>
      <c r="AC288" s="27"/>
      <c r="AD288" s="27"/>
      <c r="AE288" s="27"/>
      <c r="AF288" s="27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</row>
    <row r="289" spans="2:54" s="28" customFormat="1">
      <c r="B289" s="27"/>
      <c r="D289" s="194"/>
      <c r="E289" s="29"/>
      <c r="G289" s="30"/>
      <c r="H289" s="195"/>
      <c r="I289" s="195"/>
      <c r="J289" s="195"/>
      <c r="X289" s="57"/>
      <c r="Z289" s="92"/>
      <c r="AA289" s="27"/>
      <c r="AB289" s="27"/>
      <c r="AC289" s="27"/>
      <c r="AD289" s="27"/>
      <c r="AE289" s="27"/>
      <c r="AF289" s="27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</row>
    <row r="290" spans="2:54" s="28" customFormat="1">
      <c r="B290" s="27"/>
      <c r="D290" s="194"/>
      <c r="E290" s="29"/>
      <c r="G290" s="30"/>
      <c r="H290" s="195"/>
      <c r="I290" s="195"/>
      <c r="J290" s="195"/>
      <c r="X290" s="57"/>
      <c r="Z290" s="92"/>
      <c r="AA290" s="27"/>
      <c r="AB290" s="27"/>
      <c r="AC290" s="27"/>
      <c r="AD290" s="27"/>
      <c r="AE290" s="27"/>
      <c r="AF290" s="27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</row>
    <row r="291" spans="2:54" s="28" customFormat="1">
      <c r="B291" s="27"/>
      <c r="D291" s="194"/>
      <c r="E291" s="29"/>
      <c r="G291" s="30"/>
      <c r="H291" s="195"/>
      <c r="I291" s="195"/>
      <c r="J291" s="195"/>
      <c r="X291" s="57"/>
      <c r="Z291" s="92"/>
      <c r="AA291" s="27"/>
      <c r="AB291" s="27"/>
      <c r="AC291" s="27"/>
      <c r="AD291" s="27"/>
      <c r="AE291" s="27"/>
      <c r="AF291" s="27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</row>
    <row r="292" spans="2:54" s="28" customFormat="1">
      <c r="B292" s="27"/>
      <c r="D292" s="194"/>
      <c r="E292" s="29"/>
      <c r="G292" s="30"/>
      <c r="H292" s="195"/>
      <c r="I292" s="195"/>
      <c r="J292" s="195"/>
      <c r="X292" s="57"/>
      <c r="Z292" s="92"/>
      <c r="AA292" s="27"/>
      <c r="AB292" s="27"/>
      <c r="AC292" s="27"/>
      <c r="AD292" s="27"/>
      <c r="AE292" s="27"/>
      <c r="AF292" s="27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</row>
    <row r="293" spans="2:54" s="28" customFormat="1">
      <c r="B293" s="27"/>
      <c r="D293" s="194"/>
      <c r="E293" s="29"/>
      <c r="G293" s="30"/>
      <c r="H293" s="195"/>
      <c r="I293" s="195"/>
      <c r="J293" s="195"/>
      <c r="X293" s="57"/>
      <c r="Z293" s="92"/>
      <c r="AA293" s="27"/>
      <c r="AB293" s="27"/>
      <c r="AC293" s="27"/>
      <c r="AD293" s="27"/>
      <c r="AE293" s="27"/>
      <c r="AF293" s="27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</row>
    <row r="294" spans="2:54" s="28" customFormat="1">
      <c r="B294" s="27"/>
      <c r="D294" s="194"/>
      <c r="E294" s="29"/>
      <c r="G294" s="30"/>
      <c r="H294" s="195"/>
      <c r="I294" s="195"/>
      <c r="J294" s="195"/>
      <c r="X294" s="57"/>
      <c r="Z294" s="92"/>
      <c r="AA294" s="27"/>
      <c r="AB294" s="27"/>
      <c r="AC294" s="27"/>
      <c r="AD294" s="27"/>
      <c r="AE294" s="27"/>
      <c r="AF294" s="27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</row>
    <row r="295" spans="2:54" s="28" customFormat="1">
      <c r="B295" s="27"/>
      <c r="D295" s="194"/>
      <c r="E295" s="29"/>
      <c r="G295" s="30"/>
      <c r="H295" s="195"/>
      <c r="I295" s="195"/>
      <c r="J295" s="195"/>
      <c r="X295" s="57"/>
      <c r="Z295" s="92"/>
      <c r="AA295" s="27"/>
      <c r="AB295" s="27"/>
      <c r="AC295" s="27"/>
      <c r="AD295" s="27"/>
      <c r="AE295" s="27"/>
      <c r="AF295" s="27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</row>
    <row r="296" spans="2:54" s="28" customFormat="1">
      <c r="B296" s="27"/>
      <c r="D296" s="194"/>
      <c r="E296" s="29"/>
      <c r="G296" s="30"/>
      <c r="H296" s="195"/>
      <c r="I296" s="195"/>
      <c r="J296" s="195"/>
      <c r="X296" s="57"/>
      <c r="Z296" s="92"/>
      <c r="AA296" s="27"/>
      <c r="AB296" s="27"/>
      <c r="AC296" s="27"/>
      <c r="AD296" s="27"/>
      <c r="AE296" s="27"/>
      <c r="AF296" s="27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</row>
    <row r="297" spans="2:54" s="28" customFormat="1">
      <c r="B297" s="27"/>
      <c r="D297" s="194"/>
      <c r="E297" s="29"/>
      <c r="G297" s="30"/>
      <c r="H297" s="195"/>
      <c r="I297" s="195"/>
      <c r="J297" s="195"/>
      <c r="X297" s="57"/>
      <c r="Z297" s="92"/>
      <c r="AA297" s="27"/>
      <c r="AB297" s="27"/>
      <c r="AC297" s="27"/>
      <c r="AD297" s="27"/>
      <c r="AE297" s="27"/>
      <c r="AF297" s="27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</row>
    <row r="298" spans="2:54" s="28" customFormat="1">
      <c r="B298" s="27"/>
      <c r="D298" s="194"/>
      <c r="E298" s="29"/>
      <c r="G298" s="30"/>
      <c r="H298" s="195"/>
      <c r="I298" s="195"/>
      <c r="J298" s="195"/>
      <c r="X298" s="57"/>
      <c r="Z298" s="92"/>
      <c r="AA298" s="27"/>
      <c r="AB298" s="27"/>
      <c r="AC298" s="27"/>
      <c r="AD298" s="27"/>
      <c r="AE298" s="27"/>
      <c r="AF298" s="27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</row>
    <row r="299" spans="2:54" s="28" customFormat="1">
      <c r="B299" s="27"/>
      <c r="D299" s="194"/>
      <c r="E299" s="29"/>
      <c r="G299" s="30"/>
      <c r="H299" s="195"/>
      <c r="I299" s="195"/>
      <c r="J299" s="195"/>
      <c r="X299" s="57"/>
      <c r="Z299" s="92"/>
      <c r="AA299" s="27"/>
      <c r="AB299" s="27"/>
      <c r="AC299" s="27"/>
      <c r="AD299" s="27"/>
      <c r="AE299" s="27"/>
      <c r="AF299" s="27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</row>
    <row r="300" spans="2:54" s="28" customFormat="1">
      <c r="B300" s="27"/>
      <c r="D300" s="194"/>
      <c r="E300" s="29"/>
      <c r="G300" s="30"/>
      <c r="H300" s="195"/>
      <c r="I300" s="195"/>
      <c r="J300" s="195"/>
      <c r="X300" s="57"/>
      <c r="Z300" s="92"/>
      <c r="AA300" s="27"/>
      <c r="AB300" s="27"/>
      <c r="AC300" s="27"/>
      <c r="AD300" s="27"/>
      <c r="AE300" s="27"/>
      <c r="AF300" s="27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</row>
    <row r="301" spans="2:54" s="28" customFormat="1">
      <c r="B301" s="27"/>
      <c r="D301" s="194"/>
      <c r="E301" s="29"/>
      <c r="G301" s="30"/>
      <c r="H301" s="195"/>
      <c r="I301" s="195"/>
      <c r="J301" s="195"/>
      <c r="X301" s="57"/>
      <c r="Z301" s="92"/>
      <c r="AA301" s="27"/>
      <c r="AB301" s="27"/>
      <c r="AC301" s="27"/>
      <c r="AD301" s="27"/>
      <c r="AE301" s="27"/>
      <c r="AF301" s="27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</row>
    <row r="302" spans="2:54" s="28" customFormat="1">
      <c r="B302" s="27"/>
      <c r="D302" s="194"/>
      <c r="E302" s="29"/>
      <c r="G302" s="30"/>
      <c r="H302" s="195"/>
      <c r="I302" s="195"/>
      <c r="J302" s="195"/>
      <c r="X302" s="57"/>
      <c r="Z302" s="92"/>
      <c r="AA302" s="27"/>
      <c r="AB302" s="27"/>
      <c r="AC302" s="27"/>
      <c r="AD302" s="27"/>
      <c r="AE302" s="27"/>
      <c r="AF302" s="27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</row>
    <row r="303" spans="2:54" s="28" customFormat="1">
      <c r="B303" s="27"/>
      <c r="D303" s="194"/>
      <c r="E303" s="29"/>
      <c r="G303" s="30"/>
      <c r="H303" s="195"/>
      <c r="I303" s="195"/>
      <c r="J303" s="195"/>
      <c r="X303" s="57"/>
      <c r="Z303" s="92"/>
      <c r="AA303" s="27"/>
      <c r="AB303" s="27"/>
      <c r="AC303" s="27"/>
      <c r="AD303" s="27"/>
      <c r="AE303" s="27"/>
      <c r="AF303" s="27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</row>
    <row r="304" spans="2:54" s="28" customFormat="1">
      <c r="B304" s="27"/>
      <c r="D304" s="194"/>
      <c r="E304" s="29"/>
      <c r="G304" s="30"/>
      <c r="H304" s="195"/>
      <c r="I304" s="195"/>
      <c r="J304" s="195"/>
      <c r="X304" s="57"/>
      <c r="Z304" s="92"/>
      <c r="AA304" s="27"/>
      <c r="AB304" s="27"/>
      <c r="AC304" s="27"/>
      <c r="AD304" s="27"/>
      <c r="AE304" s="27"/>
      <c r="AF304" s="27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</row>
    <row r="305" spans="2:54" s="28" customFormat="1">
      <c r="B305" s="27"/>
      <c r="D305" s="194"/>
      <c r="E305" s="29"/>
      <c r="G305" s="30"/>
      <c r="H305" s="195"/>
      <c r="I305" s="195"/>
      <c r="J305" s="195"/>
      <c r="X305" s="57"/>
      <c r="Z305" s="92"/>
      <c r="AA305" s="27"/>
      <c r="AB305" s="27"/>
      <c r="AC305" s="27"/>
      <c r="AD305" s="27"/>
      <c r="AE305" s="27"/>
      <c r="AF305" s="27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</row>
    <row r="306" spans="2:54" s="28" customFormat="1">
      <c r="B306" s="27"/>
      <c r="D306" s="194"/>
      <c r="E306" s="29"/>
      <c r="G306" s="30"/>
      <c r="H306" s="195"/>
      <c r="I306" s="195"/>
      <c r="J306" s="195"/>
      <c r="X306" s="57"/>
      <c r="Z306" s="92"/>
      <c r="AA306" s="27"/>
      <c r="AB306" s="27"/>
      <c r="AC306" s="27"/>
      <c r="AD306" s="27"/>
      <c r="AE306" s="27"/>
      <c r="AF306" s="27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</row>
    <row r="307" spans="2:54" s="28" customFormat="1">
      <c r="B307" s="27"/>
      <c r="D307" s="194"/>
      <c r="E307" s="29"/>
      <c r="G307" s="30"/>
      <c r="H307" s="195"/>
      <c r="I307" s="195"/>
      <c r="J307" s="195"/>
      <c r="X307" s="57"/>
      <c r="Z307" s="92"/>
      <c r="AA307" s="27"/>
      <c r="AB307" s="27"/>
      <c r="AC307" s="27"/>
      <c r="AD307" s="27"/>
      <c r="AE307" s="27"/>
      <c r="AF307" s="27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</row>
    <row r="308" spans="2:54" s="28" customFormat="1">
      <c r="B308" s="27"/>
      <c r="D308" s="194"/>
      <c r="E308" s="29"/>
      <c r="G308" s="30"/>
      <c r="H308" s="195"/>
      <c r="I308" s="195"/>
      <c r="J308" s="195"/>
      <c r="X308" s="57"/>
      <c r="Z308" s="92"/>
      <c r="AA308" s="27"/>
      <c r="AB308" s="27"/>
      <c r="AC308" s="27"/>
      <c r="AD308" s="27"/>
      <c r="AE308" s="27"/>
      <c r="AF308" s="27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</row>
    <row r="309" spans="2:54" s="28" customFormat="1">
      <c r="B309" s="27"/>
      <c r="D309" s="194"/>
      <c r="E309" s="29"/>
      <c r="G309" s="30"/>
      <c r="H309" s="195"/>
      <c r="I309" s="195"/>
      <c r="J309" s="195"/>
      <c r="X309" s="57"/>
      <c r="Z309" s="92"/>
      <c r="AA309" s="27"/>
      <c r="AB309" s="27"/>
      <c r="AC309" s="27"/>
      <c r="AD309" s="27"/>
      <c r="AE309" s="27"/>
      <c r="AF309" s="27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</row>
    <row r="310" spans="2:54" s="28" customFormat="1">
      <c r="B310" s="27"/>
      <c r="D310" s="194"/>
      <c r="E310" s="29"/>
      <c r="G310" s="30"/>
      <c r="H310" s="195"/>
      <c r="I310" s="195"/>
      <c r="J310" s="195"/>
      <c r="X310" s="57"/>
      <c r="Z310" s="92"/>
      <c r="AA310" s="27"/>
      <c r="AB310" s="27"/>
      <c r="AC310" s="27"/>
      <c r="AD310" s="27"/>
      <c r="AE310" s="27"/>
      <c r="AF310" s="27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</row>
    <row r="311" spans="2:54" s="28" customFormat="1">
      <c r="B311" s="27"/>
      <c r="D311" s="194"/>
      <c r="E311" s="29"/>
      <c r="G311" s="30"/>
      <c r="H311" s="195"/>
      <c r="I311" s="195"/>
      <c r="J311" s="195"/>
      <c r="X311" s="57"/>
      <c r="Z311" s="92"/>
      <c r="AA311" s="27"/>
      <c r="AB311" s="27"/>
      <c r="AC311" s="27"/>
      <c r="AD311" s="27"/>
      <c r="AE311" s="27"/>
      <c r="AF311" s="27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</row>
    <row r="312" spans="2:54" s="28" customFormat="1">
      <c r="B312" s="27"/>
      <c r="D312" s="194"/>
      <c r="E312" s="29"/>
      <c r="G312" s="30"/>
      <c r="H312" s="195"/>
      <c r="I312" s="195"/>
      <c r="J312" s="195"/>
      <c r="X312" s="57"/>
      <c r="Z312" s="92"/>
      <c r="AA312" s="27"/>
      <c r="AB312" s="27"/>
      <c r="AC312" s="27"/>
      <c r="AD312" s="27"/>
      <c r="AE312" s="27"/>
      <c r="AF312" s="27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</row>
    <row r="313" spans="2:54" s="28" customFormat="1">
      <c r="B313" s="27"/>
      <c r="D313" s="194"/>
      <c r="E313" s="29"/>
      <c r="G313" s="30"/>
      <c r="H313" s="195"/>
      <c r="I313" s="195"/>
      <c r="J313" s="195"/>
      <c r="X313" s="57"/>
      <c r="Z313" s="92"/>
      <c r="AA313" s="27"/>
      <c r="AB313" s="27"/>
      <c r="AC313" s="27"/>
      <c r="AD313" s="27"/>
      <c r="AE313" s="27"/>
      <c r="AF313" s="27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</row>
    <row r="314" spans="2:54" s="28" customFormat="1">
      <c r="B314" s="27"/>
      <c r="D314" s="194"/>
      <c r="E314" s="29"/>
      <c r="G314" s="30"/>
      <c r="H314" s="195"/>
      <c r="I314" s="195"/>
      <c r="J314" s="195"/>
      <c r="X314" s="57"/>
      <c r="Z314" s="92"/>
      <c r="AA314" s="27"/>
      <c r="AB314" s="27"/>
      <c r="AC314" s="27"/>
      <c r="AD314" s="27"/>
      <c r="AE314" s="27"/>
      <c r="AF314" s="27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</row>
    <row r="315" spans="2:54" s="28" customFormat="1">
      <c r="B315" s="27"/>
      <c r="D315" s="194"/>
      <c r="E315" s="29"/>
      <c r="G315" s="30"/>
      <c r="H315" s="195"/>
      <c r="I315" s="195"/>
      <c r="J315" s="195"/>
      <c r="X315" s="57"/>
      <c r="Z315" s="92"/>
      <c r="AA315" s="27"/>
      <c r="AB315" s="27"/>
      <c r="AC315" s="27"/>
      <c r="AD315" s="27"/>
      <c r="AE315" s="27"/>
      <c r="AF315" s="27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</row>
    <row r="316" spans="2:54" s="28" customFormat="1">
      <c r="B316" s="27"/>
      <c r="D316" s="194"/>
      <c r="E316" s="29"/>
      <c r="G316" s="30"/>
      <c r="H316" s="195"/>
      <c r="I316" s="195"/>
      <c r="J316" s="195"/>
      <c r="X316" s="57"/>
      <c r="Z316" s="92"/>
      <c r="AA316" s="27"/>
      <c r="AB316" s="27"/>
      <c r="AC316" s="27"/>
      <c r="AD316" s="27"/>
      <c r="AE316" s="27"/>
      <c r="AF316" s="27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</row>
    <row r="317" spans="2:54" s="28" customFormat="1">
      <c r="B317" s="27"/>
      <c r="D317" s="194"/>
      <c r="E317" s="29"/>
      <c r="G317" s="30"/>
      <c r="H317" s="195"/>
      <c r="I317" s="195"/>
      <c r="J317" s="195"/>
      <c r="X317" s="57"/>
      <c r="Z317" s="92"/>
      <c r="AA317" s="27"/>
      <c r="AB317" s="27"/>
      <c r="AC317" s="27"/>
      <c r="AD317" s="27"/>
      <c r="AE317" s="27"/>
      <c r="AF317" s="27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</row>
    <row r="318" spans="2:54" s="28" customFormat="1">
      <c r="B318" s="27"/>
      <c r="D318" s="194"/>
      <c r="E318" s="29"/>
      <c r="G318" s="30"/>
      <c r="H318" s="195"/>
      <c r="I318" s="195"/>
      <c r="J318" s="195"/>
      <c r="X318" s="57"/>
      <c r="Z318" s="92"/>
      <c r="AA318" s="27"/>
      <c r="AB318" s="27"/>
      <c r="AC318" s="27"/>
      <c r="AD318" s="27"/>
      <c r="AE318" s="27"/>
      <c r="AF318" s="27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</row>
    <row r="319" spans="2:54" s="28" customFormat="1">
      <c r="B319" s="27"/>
      <c r="D319" s="194"/>
      <c r="E319" s="29"/>
      <c r="G319" s="30"/>
      <c r="H319" s="195"/>
      <c r="I319" s="195"/>
      <c r="J319" s="195"/>
      <c r="X319" s="57"/>
      <c r="Z319" s="92"/>
      <c r="AA319" s="27"/>
      <c r="AB319" s="27"/>
      <c r="AC319" s="27"/>
      <c r="AD319" s="27"/>
      <c r="AE319" s="27"/>
      <c r="AF319" s="27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</row>
    <row r="320" spans="2:54" s="28" customFormat="1">
      <c r="B320" s="27"/>
      <c r="D320" s="194"/>
      <c r="E320" s="29"/>
      <c r="G320" s="30"/>
      <c r="H320" s="195"/>
      <c r="I320" s="195"/>
      <c r="J320" s="195"/>
      <c r="X320" s="57"/>
      <c r="Z320" s="92"/>
      <c r="AA320" s="27"/>
      <c r="AB320" s="27"/>
      <c r="AC320" s="27"/>
      <c r="AD320" s="27"/>
      <c r="AE320" s="27"/>
      <c r="AF320" s="27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</row>
    <row r="321" spans="2:54" s="28" customFormat="1">
      <c r="B321" s="27"/>
      <c r="D321" s="194"/>
      <c r="E321" s="29"/>
      <c r="G321" s="30"/>
      <c r="H321" s="195"/>
      <c r="I321" s="195"/>
      <c r="J321" s="195"/>
      <c r="X321" s="57"/>
      <c r="Z321" s="92"/>
      <c r="AA321" s="27"/>
      <c r="AB321" s="27"/>
      <c r="AC321" s="27"/>
      <c r="AD321" s="27"/>
      <c r="AE321" s="27"/>
      <c r="AF321" s="27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</row>
    <row r="322" spans="2:54" s="28" customFormat="1">
      <c r="B322" s="27"/>
      <c r="D322" s="194"/>
      <c r="E322" s="29"/>
      <c r="G322" s="30"/>
      <c r="H322" s="195"/>
      <c r="I322" s="195"/>
      <c r="J322" s="195"/>
      <c r="X322" s="57"/>
      <c r="Z322" s="92"/>
      <c r="AA322" s="27"/>
      <c r="AB322" s="27"/>
      <c r="AC322" s="27"/>
      <c r="AD322" s="27"/>
      <c r="AE322" s="27"/>
      <c r="AF322" s="27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</row>
    <row r="323" spans="2:54" s="28" customFormat="1">
      <c r="B323" s="27"/>
      <c r="D323" s="194"/>
      <c r="E323" s="29"/>
      <c r="G323" s="30"/>
      <c r="H323" s="195"/>
      <c r="I323" s="195"/>
      <c r="J323" s="195"/>
      <c r="X323" s="57"/>
      <c r="Z323" s="92"/>
      <c r="AA323" s="27"/>
      <c r="AB323" s="27"/>
      <c r="AC323" s="27"/>
      <c r="AD323" s="27"/>
      <c r="AE323" s="27"/>
      <c r="AF323" s="27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</row>
    <row r="324" spans="2:54" s="28" customFormat="1">
      <c r="B324" s="27"/>
      <c r="D324" s="194"/>
      <c r="E324" s="29"/>
      <c r="G324" s="30"/>
      <c r="H324" s="195"/>
      <c r="I324" s="195"/>
      <c r="J324" s="195"/>
      <c r="X324" s="57"/>
      <c r="Z324" s="92"/>
      <c r="AA324" s="27"/>
      <c r="AB324" s="27"/>
      <c r="AC324" s="27"/>
      <c r="AD324" s="27"/>
      <c r="AE324" s="27"/>
      <c r="AF324" s="27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</row>
    <row r="325" spans="2:54" s="28" customFormat="1">
      <c r="B325" s="27"/>
      <c r="D325" s="194"/>
      <c r="E325" s="29"/>
      <c r="G325" s="30"/>
      <c r="H325" s="195"/>
      <c r="I325" s="195"/>
      <c r="J325" s="195"/>
      <c r="X325" s="57"/>
      <c r="Z325" s="92"/>
      <c r="AA325" s="27"/>
      <c r="AB325" s="27"/>
      <c r="AC325" s="27"/>
      <c r="AD325" s="27"/>
      <c r="AE325" s="27"/>
      <c r="AF325" s="27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</row>
    <row r="326" spans="2:54" s="28" customFormat="1">
      <c r="B326" s="27"/>
      <c r="D326" s="194"/>
      <c r="E326" s="29"/>
      <c r="G326" s="30"/>
      <c r="H326" s="195"/>
      <c r="I326" s="195"/>
      <c r="J326" s="195"/>
      <c r="X326" s="57"/>
      <c r="Z326" s="92"/>
      <c r="AA326" s="27"/>
      <c r="AB326" s="27"/>
      <c r="AC326" s="27"/>
      <c r="AD326" s="27"/>
      <c r="AE326" s="27"/>
      <c r="AF326" s="27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</row>
    <row r="327" spans="2:54" s="28" customFormat="1">
      <c r="B327" s="27"/>
      <c r="D327" s="194"/>
      <c r="E327" s="29"/>
      <c r="G327" s="30"/>
      <c r="H327" s="195"/>
      <c r="I327" s="195"/>
      <c r="J327" s="195"/>
      <c r="X327" s="57"/>
      <c r="Z327" s="92"/>
      <c r="AA327" s="27"/>
      <c r="AB327" s="27"/>
      <c r="AC327" s="27"/>
      <c r="AD327" s="27"/>
      <c r="AE327" s="27"/>
      <c r="AF327" s="27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</row>
    <row r="328" spans="2:54" s="28" customFormat="1">
      <c r="B328" s="27"/>
      <c r="D328" s="194"/>
      <c r="E328" s="29"/>
      <c r="G328" s="30"/>
      <c r="H328" s="195"/>
      <c r="I328" s="195"/>
      <c r="J328" s="195"/>
      <c r="X328" s="57"/>
      <c r="Z328" s="92"/>
      <c r="AA328" s="27"/>
      <c r="AB328" s="27"/>
      <c r="AC328" s="27"/>
      <c r="AD328" s="27"/>
      <c r="AE328" s="27"/>
      <c r="AF328" s="27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</row>
    <row r="329" spans="2:54" s="28" customFormat="1">
      <c r="B329" s="27"/>
      <c r="D329" s="194"/>
      <c r="E329" s="29"/>
      <c r="G329" s="30"/>
      <c r="H329" s="195"/>
      <c r="I329" s="195"/>
      <c r="J329" s="195"/>
      <c r="X329" s="57"/>
      <c r="Z329" s="92"/>
      <c r="AA329" s="27"/>
      <c r="AB329" s="27"/>
      <c r="AC329" s="27"/>
      <c r="AD329" s="27"/>
      <c r="AE329" s="27"/>
      <c r="AF329" s="27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</row>
    <row r="330" spans="2:54" s="28" customFormat="1">
      <c r="B330" s="27"/>
      <c r="D330" s="194"/>
      <c r="E330" s="29"/>
      <c r="G330" s="30"/>
      <c r="H330" s="195"/>
      <c r="I330" s="195"/>
      <c r="J330" s="195"/>
      <c r="X330" s="57"/>
      <c r="Z330" s="92"/>
      <c r="AA330" s="27"/>
      <c r="AB330" s="27"/>
      <c r="AC330" s="27"/>
      <c r="AD330" s="27"/>
      <c r="AE330" s="27"/>
      <c r="AF330" s="27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</row>
    <row r="331" spans="2:54" s="28" customFormat="1">
      <c r="B331" s="27"/>
      <c r="D331" s="194"/>
      <c r="E331" s="29"/>
      <c r="G331" s="30"/>
      <c r="H331" s="195"/>
      <c r="I331" s="195"/>
      <c r="J331" s="195"/>
      <c r="X331" s="57"/>
      <c r="Z331" s="92"/>
      <c r="AA331" s="27"/>
      <c r="AB331" s="27"/>
      <c r="AC331" s="27"/>
      <c r="AD331" s="27"/>
      <c r="AE331" s="27"/>
      <c r="AF331" s="27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</row>
    <row r="332" spans="2:54" s="28" customFormat="1">
      <c r="B332" s="27"/>
      <c r="D332" s="194"/>
      <c r="E332" s="29"/>
      <c r="G332" s="30"/>
      <c r="H332" s="195"/>
      <c r="I332" s="195"/>
      <c r="J332" s="195"/>
      <c r="X332" s="57"/>
      <c r="Z332" s="92"/>
      <c r="AA332" s="27"/>
      <c r="AB332" s="27"/>
      <c r="AC332" s="27"/>
      <c r="AD332" s="27"/>
      <c r="AE332" s="27"/>
      <c r="AF332" s="27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</row>
    <row r="333" spans="2:54" s="28" customFormat="1">
      <c r="B333" s="27"/>
      <c r="D333" s="194"/>
      <c r="E333" s="29"/>
      <c r="G333" s="30"/>
      <c r="H333" s="195"/>
      <c r="I333" s="195"/>
      <c r="J333" s="195"/>
      <c r="X333" s="57"/>
      <c r="Z333" s="92"/>
      <c r="AA333" s="27"/>
      <c r="AB333" s="27"/>
      <c r="AC333" s="27"/>
      <c r="AD333" s="27"/>
      <c r="AE333" s="27"/>
      <c r="AF333" s="27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</row>
    <row r="334" spans="2:54" s="28" customFormat="1">
      <c r="B334" s="27"/>
      <c r="D334" s="194"/>
      <c r="E334" s="29"/>
      <c r="G334" s="30"/>
      <c r="H334" s="195"/>
      <c r="I334" s="195"/>
      <c r="J334" s="195"/>
      <c r="X334" s="57"/>
      <c r="Z334" s="92"/>
      <c r="AA334" s="27"/>
      <c r="AB334" s="27"/>
      <c r="AC334" s="27"/>
      <c r="AD334" s="27"/>
      <c r="AE334" s="27"/>
      <c r="AF334" s="27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</row>
    <row r="335" spans="2:54" s="28" customFormat="1">
      <c r="B335" s="27"/>
      <c r="D335" s="194"/>
      <c r="E335" s="29"/>
      <c r="G335" s="30"/>
      <c r="H335" s="195"/>
      <c r="I335" s="195"/>
      <c r="J335" s="195"/>
      <c r="X335" s="57"/>
      <c r="Z335" s="92"/>
      <c r="AA335" s="27"/>
      <c r="AB335" s="27"/>
      <c r="AC335" s="27"/>
      <c r="AD335" s="27"/>
      <c r="AE335" s="27"/>
      <c r="AF335" s="27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</row>
    <row r="336" spans="2:54" s="28" customFormat="1">
      <c r="B336" s="27"/>
      <c r="D336" s="194"/>
      <c r="E336" s="29"/>
      <c r="G336" s="30"/>
      <c r="H336" s="195"/>
      <c r="I336" s="195"/>
      <c r="J336" s="195"/>
      <c r="X336" s="57"/>
      <c r="Z336" s="92"/>
      <c r="AA336" s="27"/>
      <c r="AB336" s="27"/>
      <c r="AC336" s="27"/>
      <c r="AD336" s="27"/>
      <c r="AE336" s="27"/>
      <c r="AF336" s="27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</row>
    <row r="337" spans="2:54" s="28" customFormat="1">
      <c r="B337" s="27"/>
      <c r="D337" s="194"/>
      <c r="E337" s="29"/>
      <c r="G337" s="30"/>
      <c r="H337" s="195"/>
      <c r="I337" s="195"/>
      <c r="J337" s="195"/>
      <c r="X337" s="57"/>
      <c r="Z337" s="92"/>
      <c r="AA337" s="27"/>
      <c r="AB337" s="27"/>
      <c r="AC337" s="27"/>
      <c r="AD337" s="27"/>
      <c r="AE337" s="27"/>
      <c r="AF337" s="27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</row>
    <row r="338" spans="2:54" s="28" customFormat="1">
      <c r="B338" s="27"/>
      <c r="D338" s="194"/>
      <c r="E338" s="29"/>
      <c r="G338" s="30"/>
      <c r="H338" s="195"/>
      <c r="I338" s="195"/>
      <c r="J338" s="195"/>
      <c r="X338" s="57"/>
      <c r="Z338" s="92"/>
      <c r="AA338" s="27"/>
      <c r="AB338" s="27"/>
      <c r="AC338" s="27"/>
      <c r="AD338" s="27"/>
      <c r="AE338" s="27"/>
      <c r="AF338" s="27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</row>
    <row r="339" spans="2:54" s="28" customFormat="1">
      <c r="B339" s="27"/>
      <c r="D339" s="194"/>
      <c r="E339" s="29"/>
      <c r="G339" s="30"/>
      <c r="H339" s="195"/>
      <c r="I339" s="195"/>
      <c r="J339" s="195"/>
      <c r="X339" s="57"/>
      <c r="Z339" s="92"/>
      <c r="AA339" s="27"/>
      <c r="AB339" s="27"/>
      <c r="AC339" s="27"/>
      <c r="AD339" s="27"/>
      <c r="AE339" s="27"/>
      <c r="AF339" s="27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</row>
    <row r="340" spans="2:54" s="28" customFormat="1">
      <c r="B340" s="27"/>
      <c r="D340" s="194"/>
      <c r="E340" s="29"/>
      <c r="G340" s="30"/>
      <c r="H340" s="195"/>
      <c r="I340" s="195"/>
      <c r="J340" s="195"/>
      <c r="X340" s="57"/>
      <c r="Z340" s="92"/>
      <c r="AA340" s="27"/>
      <c r="AB340" s="27"/>
      <c r="AC340" s="27"/>
      <c r="AD340" s="27"/>
      <c r="AE340" s="27"/>
      <c r="AF340" s="27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</row>
    <row r="341" spans="2:54" s="28" customFormat="1">
      <c r="B341" s="27"/>
      <c r="D341" s="194"/>
      <c r="E341" s="29"/>
      <c r="G341" s="30"/>
      <c r="H341" s="195"/>
      <c r="I341" s="195"/>
      <c r="J341" s="195"/>
      <c r="X341" s="57"/>
      <c r="Z341" s="92"/>
      <c r="AA341" s="27"/>
      <c r="AB341" s="27"/>
      <c r="AC341" s="27"/>
      <c r="AD341" s="27"/>
      <c r="AE341" s="27"/>
      <c r="AF341" s="27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</row>
    <row r="342" spans="2:54" s="28" customFormat="1">
      <c r="B342" s="27"/>
      <c r="D342" s="194"/>
      <c r="E342" s="29"/>
      <c r="G342" s="30"/>
      <c r="H342" s="195"/>
      <c r="I342" s="195"/>
      <c r="J342" s="195"/>
      <c r="X342" s="57"/>
      <c r="Z342" s="92"/>
      <c r="AA342" s="27"/>
      <c r="AB342" s="27"/>
      <c r="AC342" s="27"/>
      <c r="AD342" s="27"/>
      <c r="AE342" s="27"/>
      <c r="AF342" s="27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</row>
    <row r="343" spans="2:54" s="28" customFormat="1">
      <c r="B343" s="27"/>
      <c r="D343" s="194"/>
      <c r="E343" s="29"/>
      <c r="G343" s="30"/>
      <c r="H343" s="195"/>
      <c r="I343" s="195"/>
      <c r="J343" s="195"/>
      <c r="X343" s="57"/>
      <c r="Z343" s="92"/>
      <c r="AA343" s="27"/>
      <c r="AB343" s="27"/>
      <c r="AC343" s="27"/>
      <c r="AD343" s="27"/>
      <c r="AE343" s="27"/>
      <c r="AF343" s="27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</row>
    <row r="344" spans="2:54" s="28" customFormat="1">
      <c r="B344" s="27"/>
      <c r="D344" s="194"/>
      <c r="E344" s="29"/>
      <c r="G344" s="30"/>
      <c r="H344" s="195"/>
      <c r="I344" s="195"/>
      <c r="J344" s="195"/>
      <c r="X344" s="57"/>
      <c r="Z344" s="92"/>
      <c r="AA344" s="27"/>
      <c r="AB344" s="27"/>
      <c r="AC344" s="27"/>
      <c r="AD344" s="27"/>
      <c r="AE344" s="27"/>
      <c r="AF344" s="27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</row>
    <row r="345" spans="2:54" s="28" customFormat="1">
      <c r="B345" s="27"/>
      <c r="D345" s="194"/>
      <c r="E345" s="29"/>
      <c r="G345" s="30"/>
      <c r="H345" s="195"/>
      <c r="I345" s="195"/>
      <c r="J345" s="195"/>
      <c r="X345" s="57"/>
      <c r="Z345" s="92"/>
      <c r="AA345" s="27"/>
      <c r="AB345" s="27"/>
      <c r="AC345" s="27"/>
      <c r="AD345" s="27"/>
      <c r="AE345" s="27"/>
      <c r="AF345" s="27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</row>
    <row r="346" spans="2:54" s="28" customFormat="1">
      <c r="B346" s="27"/>
      <c r="D346" s="194"/>
      <c r="E346" s="29"/>
      <c r="G346" s="30"/>
      <c r="H346" s="195"/>
      <c r="I346" s="195"/>
      <c r="J346" s="195"/>
      <c r="X346" s="57"/>
      <c r="Z346" s="92"/>
      <c r="AA346" s="27"/>
      <c r="AB346" s="27"/>
      <c r="AC346" s="27"/>
      <c r="AD346" s="27"/>
      <c r="AE346" s="27"/>
      <c r="AF346" s="27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</row>
    <row r="347" spans="2:54" s="28" customFormat="1">
      <c r="B347" s="27"/>
      <c r="D347" s="194"/>
      <c r="E347" s="29"/>
      <c r="G347" s="30"/>
      <c r="H347" s="195"/>
      <c r="I347" s="195"/>
      <c r="J347" s="195"/>
      <c r="X347" s="57"/>
      <c r="Z347" s="92"/>
      <c r="AA347" s="27"/>
      <c r="AB347" s="27"/>
      <c r="AC347" s="27"/>
      <c r="AD347" s="27"/>
      <c r="AE347" s="27"/>
      <c r="AF347" s="27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</row>
    <row r="348" spans="2:54" s="28" customFormat="1">
      <c r="B348" s="27"/>
      <c r="D348" s="194"/>
      <c r="E348" s="29"/>
      <c r="G348" s="30"/>
      <c r="H348" s="195"/>
      <c r="I348" s="195"/>
      <c r="J348" s="195"/>
      <c r="X348" s="57"/>
      <c r="Z348" s="92"/>
      <c r="AA348" s="27"/>
      <c r="AB348" s="27"/>
      <c r="AC348" s="27"/>
      <c r="AD348" s="27"/>
      <c r="AE348" s="27"/>
      <c r="AF348" s="27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</row>
    <row r="349" spans="2:54" s="28" customFormat="1">
      <c r="B349" s="27"/>
      <c r="D349" s="194"/>
      <c r="E349" s="29"/>
      <c r="G349" s="30"/>
      <c r="H349" s="195"/>
      <c r="I349" s="195"/>
      <c r="J349" s="195"/>
      <c r="X349" s="57"/>
      <c r="Z349" s="92"/>
      <c r="AA349" s="27"/>
      <c r="AB349" s="27"/>
      <c r="AC349" s="27"/>
      <c r="AD349" s="27"/>
      <c r="AE349" s="27"/>
      <c r="AF349" s="27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</row>
    <row r="350" spans="2:54" s="28" customFormat="1">
      <c r="B350" s="27"/>
      <c r="D350" s="194"/>
      <c r="E350" s="29"/>
      <c r="G350" s="30"/>
      <c r="H350" s="195"/>
      <c r="I350" s="195"/>
      <c r="J350" s="195"/>
      <c r="X350" s="57"/>
      <c r="Z350" s="92"/>
      <c r="AA350" s="27"/>
      <c r="AB350" s="27"/>
      <c r="AC350" s="27"/>
      <c r="AD350" s="27"/>
      <c r="AE350" s="27"/>
      <c r="AF350" s="27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</row>
    <row r="351" spans="2:54" s="28" customFormat="1">
      <c r="B351" s="27"/>
      <c r="D351" s="194"/>
      <c r="E351" s="29"/>
      <c r="G351" s="30"/>
      <c r="H351" s="195"/>
      <c r="I351" s="195"/>
      <c r="J351" s="195"/>
      <c r="X351" s="57"/>
      <c r="Z351" s="92"/>
      <c r="AA351" s="27"/>
      <c r="AB351" s="27"/>
      <c r="AC351" s="27"/>
      <c r="AD351" s="27"/>
      <c r="AE351" s="27"/>
      <c r="AF351" s="27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</row>
    <row r="352" spans="2:54" s="28" customFormat="1">
      <c r="B352" s="27"/>
      <c r="D352" s="194"/>
      <c r="E352" s="29"/>
      <c r="G352" s="30"/>
      <c r="H352" s="195"/>
      <c r="I352" s="195"/>
      <c r="J352" s="195"/>
      <c r="X352" s="57"/>
      <c r="Z352" s="92"/>
      <c r="AA352" s="27"/>
      <c r="AB352" s="27"/>
      <c r="AC352" s="27"/>
      <c r="AD352" s="27"/>
      <c r="AE352" s="27"/>
      <c r="AF352" s="27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</row>
    <row r="353" spans="2:54" s="28" customFormat="1">
      <c r="B353" s="27"/>
      <c r="D353" s="194"/>
      <c r="E353" s="29"/>
      <c r="G353" s="30"/>
      <c r="H353" s="195"/>
      <c r="I353" s="195"/>
      <c r="J353" s="195"/>
      <c r="X353" s="57"/>
      <c r="Z353" s="92"/>
      <c r="AA353" s="27"/>
      <c r="AB353" s="27"/>
      <c r="AC353" s="27"/>
      <c r="AD353" s="27"/>
      <c r="AE353" s="27"/>
      <c r="AF353" s="27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</row>
    <row r="354" spans="2:54" s="28" customFormat="1">
      <c r="B354" s="27"/>
      <c r="D354" s="194"/>
      <c r="E354" s="29"/>
      <c r="G354" s="30"/>
      <c r="H354" s="195"/>
      <c r="I354" s="195"/>
      <c r="J354" s="195"/>
      <c r="X354" s="57"/>
      <c r="Z354" s="92"/>
      <c r="AA354" s="27"/>
      <c r="AB354" s="27"/>
      <c r="AC354" s="27"/>
      <c r="AD354" s="27"/>
      <c r="AE354" s="27"/>
      <c r="AF354" s="27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</row>
    <row r="355" spans="2:54" s="28" customFormat="1">
      <c r="B355" s="27"/>
      <c r="D355" s="194"/>
      <c r="E355" s="29"/>
      <c r="G355" s="30"/>
      <c r="H355" s="195"/>
      <c r="I355" s="195"/>
      <c r="J355" s="195"/>
      <c r="X355" s="57"/>
      <c r="Z355" s="92"/>
      <c r="AA355" s="27"/>
      <c r="AB355" s="27"/>
      <c r="AC355" s="27"/>
      <c r="AD355" s="27"/>
      <c r="AE355" s="27"/>
      <c r="AF355" s="27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</row>
    <row r="356" spans="2:54" s="28" customFormat="1">
      <c r="B356" s="27"/>
      <c r="D356" s="194"/>
      <c r="E356" s="29"/>
      <c r="G356" s="30"/>
      <c r="H356" s="195"/>
      <c r="I356" s="195"/>
      <c r="J356" s="195"/>
      <c r="X356" s="57"/>
      <c r="Z356" s="92"/>
      <c r="AA356" s="27"/>
      <c r="AB356" s="27"/>
      <c r="AC356" s="27"/>
      <c r="AD356" s="27"/>
      <c r="AE356" s="27"/>
      <c r="AF356" s="27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</row>
    <row r="357" spans="2:54" s="28" customFormat="1">
      <c r="B357" s="27"/>
      <c r="D357" s="194"/>
      <c r="E357" s="29"/>
      <c r="G357" s="30"/>
      <c r="H357" s="195"/>
      <c r="I357" s="195"/>
      <c r="J357" s="195"/>
      <c r="X357" s="57"/>
      <c r="Z357" s="92"/>
      <c r="AA357" s="27"/>
      <c r="AB357" s="27"/>
      <c r="AC357" s="27"/>
      <c r="AD357" s="27"/>
      <c r="AE357" s="27"/>
      <c r="AF357" s="27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</row>
    <row r="358" spans="2:54" s="28" customFormat="1">
      <c r="B358" s="27"/>
      <c r="D358" s="194"/>
      <c r="E358" s="29"/>
      <c r="G358" s="30"/>
      <c r="H358" s="195"/>
      <c r="I358" s="195"/>
      <c r="J358" s="195"/>
      <c r="X358" s="57"/>
      <c r="Z358" s="92"/>
      <c r="AA358" s="27"/>
      <c r="AB358" s="27"/>
      <c r="AC358" s="27"/>
      <c r="AD358" s="27"/>
      <c r="AE358" s="27"/>
      <c r="AF358" s="27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</row>
    <row r="359" spans="2:54" s="28" customFormat="1">
      <c r="B359" s="27"/>
      <c r="D359" s="194"/>
      <c r="E359" s="29"/>
      <c r="G359" s="30"/>
      <c r="H359" s="195"/>
      <c r="I359" s="195"/>
      <c r="J359" s="195"/>
      <c r="X359" s="57"/>
      <c r="Z359" s="92"/>
      <c r="AA359" s="27"/>
      <c r="AB359" s="27"/>
      <c r="AC359" s="27"/>
      <c r="AD359" s="27"/>
      <c r="AE359" s="27"/>
      <c r="AF359" s="27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</row>
    <row r="360" spans="2:54" s="28" customFormat="1">
      <c r="B360" s="27"/>
      <c r="D360" s="194"/>
      <c r="E360" s="29"/>
      <c r="G360" s="30"/>
      <c r="H360" s="195"/>
      <c r="I360" s="195"/>
      <c r="J360" s="195"/>
      <c r="X360" s="57"/>
      <c r="Z360" s="92"/>
      <c r="AA360" s="27"/>
      <c r="AB360" s="27"/>
      <c r="AC360" s="27"/>
      <c r="AD360" s="27"/>
      <c r="AE360" s="27"/>
      <c r="AF360" s="27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</row>
    <row r="361" spans="2:54" s="28" customFormat="1">
      <c r="B361" s="27"/>
      <c r="D361" s="194"/>
      <c r="E361" s="29"/>
      <c r="G361" s="30"/>
      <c r="H361" s="195"/>
      <c r="I361" s="195"/>
      <c r="J361" s="195"/>
      <c r="X361" s="57"/>
      <c r="Z361" s="92"/>
      <c r="AA361" s="27"/>
      <c r="AB361" s="27"/>
      <c r="AC361" s="27"/>
      <c r="AD361" s="27"/>
      <c r="AE361" s="27"/>
      <c r="AF361" s="27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</row>
    <row r="362" spans="2:54" s="28" customFormat="1">
      <c r="B362" s="27"/>
      <c r="D362" s="194"/>
      <c r="E362" s="29"/>
      <c r="G362" s="30"/>
      <c r="H362" s="195"/>
      <c r="I362" s="195"/>
      <c r="J362" s="195"/>
      <c r="X362" s="57"/>
      <c r="Z362" s="92"/>
      <c r="AA362" s="27"/>
      <c r="AB362" s="27"/>
      <c r="AC362" s="27"/>
      <c r="AD362" s="27"/>
      <c r="AE362" s="27"/>
      <c r="AF362" s="27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</row>
    <row r="363" spans="2:54" s="28" customFormat="1">
      <c r="B363" s="27"/>
      <c r="D363" s="194"/>
      <c r="E363" s="29"/>
      <c r="G363" s="30"/>
      <c r="H363" s="195"/>
      <c r="I363" s="195"/>
      <c r="J363" s="195"/>
      <c r="X363" s="57"/>
      <c r="Z363" s="92"/>
      <c r="AA363" s="27"/>
      <c r="AB363" s="27"/>
      <c r="AC363" s="27"/>
      <c r="AD363" s="27"/>
      <c r="AE363" s="27"/>
      <c r="AF363" s="27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</row>
    <row r="364" spans="2:54" s="28" customFormat="1">
      <c r="B364" s="27"/>
      <c r="D364" s="194"/>
      <c r="E364" s="29"/>
      <c r="G364" s="30"/>
      <c r="H364" s="195"/>
      <c r="I364" s="195"/>
      <c r="J364" s="195"/>
      <c r="X364" s="57"/>
      <c r="Z364" s="92"/>
      <c r="AA364" s="27"/>
      <c r="AB364" s="27"/>
      <c r="AC364" s="27"/>
      <c r="AD364" s="27"/>
      <c r="AE364" s="27"/>
      <c r="AF364" s="27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</row>
    <row r="365" spans="2:54" s="28" customFormat="1">
      <c r="B365" s="27"/>
      <c r="D365" s="194"/>
      <c r="E365" s="29"/>
      <c r="G365" s="30"/>
      <c r="H365" s="195"/>
      <c r="I365" s="195"/>
      <c r="J365" s="195"/>
      <c r="X365" s="57"/>
      <c r="Z365" s="92"/>
      <c r="AA365" s="27"/>
      <c r="AB365" s="27"/>
      <c r="AC365" s="27"/>
      <c r="AD365" s="27"/>
      <c r="AE365" s="27"/>
      <c r="AF365" s="27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</row>
    <row r="366" spans="2:54" s="28" customFormat="1">
      <c r="B366" s="27"/>
      <c r="D366" s="194"/>
      <c r="E366" s="29"/>
      <c r="G366" s="30"/>
      <c r="H366" s="195"/>
      <c r="I366" s="195"/>
      <c r="J366" s="195"/>
      <c r="X366" s="57"/>
      <c r="Z366" s="92"/>
      <c r="AA366" s="27"/>
      <c r="AB366" s="27"/>
      <c r="AC366" s="27"/>
      <c r="AD366" s="27"/>
      <c r="AE366" s="27"/>
      <c r="AF366" s="27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</row>
    <row r="367" spans="2:54" s="28" customFormat="1">
      <c r="B367" s="27"/>
      <c r="D367" s="194"/>
      <c r="E367" s="29"/>
      <c r="G367" s="30"/>
      <c r="H367" s="195"/>
      <c r="I367" s="195"/>
      <c r="J367" s="195"/>
      <c r="X367" s="57"/>
      <c r="Z367" s="92"/>
      <c r="AA367" s="27"/>
      <c r="AB367" s="27"/>
      <c r="AC367" s="27"/>
      <c r="AD367" s="27"/>
      <c r="AE367" s="27"/>
      <c r="AF367" s="27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</row>
    <row r="368" spans="2:54" s="28" customFormat="1">
      <c r="B368" s="27"/>
      <c r="D368" s="194"/>
      <c r="E368" s="29"/>
      <c r="G368" s="30"/>
      <c r="H368" s="195"/>
      <c r="I368" s="195"/>
      <c r="J368" s="195"/>
      <c r="X368" s="57"/>
      <c r="Z368" s="92"/>
      <c r="AA368" s="27"/>
      <c r="AB368" s="27"/>
      <c r="AC368" s="27"/>
      <c r="AD368" s="27"/>
      <c r="AE368" s="27"/>
      <c r="AF368" s="27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</row>
    <row r="369" spans="2:54" s="28" customFormat="1">
      <c r="B369" s="27"/>
      <c r="D369" s="194"/>
      <c r="E369" s="29"/>
      <c r="G369" s="30"/>
      <c r="H369" s="195"/>
      <c r="I369" s="195"/>
      <c r="J369" s="195"/>
      <c r="X369" s="57"/>
      <c r="Z369" s="92"/>
      <c r="AA369" s="27"/>
      <c r="AB369" s="27"/>
      <c r="AC369" s="27"/>
      <c r="AD369" s="27"/>
      <c r="AE369" s="27"/>
      <c r="AF369" s="27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</row>
    <row r="370" spans="2:54" s="28" customFormat="1">
      <c r="B370" s="27"/>
      <c r="D370" s="194"/>
      <c r="E370" s="29"/>
      <c r="G370" s="30"/>
      <c r="H370" s="195"/>
      <c r="I370" s="195"/>
      <c r="J370" s="195"/>
      <c r="X370" s="57"/>
      <c r="Z370" s="92"/>
      <c r="AA370" s="27"/>
      <c r="AB370" s="27"/>
      <c r="AC370" s="27"/>
      <c r="AD370" s="27"/>
      <c r="AE370" s="27"/>
      <c r="AF370" s="27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</row>
    <row r="371" spans="2:54" s="28" customFormat="1">
      <c r="B371" s="27"/>
      <c r="D371" s="194"/>
      <c r="E371" s="29"/>
      <c r="G371" s="30"/>
      <c r="H371" s="195"/>
      <c r="I371" s="195"/>
      <c r="J371" s="195"/>
      <c r="X371" s="57"/>
      <c r="Z371" s="92"/>
      <c r="AA371" s="27"/>
      <c r="AB371" s="27"/>
      <c r="AC371" s="27"/>
      <c r="AD371" s="27"/>
      <c r="AE371" s="27"/>
      <c r="AF371" s="27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</row>
    <row r="372" spans="2:54" s="28" customFormat="1">
      <c r="B372" s="27"/>
      <c r="D372" s="194"/>
      <c r="E372" s="29"/>
      <c r="G372" s="30"/>
      <c r="H372" s="195"/>
      <c r="I372" s="195"/>
      <c r="J372" s="195"/>
      <c r="X372" s="57"/>
      <c r="Z372" s="92"/>
      <c r="AA372" s="27"/>
      <c r="AB372" s="27"/>
      <c r="AC372" s="27"/>
      <c r="AD372" s="27"/>
      <c r="AE372" s="27"/>
      <c r="AF372" s="27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</row>
    <row r="373" spans="2:54" s="28" customFormat="1">
      <c r="B373" s="27"/>
      <c r="D373" s="194"/>
      <c r="E373" s="29"/>
      <c r="G373" s="30"/>
      <c r="H373" s="195"/>
      <c r="I373" s="195"/>
      <c r="J373" s="195"/>
      <c r="X373" s="57"/>
      <c r="Z373" s="92"/>
      <c r="AA373" s="27"/>
      <c r="AB373" s="27"/>
      <c r="AC373" s="27"/>
      <c r="AD373" s="27"/>
      <c r="AE373" s="27"/>
      <c r="AF373" s="27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</row>
    <row r="374" spans="2:54" s="28" customFormat="1">
      <c r="B374" s="27"/>
      <c r="D374" s="194"/>
      <c r="E374" s="29"/>
      <c r="G374" s="30"/>
      <c r="H374" s="195"/>
      <c r="I374" s="195"/>
      <c r="J374" s="195"/>
      <c r="X374" s="57"/>
      <c r="Z374" s="92"/>
      <c r="AA374" s="27"/>
      <c r="AB374" s="27"/>
      <c r="AC374" s="27"/>
      <c r="AD374" s="27"/>
      <c r="AE374" s="27"/>
      <c r="AF374" s="27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</row>
    <row r="375" spans="2:54" s="28" customFormat="1">
      <c r="B375" s="27"/>
      <c r="D375" s="194"/>
      <c r="E375" s="29"/>
      <c r="G375" s="30"/>
      <c r="H375" s="195"/>
      <c r="I375" s="195"/>
      <c r="J375" s="195"/>
      <c r="X375" s="57"/>
      <c r="Z375" s="92"/>
      <c r="AA375" s="27"/>
      <c r="AB375" s="27"/>
      <c r="AC375" s="27"/>
      <c r="AD375" s="27"/>
      <c r="AE375" s="27"/>
      <c r="AF375" s="27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</row>
    <row r="376" spans="2:54" s="28" customFormat="1">
      <c r="B376" s="27"/>
      <c r="D376" s="194"/>
      <c r="E376" s="29"/>
      <c r="G376" s="30"/>
      <c r="H376" s="195"/>
      <c r="I376" s="195"/>
      <c r="J376" s="195"/>
      <c r="X376" s="57"/>
      <c r="Z376" s="92"/>
      <c r="AA376" s="27"/>
      <c r="AB376" s="27"/>
      <c r="AC376" s="27"/>
      <c r="AD376" s="27"/>
      <c r="AE376" s="27"/>
      <c r="AF376" s="27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</row>
    <row r="377" spans="2:54" s="28" customFormat="1">
      <c r="B377" s="27"/>
      <c r="D377" s="194"/>
      <c r="E377" s="29"/>
      <c r="G377" s="30"/>
      <c r="H377" s="195"/>
      <c r="I377" s="195"/>
      <c r="J377" s="195"/>
      <c r="X377" s="57"/>
      <c r="Z377" s="92"/>
      <c r="AA377" s="27"/>
      <c r="AB377" s="27"/>
      <c r="AC377" s="27"/>
      <c r="AD377" s="27"/>
      <c r="AE377" s="27"/>
      <c r="AF377" s="27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</row>
    <row r="378" spans="2:54" s="28" customFormat="1">
      <c r="B378" s="27"/>
      <c r="D378" s="194"/>
      <c r="E378" s="29"/>
      <c r="G378" s="30"/>
      <c r="H378" s="195"/>
      <c r="I378" s="195"/>
      <c r="J378" s="195"/>
      <c r="X378" s="57"/>
      <c r="Z378" s="92"/>
      <c r="AA378" s="27"/>
      <c r="AB378" s="27"/>
      <c r="AC378" s="27"/>
      <c r="AD378" s="27"/>
      <c r="AE378" s="27"/>
      <c r="AF378" s="27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</row>
    <row r="379" spans="2:54" s="28" customFormat="1">
      <c r="B379" s="27"/>
      <c r="D379" s="194"/>
      <c r="E379" s="29"/>
      <c r="G379" s="30"/>
      <c r="H379" s="195"/>
      <c r="I379" s="195"/>
      <c r="J379" s="195"/>
      <c r="X379" s="57"/>
      <c r="Z379" s="92"/>
      <c r="AA379" s="27"/>
      <c r="AB379" s="27"/>
      <c r="AC379" s="27"/>
      <c r="AD379" s="27"/>
      <c r="AE379" s="27"/>
      <c r="AF379" s="27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</row>
    <row r="380" spans="2:54" s="28" customFormat="1">
      <c r="B380" s="27"/>
      <c r="D380" s="194"/>
      <c r="E380" s="29"/>
      <c r="G380" s="30"/>
      <c r="H380" s="195"/>
      <c r="I380" s="195"/>
      <c r="J380" s="195"/>
      <c r="X380" s="57"/>
      <c r="Z380" s="92"/>
      <c r="AA380" s="27"/>
      <c r="AB380" s="27"/>
      <c r="AC380" s="27"/>
      <c r="AD380" s="27"/>
      <c r="AE380" s="27"/>
      <c r="AF380" s="27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</row>
    <row r="381" spans="2:54" s="28" customFormat="1">
      <c r="B381" s="27"/>
      <c r="D381" s="194"/>
      <c r="E381" s="29"/>
      <c r="G381" s="30"/>
      <c r="H381" s="195"/>
      <c r="I381" s="195"/>
      <c r="J381" s="195"/>
      <c r="X381" s="57"/>
      <c r="Z381" s="92"/>
      <c r="AA381" s="27"/>
      <c r="AB381" s="27"/>
      <c r="AC381" s="27"/>
      <c r="AD381" s="27"/>
      <c r="AE381" s="27"/>
      <c r="AF381" s="27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</row>
    <row r="382" spans="2:54" s="28" customFormat="1">
      <c r="B382" s="27"/>
      <c r="D382" s="194"/>
      <c r="E382" s="29"/>
      <c r="G382" s="30"/>
      <c r="H382" s="195"/>
      <c r="I382" s="195"/>
      <c r="J382" s="195"/>
      <c r="X382" s="57"/>
      <c r="Z382" s="92"/>
      <c r="AA382" s="27"/>
      <c r="AB382" s="27"/>
      <c r="AC382" s="27"/>
      <c r="AD382" s="27"/>
      <c r="AE382" s="27"/>
      <c r="AF382" s="27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</row>
    <row r="383" spans="2:54" s="28" customFormat="1">
      <c r="B383" s="27"/>
      <c r="D383" s="194"/>
      <c r="E383" s="29"/>
      <c r="G383" s="30"/>
      <c r="H383" s="195"/>
      <c r="I383" s="195"/>
      <c r="J383" s="195"/>
      <c r="X383" s="57"/>
      <c r="Z383" s="92"/>
      <c r="AA383" s="27"/>
      <c r="AB383" s="27"/>
      <c r="AC383" s="27"/>
      <c r="AD383" s="27"/>
      <c r="AE383" s="27"/>
      <c r="AF383" s="27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</row>
    <row r="384" spans="2:54" s="28" customFormat="1">
      <c r="B384" s="27"/>
      <c r="D384" s="194"/>
      <c r="E384" s="29"/>
      <c r="G384" s="30"/>
      <c r="H384" s="195"/>
      <c r="I384" s="195"/>
      <c r="J384" s="195"/>
      <c r="X384" s="57"/>
      <c r="Z384" s="92"/>
      <c r="AA384" s="27"/>
      <c r="AB384" s="27"/>
      <c r="AC384" s="27"/>
      <c r="AD384" s="27"/>
      <c r="AE384" s="27"/>
      <c r="AF384" s="27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</row>
    <row r="385" spans="2:54" s="28" customFormat="1">
      <c r="B385" s="27"/>
      <c r="D385" s="194"/>
      <c r="E385" s="29"/>
      <c r="G385" s="30"/>
      <c r="H385" s="195"/>
      <c r="I385" s="195"/>
      <c r="J385" s="195"/>
      <c r="X385" s="57"/>
      <c r="Z385" s="92"/>
      <c r="AA385" s="27"/>
      <c r="AB385" s="27"/>
      <c r="AC385" s="27"/>
      <c r="AD385" s="27"/>
      <c r="AE385" s="27"/>
      <c r="AF385" s="27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</row>
    <row r="386" spans="2:54" s="28" customFormat="1">
      <c r="B386" s="27"/>
      <c r="D386" s="194"/>
      <c r="E386" s="29"/>
      <c r="G386" s="30"/>
      <c r="H386" s="195"/>
      <c r="I386" s="195"/>
      <c r="J386" s="195"/>
      <c r="X386" s="57"/>
      <c r="Z386" s="92"/>
      <c r="AA386" s="27"/>
      <c r="AB386" s="27"/>
      <c r="AC386" s="27"/>
      <c r="AD386" s="27"/>
      <c r="AE386" s="27"/>
      <c r="AF386" s="27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</row>
    <row r="387" spans="2:54" s="28" customFormat="1">
      <c r="B387" s="27"/>
      <c r="D387" s="194"/>
      <c r="E387" s="29"/>
      <c r="G387" s="30"/>
      <c r="H387" s="195"/>
      <c r="I387" s="195"/>
      <c r="J387" s="195"/>
      <c r="X387" s="57"/>
      <c r="Z387" s="92"/>
      <c r="AA387" s="27"/>
      <c r="AB387" s="27"/>
      <c r="AC387" s="27"/>
      <c r="AD387" s="27"/>
      <c r="AE387" s="27"/>
      <c r="AF387" s="27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</row>
    <row r="388" spans="2:54" s="28" customFormat="1">
      <c r="B388" s="27"/>
      <c r="D388" s="194"/>
      <c r="E388" s="29"/>
      <c r="G388" s="30"/>
      <c r="H388" s="195"/>
      <c r="I388" s="195"/>
      <c r="J388" s="195"/>
      <c r="X388" s="57"/>
      <c r="Z388" s="92"/>
      <c r="AA388" s="27"/>
      <c r="AB388" s="27"/>
      <c r="AC388" s="27"/>
      <c r="AD388" s="27"/>
      <c r="AE388" s="27"/>
      <c r="AF388" s="27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</row>
    <row r="389" spans="2:54" s="28" customFormat="1">
      <c r="B389" s="27"/>
      <c r="D389" s="194"/>
      <c r="E389" s="29"/>
      <c r="G389" s="30"/>
      <c r="H389" s="195"/>
      <c r="I389" s="195"/>
      <c r="J389" s="195"/>
      <c r="X389" s="57"/>
      <c r="Z389" s="92"/>
      <c r="AA389" s="27"/>
      <c r="AB389" s="27"/>
      <c r="AC389" s="27"/>
      <c r="AD389" s="27"/>
      <c r="AE389" s="27"/>
      <c r="AF389" s="27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</row>
    <row r="390" spans="2:54" s="28" customFormat="1">
      <c r="B390" s="27"/>
      <c r="D390" s="194"/>
      <c r="E390" s="29"/>
      <c r="G390" s="30"/>
      <c r="H390" s="195"/>
      <c r="I390" s="195"/>
      <c r="J390" s="195"/>
      <c r="X390" s="57"/>
      <c r="Z390" s="92"/>
      <c r="AA390" s="27"/>
      <c r="AB390" s="27"/>
      <c r="AC390" s="27"/>
      <c r="AD390" s="27"/>
      <c r="AE390" s="27"/>
      <c r="AF390" s="27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</row>
    <row r="391" spans="2:54" s="28" customFormat="1">
      <c r="B391" s="27"/>
      <c r="D391" s="194"/>
      <c r="E391" s="29"/>
      <c r="G391" s="30"/>
      <c r="H391" s="195"/>
      <c r="I391" s="195"/>
      <c r="J391" s="195"/>
      <c r="X391" s="57"/>
      <c r="Z391" s="92"/>
      <c r="AA391" s="27"/>
      <c r="AB391" s="27"/>
      <c r="AC391" s="27"/>
      <c r="AD391" s="27"/>
      <c r="AE391" s="27"/>
      <c r="AF391" s="27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</row>
    <row r="392" spans="2:54" s="28" customFormat="1">
      <c r="B392" s="27"/>
      <c r="D392" s="194"/>
      <c r="E392" s="29"/>
      <c r="G392" s="30"/>
      <c r="H392" s="195"/>
      <c r="I392" s="195"/>
      <c r="J392" s="195"/>
      <c r="X392" s="57"/>
      <c r="Z392" s="92"/>
      <c r="AA392" s="27"/>
      <c r="AB392" s="27"/>
      <c r="AC392" s="27"/>
      <c r="AD392" s="27"/>
      <c r="AE392" s="27"/>
      <c r="AF392" s="27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</row>
    <row r="393" spans="2:54" s="28" customFormat="1">
      <c r="B393" s="27"/>
      <c r="D393" s="194"/>
      <c r="E393" s="29"/>
      <c r="G393" s="30"/>
      <c r="H393" s="195"/>
      <c r="I393" s="195"/>
      <c r="J393" s="195"/>
      <c r="X393" s="57"/>
      <c r="Z393" s="92"/>
      <c r="AA393" s="27"/>
      <c r="AB393" s="27"/>
      <c r="AC393" s="27"/>
      <c r="AD393" s="27"/>
      <c r="AE393" s="27"/>
      <c r="AF393" s="27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</row>
    <row r="394" spans="2:54" s="28" customFormat="1">
      <c r="B394" s="27"/>
      <c r="D394" s="194"/>
      <c r="E394" s="29"/>
      <c r="G394" s="30"/>
      <c r="H394" s="195"/>
      <c r="I394" s="195"/>
      <c r="J394" s="195"/>
      <c r="X394" s="57"/>
      <c r="Z394" s="92"/>
      <c r="AA394" s="27"/>
      <c r="AB394" s="27"/>
      <c r="AC394" s="27"/>
      <c r="AD394" s="27"/>
      <c r="AE394" s="27"/>
      <c r="AF394" s="27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</row>
    <row r="395" spans="2:54" s="28" customFormat="1">
      <c r="B395" s="27"/>
      <c r="D395" s="194"/>
      <c r="E395" s="29"/>
      <c r="G395" s="30"/>
      <c r="H395" s="195"/>
      <c r="I395" s="195"/>
      <c r="J395" s="195"/>
      <c r="X395" s="57"/>
      <c r="Z395" s="92"/>
      <c r="AA395" s="27"/>
      <c r="AB395" s="27"/>
      <c r="AC395" s="27"/>
      <c r="AD395" s="27"/>
      <c r="AE395" s="27"/>
      <c r="AF395" s="27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</row>
    <row r="396" spans="2:54" s="28" customFormat="1">
      <c r="B396" s="27"/>
      <c r="D396" s="194"/>
      <c r="E396" s="29"/>
      <c r="G396" s="30"/>
      <c r="H396" s="195"/>
      <c r="I396" s="195"/>
      <c r="J396" s="195"/>
      <c r="X396" s="57"/>
      <c r="Z396" s="92"/>
      <c r="AA396" s="27"/>
      <c r="AB396" s="27"/>
      <c r="AC396" s="27"/>
      <c r="AD396" s="27"/>
      <c r="AE396" s="27"/>
      <c r="AF396" s="27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</row>
    <row r="397" spans="2:54" s="28" customFormat="1">
      <c r="B397" s="27"/>
      <c r="D397" s="194"/>
      <c r="E397" s="29"/>
      <c r="G397" s="30"/>
      <c r="H397" s="195"/>
      <c r="I397" s="195"/>
      <c r="J397" s="195"/>
      <c r="X397" s="57"/>
      <c r="Z397" s="92"/>
      <c r="AA397" s="27"/>
      <c r="AB397" s="27"/>
      <c r="AC397" s="27"/>
      <c r="AD397" s="27"/>
      <c r="AE397" s="27"/>
      <c r="AF397" s="27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</row>
    <row r="398" spans="2:54" s="28" customFormat="1">
      <c r="B398" s="27"/>
      <c r="D398" s="194"/>
      <c r="E398" s="29"/>
      <c r="G398" s="30"/>
      <c r="H398" s="195"/>
      <c r="I398" s="195"/>
      <c r="J398" s="195"/>
      <c r="X398" s="57"/>
      <c r="Z398" s="92"/>
      <c r="AA398" s="27"/>
      <c r="AB398" s="27"/>
      <c r="AC398" s="27"/>
      <c r="AD398" s="27"/>
      <c r="AE398" s="27"/>
      <c r="AF398" s="27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</row>
    <row r="399" spans="2:54" s="28" customFormat="1">
      <c r="B399" s="27"/>
      <c r="D399" s="194"/>
      <c r="E399" s="29"/>
      <c r="G399" s="30"/>
      <c r="H399" s="195"/>
      <c r="I399" s="195"/>
      <c r="J399" s="195"/>
      <c r="X399" s="57"/>
      <c r="Z399" s="92"/>
      <c r="AA399" s="27"/>
      <c r="AB399" s="27"/>
      <c r="AC399" s="27"/>
      <c r="AD399" s="27"/>
      <c r="AE399" s="27"/>
      <c r="AF399" s="27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</row>
    <row r="400" spans="2:54" s="28" customFormat="1">
      <c r="B400" s="27"/>
      <c r="D400" s="194"/>
      <c r="E400" s="29"/>
      <c r="G400" s="30"/>
      <c r="H400" s="195"/>
      <c r="I400" s="195"/>
      <c r="J400" s="195"/>
      <c r="X400" s="57"/>
      <c r="Z400" s="92"/>
      <c r="AA400" s="27"/>
      <c r="AB400" s="27"/>
      <c r="AC400" s="27"/>
      <c r="AD400" s="27"/>
      <c r="AE400" s="27"/>
      <c r="AF400" s="27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</row>
    <row r="401" spans="2:54" s="28" customFormat="1">
      <c r="B401" s="27"/>
      <c r="D401" s="194"/>
      <c r="E401" s="29"/>
      <c r="G401" s="30"/>
      <c r="H401" s="195"/>
      <c r="I401" s="195"/>
      <c r="J401" s="195"/>
      <c r="X401" s="57"/>
      <c r="Z401" s="92"/>
      <c r="AA401" s="27"/>
      <c r="AB401" s="27"/>
      <c r="AC401" s="27"/>
      <c r="AD401" s="27"/>
      <c r="AE401" s="27"/>
      <c r="AF401" s="27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</row>
    <row r="402" spans="2:54" s="28" customFormat="1">
      <c r="B402" s="27"/>
      <c r="D402" s="194"/>
      <c r="E402" s="29"/>
      <c r="G402" s="30"/>
      <c r="H402" s="195"/>
      <c r="I402" s="195"/>
      <c r="J402" s="195"/>
      <c r="X402" s="57"/>
      <c r="Z402" s="92"/>
      <c r="AA402" s="27"/>
      <c r="AB402" s="27"/>
      <c r="AC402" s="27"/>
      <c r="AD402" s="27"/>
      <c r="AE402" s="27"/>
      <c r="AF402" s="27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</row>
    <row r="403" spans="2:54" s="28" customFormat="1">
      <c r="B403" s="27"/>
      <c r="D403" s="194"/>
      <c r="E403" s="29"/>
      <c r="G403" s="30"/>
      <c r="H403" s="195"/>
      <c r="I403" s="195"/>
      <c r="J403" s="195"/>
      <c r="X403" s="57"/>
      <c r="Z403" s="92"/>
      <c r="AA403" s="27"/>
      <c r="AB403" s="27"/>
      <c r="AC403" s="27"/>
      <c r="AD403" s="27"/>
      <c r="AE403" s="27"/>
      <c r="AF403" s="27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</row>
    <row r="404" spans="2:54" s="28" customFormat="1">
      <c r="B404" s="27"/>
      <c r="D404" s="194"/>
      <c r="E404" s="29"/>
      <c r="G404" s="30"/>
      <c r="H404" s="195"/>
      <c r="I404" s="195"/>
      <c r="J404" s="195"/>
      <c r="X404" s="57"/>
      <c r="Z404" s="92"/>
      <c r="AA404" s="27"/>
      <c r="AB404" s="27"/>
      <c r="AC404" s="27"/>
      <c r="AD404" s="27"/>
      <c r="AE404" s="27"/>
      <c r="AF404" s="27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</row>
    <row r="405" spans="2:54" s="28" customFormat="1">
      <c r="B405" s="27"/>
      <c r="D405" s="194"/>
      <c r="E405" s="29"/>
      <c r="G405" s="30"/>
      <c r="H405" s="195"/>
      <c r="I405" s="195"/>
      <c r="J405" s="195"/>
      <c r="X405" s="57"/>
      <c r="Z405" s="92"/>
      <c r="AA405" s="27"/>
      <c r="AB405" s="27"/>
      <c r="AC405" s="27"/>
      <c r="AD405" s="27"/>
      <c r="AE405" s="27"/>
      <c r="AF405" s="27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</row>
    <row r="406" spans="2:54" s="28" customFormat="1">
      <c r="B406" s="27"/>
      <c r="D406" s="194"/>
      <c r="E406" s="29"/>
      <c r="G406" s="30"/>
      <c r="H406" s="195"/>
      <c r="I406" s="195"/>
      <c r="J406" s="195"/>
      <c r="X406" s="57"/>
      <c r="Z406" s="92"/>
      <c r="AA406" s="27"/>
      <c r="AB406" s="27"/>
      <c r="AC406" s="27"/>
      <c r="AD406" s="27"/>
      <c r="AE406" s="27"/>
      <c r="AF406" s="27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</row>
    <row r="407" spans="2:54" s="28" customFormat="1">
      <c r="B407" s="27"/>
      <c r="D407" s="194"/>
      <c r="E407" s="29"/>
      <c r="G407" s="30"/>
      <c r="H407" s="195"/>
      <c r="I407" s="195"/>
      <c r="J407" s="195"/>
      <c r="X407" s="57"/>
      <c r="Z407" s="92"/>
      <c r="AA407" s="27"/>
      <c r="AB407" s="27"/>
      <c r="AC407" s="27"/>
      <c r="AD407" s="27"/>
      <c r="AE407" s="27"/>
      <c r="AF407" s="27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</row>
    <row r="408" spans="2:54" s="28" customFormat="1">
      <c r="B408" s="27"/>
      <c r="D408" s="194"/>
      <c r="E408" s="29"/>
      <c r="G408" s="30"/>
      <c r="H408" s="195"/>
      <c r="I408" s="195"/>
      <c r="J408" s="195"/>
      <c r="X408" s="57"/>
      <c r="Z408" s="92"/>
      <c r="AA408" s="27"/>
      <c r="AB408" s="27"/>
      <c r="AC408" s="27"/>
      <c r="AD408" s="27"/>
      <c r="AE408" s="27"/>
      <c r="AF408" s="27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</row>
    <row r="409" spans="2:54" s="28" customFormat="1">
      <c r="B409" s="27"/>
      <c r="D409" s="194"/>
      <c r="E409" s="29"/>
      <c r="G409" s="30"/>
      <c r="H409" s="195"/>
      <c r="I409" s="195"/>
      <c r="J409" s="195"/>
      <c r="X409" s="57"/>
      <c r="Z409" s="92"/>
      <c r="AA409" s="27"/>
      <c r="AB409" s="27"/>
      <c r="AC409" s="27"/>
      <c r="AD409" s="27"/>
      <c r="AE409" s="27"/>
      <c r="AF409" s="27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</row>
    <row r="410" spans="2:54" s="28" customFormat="1">
      <c r="B410" s="27"/>
      <c r="D410" s="194"/>
      <c r="E410" s="29"/>
      <c r="G410" s="30"/>
      <c r="H410" s="195"/>
      <c r="I410" s="195"/>
      <c r="J410" s="195"/>
      <c r="X410" s="57"/>
      <c r="Z410" s="92"/>
      <c r="AA410" s="27"/>
      <c r="AB410" s="27"/>
      <c r="AC410" s="27"/>
      <c r="AD410" s="27"/>
      <c r="AE410" s="27"/>
      <c r="AF410" s="27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</row>
    <row r="411" spans="2:54" s="28" customFormat="1">
      <c r="B411" s="27"/>
      <c r="D411" s="194"/>
      <c r="E411" s="29"/>
      <c r="G411" s="30"/>
      <c r="H411" s="195"/>
      <c r="I411" s="195"/>
      <c r="J411" s="195"/>
      <c r="X411" s="57"/>
      <c r="Z411" s="92"/>
      <c r="AA411" s="27"/>
      <c r="AB411" s="27"/>
      <c r="AC411" s="27"/>
      <c r="AD411" s="27"/>
      <c r="AE411" s="27"/>
      <c r="AF411" s="27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</row>
    <row r="412" spans="2:54" s="28" customFormat="1">
      <c r="B412" s="27"/>
      <c r="D412" s="194"/>
      <c r="E412" s="29"/>
      <c r="G412" s="30"/>
      <c r="H412" s="195"/>
      <c r="I412" s="195"/>
      <c r="J412" s="195"/>
      <c r="X412" s="57"/>
      <c r="Z412" s="92"/>
      <c r="AA412" s="27"/>
      <c r="AB412" s="27"/>
      <c r="AC412" s="27"/>
      <c r="AD412" s="27"/>
      <c r="AE412" s="27"/>
      <c r="AF412" s="27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</row>
    <row r="413" spans="2:54" s="28" customFormat="1">
      <c r="B413" s="27"/>
      <c r="D413" s="194"/>
      <c r="E413" s="29"/>
      <c r="G413" s="30"/>
      <c r="H413" s="195"/>
      <c r="I413" s="195"/>
      <c r="J413" s="195"/>
      <c r="X413" s="57"/>
      <c r="Z413" s="92"/>
      <c r="AA413" s="27"/>
      <c r="AB413" s="27"/>
      <c r="AC413" s="27"/>
      <c r="AD413" s="27"/>
      <c r="AE413" s="27"/>
      <c r="AF413" s="27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</row>
    <row r="414" spans="2:54" s="28" customFormat="1">
      <c r="B414" s="27"/>
      <c r="D414" s="194"/>
      <c r="E414" s="29"/>
      <c r="G414" s="30"/>
      <c r="H414" s="195"/>
      <c r="I414" s="195"/>
      <c r="J414" s="195"/>
      <c r="X414" s="57"/>
      <c r="Z414" s="92"/>
      <c r="AA414" s="27"/>
      <c r="AB414" s="27"/>
      <c r="AC414" s="27"/>
      <c r="AD414" s="27"/>
      <c r="AE414" s="27"/>
      <c r="AF414" s="27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</row>
    <row r="415" spans="2:54" s="28" customFormat="1">
      <c r="B415" s="27"/>
      <c r="D415" s="194"/>
      <c r="E415" s="29"/>
      <c r="G415" s="30"/>
      <c r="H415" s="195"/>
      <c r="I415" s="195"/>
      <c r="J415" s="195"/>
      <c r="X415" s="57"/>
      <c r="Z415" s="92"/>
      <c r="AA415" s="27"/>
      <c r="AB415" s="27"/>
      <c r="AC415" s="27"/>
      <c r="AD415" s="27"/>
      <c r="AE415" s="27"/>
      <c r="AF415" s="27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</row>
    <row r="416" spans="2:54" s="28" customFormat="1">
      <c r="B416" s="27"/>
      <c r="D416" s="194"/>
      <c r="E416" s="29"/>
      <c r="G416" s="30"/>
      <c r="H416" s="195"/>
      <c r="I416" s="195"/>
      <c r="J416" s="195"/>
      <c r="X416" s="57"/>
      <c r="Z416" s="92"/>
      <c r="AA416" s="27"/>
      <c r="AB416" s="27"/>
      <c r="AC416" s="27"/>
      <c r="AD416" s="27"/>
      <c r="AE416" s="27"/>
      <c r="AF416" s="27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</row>
    <row r="417" spans="2:54" s="28" customFormat="1">
      <c r="B417" s="27"/>
      <c r="D417" s="194"/>
      <c r="E417" s="29"/>
      <c r="G417" s="30"/>
      <c r="H417" s="195"/>
      <c r="I417" s="195"/>
      <c r="J417" s="195"/>
      <c r="X417" s="57"/>
      <c r="Z417" s="92"/>
      <c r="AA417" s="27"/>
      <c r="AB417" s="27"/>
      <c r="AC417" s="27"/>
      <c r="AD417" s="27"/>
      <c r="AE417" s="27"/>
      <c r="AF417" s="27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</row>
    <row r="418" spans="2:54" s="28" customFormat="1">
      <c r="B418" s="27"/>
      <c r="D418" s="194"/>
      <c r="E418" s="29"/>
      <c r="G418" s="30"/>
      <c r="H418" s="195"/>
      <c r="I418" s="195"/>
      <c r="J418" s="195"/>
      <c r="X418" s="57"/>
      <c r="Z418" s="92"/>
      <c r="AA418" s="27"/>
      <c r="AB418" s="27"/>
      <c r="AC418" s="27"/>
      <c r="AD418" s="27"/>
      <c r="AE418" s="27"/>
      <c r="AF418" s="27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</row>
    <row r="419" spans="2:54" s="28" customFormat="1">
      <c r="B419" s="27"/>
      <c r="D419" s="194"/>
      <c r="E419" s="29"/>
      <c r="G419" s="30"/>
      <c r="H419" s="195"/>
      <c r="I419" s="195"/>
      <c r="J419" s="195"/>
      <c r="X419" s="57"/>
      <c r="Z419" s="92"/>
      <c r="AA419" s="27"/>
      <c r="AB419" s="27"/>
      <c r="AC419" s="27"/>
      <c r="AD419" s="27"/>
      <c r="AE419" s="27"/>
      <c r="AF419" s="27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</row>
    <row r="420" spans="2:54" s="28" customFormat="1">
      <c r="B420" s="27"/>
      <c r="D420" s="194"/>
      <c r="E420" s="29"/>
      <c r="G420" s="30"/>
      <c r="H420" s="195"/>
      <c r="I420" s="195"/>
      <c r="J420" s="195"/>
      <c r="X420" s="57"/>
      <c r="Z420" s="92"/>
      <c r="AA420" s="27"/>
      <c r="AB420" s="27"/>
      <c r="AC420" s="27"/>
      <c r="AD420" s="27"/>
      <c r="AE420" s="27"/>
      <c r="AF420" s="27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</row>
    <row r="421" spans="2:54" s="28" customFormat="1">
      <c r="B421" s="27"/>
      <c r="D421" s="194"/>
      <c r="E421" s="29"/>
      <c r="G421" s="30"/>
      <c r="H421" s="195"/>
      <c r="I421" s="195"/>
      <c r="J421" s="195"/>
      <c r="X421" s="57"/>
      <c r="Z421" s="92"/>
      <c r="AA421" s="27"/>
      <c r="AB421" s="27"/>
      <c r="AC421" s="27"/>
      <c r="AD421" s="27"/>
      <c r="AE421" s="27"/>
      <c r="AF421" s="27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</row>
    <row r="422" spans="2:54" s="28" customFormat="1">
      <c r="B422" s="27"/>
      <c r="D422" s="194"/>
      <c r="E422" s="29"/>
      <c r="G422" s="30"/>
      <c r="H422" s="195"/>
      <c r="I422" s="195"/>
      <c r="J422" s="195"/>
      <c r="X422" s="57"/>
      <c r="Z422" s="92"/>
      <c r="AA422" s="27"/>
      <c r="AB422" s="27"/>
      <c r="AC422" s="27"/>
      <c r="AD422" s="27"/>
      <c r="AE422" s="27"/>
      <c r="AF422" s="27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</row>
    <row r="423" spans="2:54" s="28" customFormat="1">
      <c r="B423" s="27"/>
      <c r="D423" s="194"/>
      <c r="E423" s="29"/>
      <c r="G423" s="30"/>
      <c r="H423" s="195"/>
      <c r="I423" s="195"/>
      <c r="J423" s="195"/>
      <c r="X423" s="57"/>
      <c r="Z423" s="92"/>
      <c r="AA423" s="27"/>
      <c r="AB423" s="27"/>
      <c r="AC423" s="27"/>
      <c r="AD423" s="27"/>
      <c r="AE423" s="27"/>
      <c r="AF423" s="27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</row>
    <row r="424" spans="2:54" s="28" customFormat="1">
      <c r="B424" s="27"/>
      <c r="D424" s="194"/>
      <c r="E424" s="29"/>
      <c r="G424" s="30"/>
      <c r="H424" s="195"/>
      <c r="I424" s="195"/>
      <c r="J424" s="195"/>
      <c r="X424" s="57"/>
      <c r="Z424" s="92"/>
      <c r="AA424" s="27"/>
      <c r="AB424" s="27"/>
      <c r="AC424" s="27"/>
      <c r="AD424" s="27"/>
      <c r="AE424" s="27"/>
      <c r="AF424" s="27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</row>
    <row r="425" spans="2:54" s="28" customFormat="1">
      <c r="B425" s="27"/>
      <c r="D425" s="194"/>
      <c r="E425" s="29"/>
      <c r="G425" s="30"/>
      <c r="H425" s="195"/>
      <c r="I425" s="195"/>
      <c r="J425" s="195"/>
      <c r="X425" s="57"/>
      <c r="Z425" s="92"/>
      <c r="AA425" s="27"/>
      <c r="AB425" s="27"/>
      <c r="AC425" s="27"/>
      <c r="AD425" s="27"/>
      <c r="AE425" s="27"/>
      <c r="AF425" s="27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</row>
    <row r="426" spans="2:54" s="28" customFormat="1">
      <c r="B426" s="27"/>
      <c r="D426" s="194"/>
      <c r="E426" s="29"/>
      <c r="G426" s="30"/>
      <c r="H426" s="195"/>
      <c r="I426" s="195"/>
      <c r="J426" s="195"/>
      <c r="X426" s="57"/>
      <c r="Z426" s="92"/>
      <c r="AA426" s="27"/>
      <c r="AB426" s="27"/>
      <c r="AC426" s="27"/>
      <c r="AD426" s="27"/>
      <c r="AE426" s="27"/>
      <c r="AF426" s="27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</row>
    <row r="427" spans="2:54" s="28" customFormat="1">
      <c r="B427" s="27"/>
      <c r="D427" s="194"/>
      <c r="E427" s="29"/>
      <c r="G427" s="30"/>
      <c r="H427" s="195"/>
      <c r="I427" s="195"/>
      <c r="J427" s="195"/>
      <c r="X427" s="57"/>
      <c r="Z427" s="92"/>
      <c r="AA427" s="27"/>
      <c r="AB427" s="27"/>
      <c r="AC427" s="27"/>
      <c r="AD427" s="27"/>
      <c r="AE427" s="27"/>
      <c r="AF427" s="27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</row>
    <row r="428" spans="2:54" s="28" customFormat="1">
      <c r="B428" s="27"/>
      <c r="D428" s="194"/>
      <c r="E428" s="29"/>
      <c r="G428" s="30"/>
      <c r="H428" s="195"/>
      <c r="I428" s="195"/>
      <c r="J428" s="195"/>
      <c r="X428" s="57"/>
      <c r="Z428" s="92"/>
      <c r="AA428" s="27"/>
      <c r="AB428" s="27"/>
      <c r="AC428" s="27"/>
      <c r="AD428" s="27"/>
      <c r="AE428" s="27"/>
      <c r="AF428" s="27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</row>
    <row r="429" spans="2:54" s="28" customFormat="1">
      <c r="B429" s="27"/>
      <c r="D429" s="194"/>
      <c r="E429" s="29"/>
      <c r="G429" s="30"/>
      <c r="H429" s="195"/>
      <c r="I429" s="195"/>
      <c r="J429" s="195"/>
      <c r="X429" s="57"/>
      <c r="Z429" s="92"/>
      <c r="AA429" s="27"/>
      <c r="AB429" s="27"/>
      <c r="AC429" s="27"/>
      <c r="AD429" s="27"/>
      <c r="AE429" s="27"/>
      <c r="AF429" s="27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</row>
    <row r="430" spans="2:54" s="28" customFormat="1">
      <c r="B430" s="27"/>
      <c r="D430" s="194"/>
      <c r="E430" s="29"/>
      <c r="G430" s="30"/>
      <c r="H430" s="195"/>
      <c r="I430" s="195"/>
      <c r="J430" s="195"/>
      <c r="X430" s="57"/>
      <c r="Z430" s="92"/>
      <c r="AA430" s="27"/>
      <c r="AB430" s="27"/>
      <c r="AC430" s="27"/>
      <c r="AD430" s="27"/>
      <c r="AE430" s="27"/>
      <c r="AF430" s="27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</row>
    <row r="431" spans="2:54" s="28" customFormat="1">
      <c r="B431" s="27"/>
      <c r="D431" s="194"/>
      <c r="E431" s="29"/>
      <c r="G431" s="30"/>
      <c r="H431" s="195"/>
      <c r="I431" s="195"/>
      <c r="J431" s="195"/>
      <c r="X431" s="57"/>
      <c r="Z431" s="92"/>
      <c r="AA431" s="27"/>
      <c r="AB431" s="27"/>
      <c r="AC431" s="27"/>
      <c r="AD431" s="27"/>
      <c r="AE431" s="27"/>
      <c r="AF431" s="27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</row>
    <row r="432" spans="2:54" s="28" customFormat="1">
      <c r="B432" s="27"/>
      <c r="D432" s="194"/>
      <c r="E432" s="29"/>
      <c r="G432" s="30"/>
      <c r="H432" s="195"/>
      <c r="I432" s="195"/>
      <c r="J432" s="195"/>
      <c r="X432" s="57"/>
      <c r="Z432" s="92"/>
      <c r="AA432" s="27"/>
      <c r="AB432" s="27"/>
      <c r="AC432" s="27"/>
      <c r="AD432" s="27"/>
      <c r="AE432" s="27"/>
      <c r="AF432" s="27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</row>
    <row r="433" spans="2:54" s="28" customFormat="1">
      <c r="B433" s="27"/>
      <c r="D433" s="194"/>
      <c r="E433" s="29"/>
      <c r="G433" s="30"/>
      <c r="H433" s="195"/>
      <c r="I433" s="195"/>
      <c r="J433" s="195"/>
      <c r="X433" s="57"/>
      <c r="Z433" s="92"/>
      <c r="AA433" s="27"/>
      <c r="AB433" s="27"/>
      <c r="AC433" s="27"/>
      <c r="AD433" s="27"/>
      <c r="AE433" s="27"/>
      <c r="AF433" s="27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</row>
    <row r="434" spans="2:54" s="28" customFormat="1">
      <c r="B434" s="27"/>
      <c r="D434" s="194"/>
      <c r="E434" s="29"/>
      <c r="G434" s="30"/>
      <c r="H434" s="195"/>
      <c r="I434" s="195"/>
      <c r="J434" s="195"/>
      <c r="X434" s="57"/>
      <c r="Z434" s="92"/>
      <c r="AA434" s="27"/>
      <c r="AB434" s="27"/>
      <c r="AC434" s="27"/>
      <c r="AD434" s="27"/>
      <c r="AE434" s="27"/>
      <c r="AF434" s="27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</row>
    <row r="435" spans="2:54" s="28" customFormat="1">
      <c r="B435" s="27"/>
      <c r="D435" s="194"/>
      <c r="E435" s="29"/>
      <c r="G435" s="30"/>
      <c r="H435" s="195"/>
      <c r="I435" s="195"/>
      <c r="J435" s="195"/>
      <c r="X435" s="57"/>
      <c r="Z435" s="92"/>
      <c r="AA435" s="27"/>
      <c r="AB435" s="27"/>
      <c r="AC435" s="27"/>
      <c r="AD435" s="27"/>
      <c r="AE435" s="27"/>
      <c r="AF435" s="27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</row>
    <row r="436" spans="2:54" s="28" customFormat="1">
      <c r="B436" s="27"/>
      <c r="D436" s="194"/>
      <c r="E436" s="29"/>
      <c r="G436" s="30"/>
      <c r="H436" s="195"/>
      <c r="I436" s="195"/>
      <c r="J436" s="195"/>
      <c r="X436" s="57"/>
      <c r="Z436" s="92"/>
      <c r="AA436" s="27"/>
      <c r="AB436" s="27"/>
      <c r="AC436" s="27"/>
      <c r="AD436" s="27"/>
      <c r="AE436" s="27"/>
      <c r="AF436" s="27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</row>
    <row r="437" spans="2:54" s="28" customFormat="1">
      <c r="B437" s="27"/>
      <c r="D437" s="194"/>
      <c r="E437" s="29"/>
      <c r="G437" s="30"/>
      <c r="H437" s="195"/>
      <c r="I437" s="195"/>
      <c r="J437" s="195"/>
      <c r="X437" s="57"/>
      <c r="Z437" s="92"/>
      <c r="AA437" s="27"/>
      <c r="AB437" s="27"/>
      <c r="AC437" s="27"/>
      <c r="AD437" s="27"/>
      <c r="AE437" s="27"/>
      <c r="AF437" s="27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</row>
    <row r="438" spans="2:54" s="28" customFormat="1">
      <c r="B438" s="27"/>
      <c r="D438" s="194"/>
      <c r="E438" s="29"/>
      <c r="G438" s="30"/>
      <c r="H438" s="195"/>
      <c r="I438" s="195"/>
      <c r="J438" s="195"/>
      <c r="X438" s="57"/>
      <c r="Z438" s="92"/>
      <c r="AA438" s="27"/>
      <c r="AB438" s="27"/>
      <c r="AC438" s="27"/>
      <c r="AD438" s="27"/>
      <c r="AE438" s="27"/>
      <c r="AF438" s="27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</row>
    <row r="439" spans="2:54" s="28" customFormat="1">
      <c r="B439" s="27"/>
      <c r="D439" s="194"/>
      <c r="E439" s="29"/>
      <c r="G439" s="30"/>
      <c r="H439" s="195"/>
      <c r="I439" s="195"/>
      <c r="J439" s="195"/>
      <c r="X439" s="57"/>
      <c r="Z439" s="92"/>
      <c r="AA439" s="27"/>
      <c r="AB439" s="27"/>
      <c r="AC439" s="27"/>
      <c r="AD439" s="27"/>
      <c r="AE439" s="27"/>
      <c r="AF439" s="27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</row>
    <row r="440" spans="2:54" s="28" customFormat="1">
      <c r="B440" s="27"/>
      <c r="D440" s="194"/>
      <c r="E440" s="29"/>
      <c r="G440" s="30"/>
      <c r="H440" s="195"/>
      <c r="I440" s="195"/>
      <c r="J440" s="195"/>
      <c r="X440" s="57"/>
      <c r="Z440" s="92"/>
      <c r="AA440" s="27"/>
      <c r="AB440" s="27"/>
      <c r="AC440" s="27"/>
      <c r="AD440" s="27"/>
      <c r="AE440" s="27"/>
      <c r="AF440" s="27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</row>
    <row r="441" spans="2:54" s="28" customFormat="1">
      <c r="B441" s="27"/>
      <c r="D441" s="194"/>
      <c r="E441" s="29"/>
      <c r="G441" s="30"/>
      <c r="H441" s="195"/>
      <c r="I441" s="195"/>
      <c r="J441" s="195"/>
      <c r="X441" s="57"/>
      <c r="Z441" s="92"/>
      <c r="AA441" s="27"/>
      <c r="AB441" s="27"/>
      <c r="AC441" s="27"/>
      <c r="AD441" s="27"/>
      <c r="AE441" s="27"/>
      <c r="AF441" s="27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</row>
    <row r="442" spans="2:54" s="28" customFormat="1">
      <c r="B442" s="27"/>
      <c r="D442" s="194"/>
      <c r="E442" s="29"/>
      <c r="G442" s="30"/>
      <c r="H442" s="195"/>
      <c r="I442" s="195"/>
      <c r="J442" s="195"/>
      <c r="X442" s="57"/>
      <c r="Z442" s="92"/>
      <c r="AA442" s="27"/>
      <c r="AB442" s="27"/>
      <c r="AC442" s="27"/>
      <c r="AD442" s="27"/>
      <c r="AE442" s="27"/>
      <c r="AF442" s="27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</row>
    <row r="443" spans="2:54" s="28" customFormat="1">
      <c r="B443" s="27"/>
      <c r="D443" s="194"/>
      <c r="E443" s="29"/>
      <c r="G443" s="30"/>
      <c r="H443" s="195"/>
      <c r="I443" s="195"/>
      <c r="J443" s="195"/>
      <c r="X443" s="57"/>
      <c r="Z443" s="92"/>
      <c r="AA443" s="27"/>
      <c r="AB443" s="27"/>
      <c r="AC443" s="27"/>
      <c r="AD443" s="27"/>
      <c r="AE443" s="27"/>
      <c r="AF443" s="27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</row>
    <row r="444" spans="2:54" s="28" customFormat="1">
      <c r="B444" s="27"/>
      <c r="D444" s="194"/>
      <c r="E444" s="29"/>
      <c r="G444" s="30"/>
      <c r="H444" s="195"/>
      <c r="I444" s="195"/>
      <c r="J444" s="195"/>
      <c r="X444" s="57"/>
      <c r="Z444" s="92"/>
      <c r="AA444" s="27"/>
      <c r="AB444" s="27"/>
      <c r="AC444" s="27"/>
      <c r="AD444" s="27"/>
      <c r="AE444" s="27"/>
      <c r="AF444" s="27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</row>
    <row r="445" spans="2:54" s="28" customFormat="1">
      <c r="B445" s="27"/>
      <c r="D445" s="194"/>
      <c r="E445" s="29"/>
      <c r="G445" s="30"/>
      <c r="H445" s="195"/>
      <c r="I445" s="195"/>
      <c r="J445" s="195"/>
      <c r="X445" s="57"/>
      <c r="Z445" s="92"/>
      <c r="AA445" s="27"/>
      <c r="AB445" s="27"/>
      <c r="AC445" s="27"/>
      <c r="AD445" s="27"/>
      <c r="AE445" s="27"/>
      <c r="AF445" s="27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</row>
    <row r="446" spans="2:54" s="28" customFormat="1">
      <c r="B446" s="27"/>
      <c r="D446" s="194"/>
      <c r="E446" s="29"/>
      <c r="G446" s="30"/>
      <c r="H446" s="195"/>
      <c r="I446" s="195"/>
      <c r="J446" s="195"/>
      <c r="X446" s="57"/>
      <c r="Z446" s="92"/>
      <c r="AA446" s="27"/>
      <c r="AB446" s="27"/>
      <c r="AC446" s="27"/>
      <c r="AD446" s="27"/>
      <c r="AE446" s="27"/>
      <c r="AF446" s="27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</row>
    <row r="447" spans="2:54" s="28" customFormat="1">
      <c r="B447" s="27"/>
      <c r="D447" s="194"/>
      <c r="E447" s="29"/>
      <c r="G447" s="30"/>
      <c r="H447" s="195"/>
      <c r="I447" s="195"/>
      <c r="J447" s="195"/>
      <c r="X447" s="57"/>
      <c r="Z447" s="92"/>
      <c r="AA447" s="27"/>
      <c r="AB447" s="27"/>
      <c r="AC447" s="27"/>
      <c r="AD447" s="27"/>
      <c r="AE447" s="27"/>
      <c r="AF447" s="27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</row>
    <row r="448" spans="2:54" s="28" customFormat="1">
      <c r="B448" s="27"/>
      <c r="D448" s="194"/>
      <c r="E448" s="29"/>
      <c r="G448" s="30"/>
      <c r="H448" s="195"/>
      <c r="I448" s="195"/>
      <c r="J448" s="195"/>
      <c r="X448" s="57"/>
      <c r="Z448" s="92"/>
      <c r="AA448" s="27"/>
      <c r="AB448" s="27"/>
      <c r="AC448" s="27"/>
      <c r="AD448" s="27"/>
      <c r="AE448" s="27"/>
      <c r="AF448" s="27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</row>
    <row r="449" spans="2:54" s="28" customFormat="1">
      <c r="B449" s="27"/>
      <c r="D449" s="194"/>
      <c r="E449" s="29"/>
      <c r="G449" s="30"/>
      <c r="H449" s="195"/>
      <c r="I449" s="195"/>
      <c r="J449" s="195"/>
      <c r="X449" s="57"/>
      <c r="Z449" s="92"/>
      <c r="AA449" s="27"/>
      <c r="AB449" s="27"/>
      <c r="AC449" s="27"/>
      <c r="AD449" s="27"/>
      <c r="AE449" s="27"/>
      <c r="AF449" s="27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</row>
    <row r="450" spans="2:54" s="28" customFormat="1">
      <c r="B450" s="27"/>
      <c r="D450" s="194"/>
      <c r="E450" s="29"/>
      <c r="G450" s="30"/>
      <c r="H450" s="195"/>
      <c r="I450" s="195"/>
      <c r="J450" s="195"/>
      <c r="X450" s="57"/>
      <c r="Z450" s="92"/>
      <c r="AA450" s="27"/>
      <c r="AB450" s="27"/>
      <c r="AC450" s="27"/>
      <c r="AD450" s="27"/>
      <c r="AE450" s="27"/>
      <c r="AF450" s="27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</row>
    <row r="451" spans="2:54" s="28" customFormat="1">
      <c r="B451" s="27"/>
      <c r="D451" s="194"/>
      <c r="E451" s="29"/>
      <c r="G451" s="30"/>
      <c r="H451" s="195"/>
      <c r="I451" s="195"/>
      <c r="J451" s="195"/>
      <c r="X451" s="57"/>
      <c r="Z451" s="92"/>
      <c r="AA451" s="27"/>
      <c r="AB451" s="27"/>
      <c r="AC451" s="27"/>
      <c r="AD451" s="27"/>
      <c r="AE451" s="27"/>
      <c r="AF451" s="27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</row>
    <row r="452" spans="2:54" s="28" customFormat="1">
      <c r="B452" s="27"/>
      <c r="D452" s="194"/>
      <c r="E452" s="29"/>
      <c r="G452" s="30"/>
      <c r="H452" s="195"/>
      <c r="I452" s="195"/>
      <c r="J452" s="195"/>
      <c r="X452" s="57"/>
      <c r="Z452" s="92"/>
      <c r="AA452" s="27"/>
      <c r="AB452" s="27"/>
      <c r="AC452" s="27"/>
      <c r="AD452" s="27"/>
      <c r="AE452" s="27"/>
      <c r="AF452" s="27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</row>
    <row r="453" spans="2:54" s="28" customFormat="1">
      <c r="B453" s="27"/>
      <c r="D453" s="194"/>
      <c r="E453" s="29"/>
      <c r="G453" s="30"/>
      <c r="H453" s="195"/>
      <c r="I453" s="195"/>
      <c r="J453" s="195"/>
      <c r="X453" s="57"/>
      <c r="Z453" s="92"/>
      <c r="AA453" s="27"/>
      <c r="AB453" s="27"/>
      <c r="AC453" s="27"/>
      <c r="AD453" s="27"/>
      <c r="AE453" s="27"/>
      <c r="AF453" s="27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</row>
    <row r="454" spans="2:54" s="28" customFormat="1">
      <c r="B454" s="27"/>
      <c r="D454" s="194"/>
      <c r="E454" s="29"/>
      <c r="G454" s="30"/>
      <c r="H454" s="195"/>
      <c r="I454" s="195"/>
      <c r="J454" s="195"/>
      <c r="X454" s="57"/>
      <c r="Z454" s="92"/>
      <c r="AA454" s="27"/>
      <c r="AB454" s="27"/>
      <c r="AC454" s="27"/>
      <c r="AD454" s="27"/>
      <c r="AE454" s="27"/>
      <c r="AF454" s="27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</row>
    <row r="455" spans="2:54" s="28" customFormat="1">
      <c r="B455" s="27"/>
      <c r="D455" s="194"/>
      <c r="E455" s="29"/>
      <c r="G455" s="30"/>
      <c r="H455" s="195"/>
      <c r="I455" s="195"/>
      <c r="J455" s="195"/>
      <c r="X455" s="57"/>
      <c r="Z455" s="92"/>
      <c r="AA455" s="27"/>
      <c r="AB455" s="27"/>
      <c r="AC455" s="27"/>
      <c r="AD455" s="27"/>
      <c r="AE455" s="27"/>
      <c r="AF455" s="27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</row>
    <row r="456" spans="2:54" s="28" customFormat="1">
      <c r="B456" s="27"/>
      <c r="D456" s="194"/>
      <c r="E456" s="29"/>
      <c r="G456" s="30"/>
      <c r="H456" s="195"/>
      <c r="I456" s="195"/>
      <c r="J456" s="195"/>
      <c r="X456" s="57"/>
      <c r="Z456" s="92"/>
      <c r="AA456" s="27"/>
      <c r="AB456" s="27"/>
      <c r="AC456" s="27"/>
      <c r="AD456" s="27"/>
      <c r="AE456" s="27"/>
      <c r="AF456" s="27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</row>
    <row r="457" spans="2:54" s="28" customFormat="1">
      <c r="B457" s="27"/>
      <c r="D457" s="194"/>
      <c r="E457" s="29"/>
      <c r="G457" s="30"/>
      <c r="H457" s="195"/>
      <c r="I457" s="195"/>
      <c r="J457" s="195"/>
      <c r="X457" s="57"/>
      <c r="Z457" s="92"/>
      <c r="AA457" s="27"/>
      <c r="AB457" s="27"/>
      <c r="AC457" s="27"/>
      <c r="AD457" s="27"/>
      <c r="AE457" s="27"/>
      <c r="AF457" s="27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</row>
    <row r="458" spans="2:54" s="28" customFormat="1">
      <c r="B458" s="27"/>
      <c r="D458" s="194"/>
      <c r="E458" s="29"/>
      <c r="G458" s="30"/>
      <c r="H458" s="195"/>
      <c r="I458" s="195"/>
      <c r="J458" s="195"/>
      <c r="X458" s="57"/>
      <c r="Z458" s="92"/>
      <c r="AA458" s="27"/>
      <c r="AB458" s="27"/>
      <c r="AC458" s="27"/>
      <c r="AD458" s="27"/>
      <c r="AE458" s="27"/>
      <c r="AF458" s="27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</row>
    <row r="459" spans="2:54" s="28" customFormat="1">
      <c r="B459" s="27"/>
      <c r="D459" s="194"/>
      <c r="E459" s="29"/>
      <c r="G459" s="30"/>
      <c r="H459" s="195"/>
      <c r="I459" s="195"/>
      <c r="J459" s="195"/>
      <c r="X459" s="57"/>
      <c r="Z459" s="92"/>
      <c r="AA459" s="27"/>
      <c r="AB459" s="27"/>
      <c r="AC459" s="27"/>
      <c r="AD459" s="27"/>
      <c r="AE459" s="27"/>
      <c r="AF459" s="27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</row>
    <row r="460" spans="2:54" s="28" customFormat="1">
      <c r="B460" s="27"/>
      <c r="D460" s="194"/>
      <c r="E460" s="29"/>
      <c r="G460" s="30"/>
      <c r="H460" s="195"/>
      <c r="I460" s="195"/>
      <c r="J460" s="195"/>
      <c r="X460" s="57"/>
      <c r="Z460" s="92"/>
      <c r="AA460" s="27"/>
      <c r="AB460" s="27"/>
      <c r="AC460" s="27"/>
      <c r="AD460" s="27"/>
      <c r="AE460" s="27"/>
      <c r="AF460" s="27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</row>
    <row r="461" spans="2:54" s="28" customFormat="1">
      <c r="B461" s="27"/>
      <c r="D461" s="194"/>
      <c r="E461" s="29"/>
      <c r="G461" s="30"/>
      <c r="H461" s="195"/>
      <c r="I461" s="195"/>
      <c r="J461" s="195"/>
      <c r="X461" s="57"/>
      <c r="Z461" s="92"/>
      <c r="AA461" s="27"/>
      <c r="AB461" s="27"/>
      <c r="AC461" s="27"/>
      <c r="AD461" s="27"/>
      <c r="AE461" s="27"/>
      <c r="AF461" s="27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</row>
    <row r="462" spans="2:54" s="28" customFormat="1">
      <c r="B462" s="27"/>
      <c r="D462" s="194"/>
      <c r="E462" s="29"/>
      <c r="G462" s="30"/>
      <c r="H462" s="195"/>
      <c r="I462" s="195"/>
      <c r="J462" s="195"/>
      <c r="X462" s="57"/>
      <c r="Z462" s="92"/>
      <c r="AA462" s="27"/>
      <c r="AB462" s="27"/>
      <c r="AC462" s="27"/>
      <c r="AD462" s="27"/>
      <c r="AE462" s="27"/>
      <c r="AF462" s="27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</row>
    <row r="463" spans="2:54" s="28" customFormat="1">
      <c r="B463" s="27"/>
      <c r="D463" s="194"/>
      <c r="E463" s="29"/>
      <c r="G463" s="30"/>
      <c r="H463" s="195"/>
      <c r="I463" s="195"/>
      <c r="J463" s="195"/>
      <c r="X463" s="57"/>
      <c r="Z463" s="92"/>
      <c r="AA463" s="27"/>
      <c r="AB463" s="27"/>
      <c r="AC463" s="27"/>
      <c r="AD463" s="27"/>
      <c r="AE463" s="27"/>
      <c r="AF463" s="27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</row>
    <row r="464" spans="2:54" s="28" customFormat="1">
      <c r="B464" s="27"/>
      <c r="D464" s="194"/>
      <c r="E464" s="29"/>
      <c r="G464" s="30"/>
      <c r="H464" s="195"/>
      <c r="I464" s="195"/>
      <c r="J464" s="195"/>
      <c r="X464" s="57"/>
      <c r="Z464" s="92"/>
      <c r="AA464" s="27"/>
      <c r="AB464" s="27"/>
      <c r="AC464" s="27"/>
      <c r="AD464" s="27"/>
      <c r="AE464" s="27"/>
      <c r="AF464" s="27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</row>
    <row r="465" spans="2:54" s="28" customFormat="1">
      <c r="B465" s="27"/>
      <c r="D465" s="194"/>
      <c r="E465" s="29"/>
      <c r="G465" s="30"/>
      <c r="H465" s="195"/>
      <c r="I465" s="195"/>
      <c r="J465" s="195"/>
      <c r="X465" s="57"/>
      <c r="Z465" s="92"/>
      <c r="AA465" s="27"/>
      <c r="AB465" s="27"/>
      <c r="AC465" s="27"/>
      <c r="AD465" s="27"/>
      <c r="AE465" s="27"/>
      <c r="AF465" s="27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</row>
    <row r="466" spans="2:54" s="28" customFormat="1">
      <c r="B466" s="27"/>
      <c r="D466" s="194"/>
      <c r="E466" s="29"/>
      <c r="G466" s="30"/>
      <c r="H466" s="195"/>
      <c r="I466" s="195"/>
      <c r="J466" s="195"/>
      <c r="X466" s="57"/>
      <c r="Z466" s="92"/>
      <c r="AA466" s="27"/>
      <c r="AB466" s="27"/>
      <c r="AC466" s="27"/>
      <c r="AD466" s="27"/>
      <c r="AE466" s="27"/>
      <c r="AF466" s="27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</row>
    <row r="467" spans="2:54" s="28" customFormat="1">
      <c r="B467" s="27"/>
      <c r="D467" s="194"/>
      <c r="E467" s="29"/>
      <c r="G467" s="30"/>
      <c r="H467" s="195"/>
      <c r="I467" s="195"/>
      <c r="J467" s="195"/>
      <c r="X467" s="57"/>
      <c r="Z467" s="92"/>
      <c r="AA467" s="27"/>
      <c r="AB467" s="27"/>
      <c r="AC467" s="27"/>
      <c r="AD467" s="27"/>
      <c r="AE467" s="27"/>
      <c r="AF467" s="27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</row>
    <row r="468" spans="2:54" s="28" customFormat="1">
      <c r="B468" s="27"/>
      <c r="D468" s="194"/>
      <c r="E468" s="29"/>
      <c r="G468" s="30"/>
      <c r="H468" s="195"/>
      <c r="I468" s="195"/>
      <c r="J468" s="195"/>
      <c r="X468" s="57"/>
      <c r="Z468" s="92"/>
      <c r="AA468" s="27"/>
      <c r="AB468" s="27"/>
      <c r="AC468" s="27"/>
      <c r="AD468" s="27"/>
      <c r="AE468" s="27"/>
      <c r="AF468" s="27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</row>
    <row r="469" spans="2:54" s="28" customFormat="1">
      <c r="B469" s="27"/>
      <c r="D469" s="194"/>
      <c r="E469" s="29"/>
      <c r="G469" s="30"/>
      <c r="H469" s="195"/>
      <c r="I469" s="195"/>
      <c r="J469" s="195"/>
      <c r="X469" s="57"/>
      <c r="Z469" s="92"/>
      <c r="AA469" s="27"/>
      <c r="AB469" s="27"/>
      <c r="AC469" s="27"/>
      <c r="AD469" s="27"/>
      <c r="AE469" s="27"/>
      <c r="AF469" s="27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</row>
    <row r="470" spans="2:54" s="28" customFormat="1">
      <c r="B470" s="27"/>
      <c r="D470" s="194"/>
      <c r="E470" s="29"/>
      <c r="G470" s="30"/>
      <c r="H470" s="195"/>
      <c r="I470" s="195"/>
      <c r="J470" s="195"/>
      <c r="X470" s="57"/>
      <c r="Z470" s="92"/>
      <c r="AA470" s="27"/>
      <c r="AB470" s="27"/>
      <c r="AC470" s="27"/>
      <c r="AD470" s="27"/>
      <c r="AE470" s="27"/>
      <c r="AF470" s="27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</row>
    <row r="471" spans="2:54" s="28" customFormat="1">
      <c r="B471" s="27"/>
      <c r="D471" s="194"/>
      <c r="E471" s="29"/>
      <c r="G471" s="30"/>
      <c r="H471" s="195"/>
      <c r="I471" s="195"/>
      <c r="J471" s="195"/>
      <c r="X471" s="57"/>
      <c r="Z471" s="92"/>
      <c r="AA471" s="27"/>
      <c r="AB471" s="27"/>
      <c r="AC471" s="27"/>
      <c r="AD471" s="27"/>
      <c r="AE471" s="27"/>
      <c r="AF471" s="27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</row>
    <row r="472" spans="2:54" s="28" customFormat="1">
      <c r="B472" s="27"/>
      <c r="D472" s="194"/>
      <c r="E472" s="29"/>
      <c r="G472" s="30"/>
      <c r="H472" s="195"/>
      <c r="I472" s="195"/>
      <c r="J472" s="195"/>
      <c r="X472" s="57"/>
      <c r="Z472" s="92"/>
      <c r="AA472" s="27"/>
      <c r="AB472" s="27"/>
      <c r="AC472" s="27"/>
      <c r="AD472" s="27"/>
      <c r="AE472" s="27"/>
      <c r="AF472" s="27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</row>
    <row r="473" spans="2:54" s="28" customFormat="1">
      <c r="B473" s="27"/>
      <c r="D473" s="194"/>
      <c r="E473" s="29"/>
      <c r="G473" s="30"/>
      <c r="H473" s="195"/>
      <c r="I473" s="195"/>
      <c r="J473" s="195"/>
      <c r="X473" s="57"/>
      <c r="Z473" s="92"/>
      <c r="AA473" s="27"/>
      <c r="AB473" s="27"/>
      <c r="AC473" s="27"/>
      <c r="AD473" s="27"/>
      <c r="AE473" s="27"/>
      <c r="AF473" s="27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</row>
    <row r="474" spans="2:54" s="28" customFormat="1">
      <c r="B474" s="27"/>
      <c r="D474" s="194"/>
      <c r="E474" s="29"/>
      <c r="G474" s="30"/>
      <c r="H474" s="195"/>
      <c r="I474" s="195"/>
      <c r="J474" s="195"/>
      <c r="X474" s="57"/>
      <c r="Z474" s="92"/>
      <c r="AA474" s="27"/>
      <c r="AB474" s="27"/>
      <c r="AC474" s="27"/>
      <c r="AD474" s="27"/>
      <c r="AE474" s="27"/>
      <c r="AF474" s="27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</row>
    <row r="475" spans="2:54" s="28" customFormat="1">
      <c r="B475" s="27"/>
      <c r="D475" s="194"/>
      <c r="E475" s="29"/>
      <c r="G475" s="30"/>
      <c r="H475" s="195"/>
      <c r="I475" s="195"/>
      <c r="J475" s="195"/>
      <c r="X475" s="57"/>
      <c r="Z475" s="92"/>
      <c r="AA475" s="27"/>
      <c r="AB475" s="27"/>
      <c r="AC475" s="27"/>
      <c r="AD475" s="27"/>
      <c r="AE475" s="27"/>
      <c r="AF475" s="27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</row>
    <row r="476" spans="2:54" s="28" customFormat="1">
      <c r="B476" s="27"/>
      <c r="D476" s="194"/>
      <c r="E476" s="29"/>
      <c r="G476" s="30"/>
      <c r="H476" s="195"/>
      <c r="I476" s="195"/>
      <c r="J476" s="195"/>
      <c r="X476" s="57"/>
      <c r="Z476" s="92"/>
      <c r="AA476" s="27"/>
      <c r="AB476" s="27"/>
      <c r="AC476" s="27"/>
      <c r="AD476" s="27"/>
      <c r="AE476" s="27"/>
      <c r="AF476" s="27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</row>
    <row r="477" spans="2:54" s="28" customFormat="1">
      <c r="B477" s="27"/>
      <c r="D477" s="194"/>
      <c r="E477" s="29"/>
      <c r="G477" s="30"/>
      <c r="H477" s="195"/>
      <c r="I477" s="195"/>
      <c r="J477" s="195"/>
      <c r="X477" s="57"/>
      <c r="Z477" s="92"/>
      <c r="AA477" s="27"/>
      <c r="AB477" s="27"/>
      <c r="AC477" s="27"/>
      <c r="AD477" s="27"/>
      <c r="AE477" s="27"/>
      <c r="AF477" s="27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</row>
    <row r="478" spans="2:54" s="28" customFormat="1">
      <c r="B478" s="27"/>
      <c r="D478" s="194"/>
      <c r="E478" s="29"/>
      <c r="G478" s="30"/>
      <c r="H478" s="195"/>
      <c r="I478" s="195"/>
      <c r="J478" s="195"/>
      <c r="X478" s="57"/>
      <c r="Z478" s="92"/>
      <c r="AA478" s="27"/>
      <c r="AB478" s="27"/>
      <c r="AC478" s="27"/>
      <c r="AD478" s="27"/>
      <c r="AE478" s="27"/>
      <c r="AF478" s="27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</row>
    <row r="479" spans="2:54" s="28" customFormat="1">
      <c r="B479" s="27"/>
      <c r="D479" s="194"/>
      <c r="E479" s="29"/>
      <c r="G479" s="30"/>
      <c r="H479" s="195"/>
      <c r="I479" s="195"/>
      <c r="J479" s="195"/>
      <c r="X479" s="57"/>
      <c r="Z479" s="92"/>
      <c r="AA479" s="27"/>
      <c r="AB479" s="27"/>
      <c r="AC479" s="27"/>
      <c r="AD479" s="27"/>
      <c r="AE479" s="27"/>
      <c r="AF479" s="27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</row>
    <row r="480" spans="2:54" s="28" customFormat="1">
      <c r="B480" s="27"/>
      <c r="D480" s="194"/>
      <c r="E480" s="29"/>
      <c r="G480" s="30"/>
      <c r="H480" s="195"/>
      <c r="I480" s="195"/>
      <c r="J480" s="195"/>
      <c r="X480" s="57"/>
      <c r="Z480" s="92"/>
      <c r="AA480" s="27"/>
      <c r="AB480" s="27"/>
      <c r="AC480" s="27"/>
      <c r="AD480" s="27"/>
      <c r="AE480" s="27"/>
      <c r="AF480" s="27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</row>
    <row r="481" spans="2:54" s="28" customFormat="1">
      <c r="B481" s="27"/>
      <c r="D481" s="194"/>
      <c r="E481" s="29"/>
      <c r="G481" s="30"/>
      <c r="H481" s="195"/>
      <c r="I481" s="195"/>
      <c r="J481" s="195"/>
      <c r="X481" s="57"/>
      <c r="Z481" s="92"/>
      <c r="AA481" s="27"/>
      <c r="AB481" s="27"/>
      <c r="AC481" s="27"/>
      <c r="AD481" s="27"/>
      <c r="AE481" s="27"/>
      <c r="AF481" s="27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</row>
    <row r="482" spans="2:54" s="28" customFormat="1">
      <c r="B482" s="27"/>
      <c r="D482" s="194"/>
      <c r="E482" s="29"/>
      <c r="G482" s="30"/>
      <c r="H482" s="195"/>
      <c r="I482" s="195"/>
      <c r="J482" s="195"/>
      <c r="X482" s="57"/>
      <c r="Z482" s="92"/>
      <c r="AA482" s="27"/>
      <c r="AB482" s="27"/>
      <c r="AC482" s="27"/>
      <c r="AD482" s="27"/>
      <c r="AE482" s="27"/>
      <c r="AF482" s="27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</row>
    <row r="483" spans="2:54" s="28" customFormat="1">
      <c r="B483" s="27"/>
      <c r="D483" s="194"/>
      <c r="E483" s="29"/>
      <c r="G483" s="30"/>
      <c r="H483" s="195"/>
      <c r="I483" s="195"/>
      <c r="J483" s="195"/>
      <c r="X483" s="57"/>
      <c r="Z483" s="92"/>
      <c r="AA483" s="27"/>
      <c r="AB483" s="27"/>
      <c r="AC483" s="27"/>
      <c r="AD483" s="27"/>
      <c r="AE483" s="27"/>
      <c r="AF483" s="27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</row>
    <row r="484" spans="2:54" s="28" customFormat="1">
      <c r="B484" s="27"/>
      <c r="D484" s="194"/>
      <c r="E484" s="29"/>
      <c r="G484" s="30"/>
      <c r="H484" s="195"/>
      <c r="I484" s="195"/>
      <c r="J484" s="195"/>
      <c r="X484" s="57"/>
      <c r="Z484" s="92"/>
      <c r="AA484" s="27"/>
      <c r="AB484" s="27"/>
      <c r="AC484" s="27"/>
      <c r="AD484" s="27"/>
      <c r="AE484" s="27"/>
      <c r="AF484" s="27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</row>
    <row r="485" spans="2:54" s="28" customFormat="1">
      <c r="B485" s="27"/>
      <c r="D485" s="194"/>
      <c r="E485" s="29"/>
      <c r="G485" s="30"/>
      <c r="H485" s="195"/>
      <c r="I485" s="195"/>
      <c r="J485" s="195"/>
      <c r="X485" s="57"/>
      <c r="Z485" s="92"/>
      <c r="AA485" s="27"/>
      <c r="AB485" s="27"/>
      <c r="AC485" s="27"/>
      <c r="AD485" s="27"/>
      <c r="AE485" s="27"/>
      <c r="AF485" s="27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</row>
    <row r="486" spans="2:54" s="28" customFormat="1">
      <c r="B486" s="27"/>
      <c r="D486" s="194"/>
      <c r="E486" s="29"/>
      <c r="G486" s="30"/>
      <c r="H486" s="195"/>
      <c r="I486" s="195"/>
      <c r="J486" s="195"/>
      <c r="X486" s="57"/>
      <c r="Z486" s="92"/>
      <c r="AA486" s="27"/>
      <c r="AB486" s="27"/>
      <c r="AC486" s="27"/>
      <c r="AD486" s="27"/>
      <c r="AE486" s="27"/>
      <c r="AF486" s="27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</row>
    <row r="487" spans="2:54" s="28" customFormat="1">
      <c r="B487" s="27"/>
      <c r="D487" s="194"/>
      <c r="E487" s="29"/>
      <c r="G487" s="30"/>
      <c r="H487" s="195"/>
      <c r="I487" s="195"/>
      <c r="J487" s="195"/>
      <c r="X487" s="57"/>
      <c r="Z487" s="92"/>
      <c r="AA487" s="27"/>
      <c r="AB487" s="27"/>
      <c r="AC487" s="27"/>
      <c r="AD487" s="27"/>
      <c r="AE487" s="27"/>
      <c r="AF487" s="27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</row>
    <row r="488" spans="2:54" s="28" customFormat="1">
      <c r="B488" s="27"/>
      <c r="D488" s="194"/>
      <c r="E488" s="29"/>
      <c r="G488" s="30"/>
      <c r="H488" s="195"/>
      <c r="I488" s="195"/>
      <c r="J488" s="195"/>
      <c r="X488" s="57"/>
      <c r="Z488" s="92"/>
      <c r="AA488" s="27"/>
      <c r="AB488" s="27"/>
      <c r="AC488" s="27"/>
      <c r="AD488" s="27"/>
      <c r="AE488" s="27"/>
      <c r="AF488" s="27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</row>
    <row r="489" spans="2:54" s="28" customFormat="1">
      <c r="B489" s="27"/>
      <c r="D489" s="194"/>
      <c r="E489" s="29"/>
      <c r="G489" s="30"/>
      <c r="H489" s="195"/>
      <c r="I489" s="195"/>
      <c r="J489" s="195"/>
      <c r="X489" s="57"/>
      <c r="Z489" s="92"/>
      <c r="AA489" s="27"/>
      <c r="AB489" s="27"/>
      <c r="AC489" s="27"/>
      <c r="AD489" s="27"/>
      <c r="AE489" s="27"/>
      <c r="AF489" s="27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</row>
    <row r="490" spans="2:54" s="28" customFormat="1">
      <c r="B490" s="27"/>
      <c r="D490" s="194"/>
      <c r="E490" s="29"/>
      <c r="G490" s="30"/>
      <c r="H490" s="195"/>
      <c r="I490" s="195"/>
      <c r="J490" s="195"/>
      <c r="X490" s="57"/>
      <c r="Z490" s="92"/>
      <c r="AA490" s="27"/>
      <c r="AB490" s="27"/>
      <c r="AC490" s="27"/>
      <c r="AD490" s="27"/>
      <c r="AE490" s="27"/>
      <c r="AF490" s="27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</row>
    <row r="491" spans="2:54" s="28" customFormat="1">
      <c r="B491" s="27"/>
      <c r="D491" s="194"/>
      <c r="E491" s="29"/>
      <c r="G491" s="30"/>
      <c r="H491" s="195"/>
      <c r="I491" s="195"/>
      <c r="J491" s="195"/>
      <c r="X491" s="57"/>
      <c r="Z491" s="92"/>
      <c r="AA491" s="27"/>
      <c r="AB491" s="27"/>
      <c r="AC491" s="27"/>
      <c r="AD491" s="27"/>
      <c r="AE491" s="27"/>
      <c r="AF491" s="27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</row>
  </sheetData>
  <conditionalFormatting sqref="AB6:AB45">
    <cfRule type="containsText" dxfId="0" priority="1" operator="containsText" text="KURANG POT">
      <formula>NOT(ISERROR(SEARCH("KURANG POT",AB6)))</formula>
    </cfRule>
  </conditionalFormatting>
  <dataValidations count="2">
    <dataValidation type="list" allowBlank="1" showInputMessage="1" showErrorMessage="1" sqref="H6:H46">
      <formula1>"L,P"</formula1>
    </dataValidation>
    <dataValidation type="list" allowBlank="1" showInputMessage="1" showErrorMessage="1" sqref="I6:I46">
      <formula1>"TK/0,TK/1,TK/2,TK/3,K/0,K/1,K/2,K/3"</formula1>
    </dataValidation>
  </dataValidations>
  <pageMargins left="0.7" right="0.7" top="0.75" bottom="0.75" header="0.3" footer="0.3"/>
  <pageSetup paperSize="9" scale="5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D106"/>
  <sheetViews>
    <sheetView view="pageBreakPreview" zoomScale="64" zoomScaleNormal="55" zoomScaleSheetLayoutView="64" workbookViewId="0">
      <pane xSplit="4" ySplit="1" topLeftCell="L2" activePane="bottomRight" state="frozen"/>
      <selection pane="topRight" activeCell="E1" sqref="E1"/>
      <selection pane="bottomLeft" activeCell="A7" sqref="A7"/>
      <selection pane="bottomRight" activeCell="AM15" sqref="AM15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" style="28" customWidth="1"/>
    <col min="4" max="4" width="18.5703125" style="194" customWidth="1" outlineLevel="1"/>
    <col min="5" max="5" width="19.42578125" style="29" customWidth="1" outlineLevel="1"/>
    <col min="6" max="6" width="34.5703125" style="28" customWidth="1" outlineLevel="1"/>
    <col min="7" max="7" width="25.140625" style="30" customWidth="1" outlineLevel="1"/>
    <col min="8" max="8" width="6" style="195" customWidth="1" outlineLevel="1"/>
    <col min="9" max="9" width="6.7109375" style="195" customWidth="1" outlineLevel="1"/>
    <col min="10" max="10" width="10.85546875" style="195" customWidth="1" outlineLevel="1"/>
    <col min="11" max="11" width="14.140625" style="28" customWidth="1"/>
    <col min="12" max="12" width="11.7109375" style="28" customWidth="1"/>
    <col min="13" max="23" width="12.7109375" style="28" customWidth="1"/>
    <col min="24" max="25" width="12.7109375" style="28" hidden="1" customWidth="1"/>
    <col min="26" max="26" width="16.42578125" style="28" customWidth="1"/>
    <col min="27" max="28" width="12.7109375" style="28" customWidth="1"/>
    <col min="29" max="29" width="13.5703125" style="28" customWidth="1" collapsed="1"/>
    <col min="30" max="30" width="7.7109375" style="57" customWidth="1"/>
    <col min="31" max="31" width="12.7109375" style="28" customWidth="1"/>
    <col min="32" max="32" width="10.7109375" style="27" hidden="1" customWidth="1"/>
    <col min="33" max="34" width="0" style="27" hidden="1" customWidth="1"/>
    <col min="35" max="35" width="13.7109375" style="53" bestFit="1" customWidth="1"/>
    <col min="36" max="36" width="13.85546875" style="53" hidden="1" customWidth="1"/>
    <col min="37" max="37" width="13.28515625" style="53" bestFit="1" customWidth="1"/>
    <col min="38" max="38" width="12.5703125" style="53" customWidth="1"/>
    <col min="39" max="39" width="12" style="53" bestFit="1" customWidth="1"/>
    <col min="40" max="16384" width="9.28515625" style="53"/>
  </cols>
  <sheetData>
    <row r="1" spans="2:40">
      <c r="B1" s="27" t="s">
        <v>71</v>
      </c>
      <c r="AF1" s="53"/>
      <c r="AG1" s="53"/>
      <c r="AH1" s="53"/>
    </row>
    <row r="2" spans="2:40">
      <c r="B2" s="27" t="s">
        <v>75</v>
      </c>
      <c r="AF2" s="53"/>
      <c r="AG2" s="53"/>
      <c r="AH2" s="53"/>
    </row>
    <row r="3" spans="2:40">
      <c r="B3" s="27" t="s">
        <v>326</v>
      </c>
      <c r="AF3" s="53"/>
      <c r="AG3" s="53"/>
      <c r="AH3" s="53"/>
    </row>
    <row r="4" spans="2:40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 t="s">
        <v>327</v>
      </c>
      <c r="R4" s="28" t="s">
        <v>328</v>
      </c>
      <c r="S4" s="28" t="s">
        <v>329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57"/>
      <c r="AE4" s="28"/>
    </row>
    <row r="5" spans="2:40" s="27" customFormat="1" ht="51.75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89" t="s">
        <v>67</v>
      </c>
      <c r="M5" s="189" t="s">
        <v>68</v>
      </c>
      <c r="N5" s="189" t="s">
        <v>330</v>
      </c>
      <c r="O5" s="189" t="s">
        <v>331</v>
      </c>
      <c r="P5" s="189" t="s">
        <v>332</v>
      </c>
      <c r="Q5" s="189" t="s">
        <v>76</v>
      </c>
      <c r="R5" s="189" t="s">
        <v>77</v>
      </c>
      <c r="S5" s="189" t="s">
        <v>81</v>
      </c>
      <c r="T5" s="189" t="s">
        <v>333</v>
      </c>
      <c r="U5" s="188" t="s">
        <v>82</v>
      </c>
      <c r="V5" s="188" t="s">
        <v>334</v>
      </c>
      <c r="W5" s="188" t="s">
        <v>335</v>
      </c>
      <c r="X5" s="188" t="s">
        <v>84</v>
      </c>
      <c r="Y5" s="188" t="s">
        <v>85</v>
      </c>
      <c r="Z5" s="188" t="s">
        <v>336</v>
      </c>
      <c r="AA5" s="188" t="s">
        <v>79</v>
      </c>
      <c r="AB5" s="188" t="s">
        <v>80</v>
      </c>
      <c r="AC5" s="188" t="s">
        <v>41</v>
      </c>
      <c r="AD5" s="102" t="s">
        <v>42</v>
      </c>
      <c r="AE5" s="103" t="s">
        <v>43</v>
      </c>
      <c r="AF5" s="188" t="s">
        <v>69</v>
      </c>
      <c r="AG5" s="103" t="s">
        <v>70</v>
      </c>
      <c r="AH5" s="103" t="s">
        <v>337</v>
      </c>
    </row>
    <row r="6" spans="2:40" s="27" customFormat="1">
      <c r="B6" s="34">
        <v>1</v>
      </c>
      <c r="C6" s="35" t="s">
        <v>221</v>
      </c>
      <c r="D6" s="204" t="s">
        <v>222</v>
      </c>
      <c r="E6" s="36" t="s">
        <v>338</v>
      </c>
      <c r="F6" s="35" t="s">
        <v>223</v>
      </c>
      <c r="G6" s="205" t="s">
        <v>339</v>
      </c>
      <c r="H6" s="37" t="s">
        <v>39</v>
      </c>
      <c r="I6" s="38" t="s">
        <v>7</v>
      </c>
      <c r="J6" s="55" t="str">
        <f>IF(ISBLANK(I6),"",IF(OR(I6="TK/0",I6="TK/1",I6="K/0"),"TER A",IF(I6="K/3","TER C","TER B")))</f>
        <v>TER A</v>
      </c>
      <c r="K6" s="59">
        <v>3547666.57</v>
      </c>
      <c r="L6" s="39">
        <f>3670000*0.84%</f>
        <v>30827.999999999996</v>
      </c>
      <c r="M6" s="119">
        <f>'[5]MAINTENANCE-2'!$AP11</f>
        <v>148540</v>
      </c>
      <c r="N6" s="39"/>
      <c r="O6" s="119"/>
      <c r="P6" s="119"/>
      <c r="Q6" s="119">
        <f>'[6]MAINTENANCE-2'!$X11</f>
        <v>60750</v>
      </c>
      <c r="R6" s="39">
        <v>60000</v>
      </c>
      <c r="S6" s="39">
        <f>'[6]MAINTENANCE-2'!$AH11</f>
        <v>0</v>
      </c>
      <c r="T6" s="39"/>
      <c r="U6" s="39">
        <v>43500</v>
      </c>
      <c r="V6" s="101"/>
      <c r="W6" s="101"/>
      <c r="X6" s="101"/>
      <c r="Y6" s="101"/>
      <c r="Z6" s="39">
        <v>-244666.66</v>
      </c>
      <c r="AA6" s="39"/>
      <c r="AB6" s="39"/>
      <c r="AC6" s="104">
        <f>ROUNDDOWN(SUM(K6:AB6),0)</f>
        <v>3646617</v>
      </c>
      <c r="AD6" s="105">
        <f t="shared" ref="AD6:AD37" si="0">IF(J6="TER A",VLOOKUP(AC6,Ter_A,4,TRUE),IF(J6="TER B",VLOOKUP(AC6,Ter_B,4,TRUE),VLOOKUP(AC6,Ter_C,4,TRUE)))</f>
        <v>0</v>
      </c>
      <c r="AE6" s="106">
        <f t="shared" ref="AE6:AE69" si="1">ROUND(IF(E6=0,AC6*AD6*120%,AC6*AD6),0)</f>
        <v>0</v>
      </c>
      <c r="AG6" s="93"/>
      <c r="AI6" s="206">
        <f>L6+M6</f>
        <v>179368</v>
      </c>
      <c r="AJ6" s="207">
        <f>SUM(N6:Z6)</f>
        <v>-80416.66</v>
      </c>
      <c r="AK6" s="151">
        <f>SUM(N6:Z6)</f>
        <v>-80416.66</v>
      </c>
      <c r="AL6" s="93">
        <f>AC6-K6-L6-M6</f>
        <v>-80417.569999999832</v>
      </c>
      <c r="AM6" s="93">
        <f>AC6-L6-M6</f>
        <v>3467249</v>
      </c>
      <c r="AN6" s="93"/>
    </row>
    <row r="7" spans="2:40" s="27" customFormat="1">
      <c r="B7" s="97">
        <v>2</v>
      </c>
      <c r="C7" s="98" t="s">
        <v>224</v>
      </c>
      <c r="D7" s="208" t="s">
        <v>225</v>
      </c>
      <c r="E7" s="209" t="s">
        <v>73</v>
      </c>
      <c r="F7" s="98" t="s">
        <v>226</v>
      </c>
      <c r="G7" s="107" t="s">
        <v>340</v>
      </c>
      <c r="H7" s="99" t="s">
        <v>38</v>
      </c>
      <c r="I7" s="100" t="s">
        <v>7</v>
      </c>
      <c r="J7" s="58" t="str">
        <f t="shared" ref="J7:J70" si="2">IF(ISBLANK(I7),"",IF(OR(I7="TK/0",I7="TK/1",I7="K/0"),"TER A",IF(I7="K/3","TER C","TER B")))</f>
        <v>TER A</v>
      </c>
      <c r="K7" s="210">
        <v>3518666.57</v>
      </c>
      <c r="L7" s="101">
        <f>3640000*0.84%</f>
        <v>30575.999999999996</v>
      </c>
      <c r="M7" s="46">
        <f>'[5]MAINTENANCE-2'!$AP12</f>
        <v>146200</v>
      </c>
      <c r="N7" s="101"/>
      <c r="O7" s="101"/>
      <c r="P7" s="101"/>
      <c r="Q7" s="101">
        <f>'[6]MAINTENANCE-2'!$X12</f>
        <v>63000</v>
      </c>
      <c r="R7" s="46">
        <v>38000</v>
      </c>
      <c r="S7" s="101">
        <f>'[6]MAINTENANCE-2'!$AH12</f>
        <v>1420231.05</v>
      </c>
      <c r="T7" s="101"/>
      <c r="U7" s="101">
        <v>15000</v>
      </c>
      <c r="V7" s="101"/>
      <c r="W7" s="101"/>
      <c r="X7" s="101"/>
      <c r="Y7" s="101"/>
      <c r="Z7" s="101">
        <v>-121333.33</v>
      </c>
      <c r="AA7" s="101"/>
      <c r="AB7" s="101"/>
      <c r="AC7" s="62">
        <f t="shared" ref="AC7:AC69" si="3">ROUNDDOWN(SUM(K7:AB7),0)</f>
        <v>5110340</v>
      </c>
      <c r="AD7" s="63">
        <f t="shared" si="0"/>
        <v>0</v>
      </c>
      <c r="AE7" s="108">
        <f t="shared" si="1"/>
        <v>0</v>
      </c>
      <c r="AG7" s="93"/>
      <c r="AI7" s="206">
        <f t="shared" ref="AI7:AI43" si="4">L7+M7</f>
        <v>176776</v>
      </c>
      <c r="AJ7" s="207">
        <f t="shared" ref="AJ7:AJ43" si="5">SUM(N7:Z7)</f>
        <v>1414897.72</v>
      </c>
      <c r="AK7" s="151">
        <f t="shared" ref="AK7:AK43" si="6">SUM(N7:Z7)</f>
        <v>1414897.72</v>
      </c>
      <c r="AL7" s="93">
        <f t="shared" ref="AL7:AL43" si="7">AC7-K7-L7-M7</f>
        <v>1414897.4300000002</v>
      </c>
    </row>
    <row r="8" spans="2:40" s="27" customFormat="1">
      <c r="B8" s="97">
        <v>3</v>
      </c>
      <c r="C8" s="98" t="s">
        <v>227</v>
      </c>
      <c r="D8" s="208" t="s">
        <v>228</v>
      </c>
      <c r="E8" s="209" t="s">
        <v>341</v>
      </c>
      <c r="F8" s="98" t="s">
        <v>229</v>
      </c>
      <c r="G8" s="107" t="s">
        <v>88</v>
      </c>
      <c r="H8" s="99" t="s">
        <v>39</v>
      </c>
      <c r="I8" s="100" t="s">
        <v>7</v>
      </c>
      <c r="J8" s="58" t="str">
        <f t="shared" si="2"/>
        <v>TER A</v>
      </c>
      <c r="K8" s="210">
        <v>3518666.57</v>
      </c>
      <c r="L8" s="101">
        <f t="shared" ref="L8:L36" si="8">3640000*0.84%</f>
        <v>30575.999999999996</v>
      </c>
      <c r="M8" s="46">
        <f>'[5]MAINTENANCE-2'!$AP13</f>
        <v>147480</v>
      </c>
      <c r="N8" s="101"/>
      <c r="O8" s="101"/>
      <c r="P8" s="101"/>
      <c r="Q8" s="101">
        <f>'[6]MAINTENANCE-2'!$X13</f>
        <v>60750</v>
      </c>
      <c r="R8" s="101"/>
      <c r="S8" s="101">
        <f>'[6]MAINTENANCE-2'!$AH13</f>
        <v>0</v>
      </c>
      <c r="T8" s="101"/>
      <c r="U8" s="101">
        <v>47000</v>
      </c>
      <c r="V8" s="101"/>
      <c r="W8" s="101"/>
      <c r="X8" s="101"/>
      <c r="Y8" s="101"/>
      <c r="Z8" s="101">
        <v>-242666.66</v>
      </c>
      <c r="AA8" s="101"/>
      <c r="AB8" s="101"/>
      <c r="AC8" s="62">
        <f t="shared" si="3"/>
        <v>3561805</v>
      </c>
      <c r="AD8" s="63">
        <f t="shared" si="0"/>
        <v>0</v>
      </c>
      <c r="AE8" s="108">
        <f t="shared" si="1"/>
        <v>0</v>
      </c>
      <c r="AG8" s="93"/>
      <c r="AI8" s="206">
        <f t="shared" si="4"/>
        <v>178056</v>
      </c>
      <c r="AJ8" s="207">
        <f t="shared" si="5"/>
        <v>-134916.66</v>
      </c>
      <c r="AK8" s="151">
        <f t="shared" si="6"/>
        <v>-134916.66</v>
      </c>
      <c r="AL8" s="93">
        <f t="shared" si="7"/>
        <v>-134917.56999999983</v>
      </c>
    </row>
    <row r="9" spans="2:40" s="27" customFormat="1">
      <c r="B9" s="97">
        <v>4</v>
      </c>
      <c r="C9" s="98" t="s">
        <v>230</v>
      </c>
      <c r="D9" s="208" t="s">
        <v>231</v>
      </c>
      <c r="E9" s="209" t="s">
        <v>73</v>
      </c>
      <c r="F9" s="98" t="s">
        <v>232</v>
      </c>
      <c r="G9" s="107" t="s">
        <v>88</v>
      </c>
      <c r="H9" s="99" t="s">
        <v>39</v>
      </c>
      <c r="I9" s="100" t="s">
        <v>9</v>
      </c>
      <c r="J9" s="58" t="str">
        <f t="shared" si="2"/>
        <v>TER B</v>
      </c>
      <c r="K9" s="210">
        <v>3518666.57</v>
      </c>
      <c r="L9" s="101">
        <f t="shared" si="8"/>
        <v>30575.999999999996</v>
      </c>
      <c r="M9" s="46">
        <f>'[5]MAINTENANCE-2'!$AP14</f>
        <v>146680</v>
      </c>
      <c r="N9" s="101"/>
      <c r="O9" s="101"/>
      <c r="P9" s="101"/>
      <c r="Q9" s="101">
        <f>'[6]MAINTENANCE-2'!$X14</f>
        <v>121500</v>
      </c>
      <c r="R9" s="101"/>
      <c r="S9" s="101">
        <f>'[6]MAINTENANCE-2'!$AH14</f>
        <v>0</v>
      </c>
      <c r="T9" s="101"/>
      <c r="U9" s="101">
        <v>27000</v>
      </c>
      <c r="V9" s="101"/>
      <c r="W9" s="101"/>
      <c r="X9" s="101"/>
      <c r="Y9" s="101"/>
      <c r="Z9" s="101">
        <v>-242666.66</v>
      </c>
      <c r="AA9" s="101"/>
      <c r="AB9" s="101"/>
      <c r="AC9" s="62">
        <f t="shared" si="3"/>
        <v>3601755</v>
      </c>
      <c r="AD9" s="63">
        <f t="shared" si="0"/>
        <v>0</v>
      </c>
      <c r="AE9" s="108">
        <f t="shared" si="1"/>
        <v>0</v>
      </c>
      <c r="AG9" s="93"/>
      <c r="AI9" s="206">
        <f t="shared" si="4"/>
        <v>177256</v>
      </c>
      <c r="AJ9" s="207">
        <f t="shared" si="5"/>
        <v>-94166.66</v>
      </c>
      <c r="AK9" s="151">
        <f t="shared" si="6"/>
        <v>-94166.66</v>
      </c>
      <c r="AL9" s="93">
        <f t="shared" si="7"/>
        <v>-94167.569999999832</v>
      </c>
    </row>
    <row r="10" spans="2:40" s="27" customFormat="1">
      <c r="B10" s="97">
        <v>5</v>
      </c>
      <c r="C10" s="98" t="s">
        <v>233</v>
      </c>
      <c r="D10" s="208" t="s">
        <v>234</v>
      </c>
      <c r="E10" s="209" t="s">
        <v>342</v>
      </c>
      <c r="F10" s="98" t="s">
        <v>235</v>
      </c>
      <c r="G10" s="107" t="s">
        <v>88</v>
      </c>
      <c r="H10" s="99" t="s">
        <v>38</v>
      </c>
      <c r="I10" s="100" t="s">
        <v>7</v>
      </c>
      <c r="J10" s="58" t="str">
        <f t="shared" si="2"/>
        <v>TER A</v>
      </c>
      <c r="K10" s="210">
        <v>3518666.57</v>
      </c>
      <c r="L10" s="101">
        <f t="shared" si="8"/>
        <v>30575.999999999996</v>
      </c>
      <c r="M10" s="46">
        <f>'[5]MAINTENANCE-2'!$AP15</f>
        <v>147620</v>
      </c>
      <c r="N10" s="101"/>
      <c r="O10" s="101"/>
      <c r="P10" s="101"/>
      <c r="Q10" s="101">
        <f>'[6]MAINTENANCE-2'!$X15</f>
        <v>65250</v>
      </c>
      <c r="R10" s="101"/>
      <c r="S10" s="101">
        <f>'[6]MAINTENANCE-2'!$AH15</f>
        <v>0</v>
      </c>
      <c r="T10" s="101"/>
      <c r="U10" s="101">
        <v>50500</v>
      </c>
      <c r="V10" s="101"/>
      <c r="W10" s="101"/>
      <c r="X10" s="101"/>
      <c r="Y10" s="101"/>
      <c r="Z10" s="101">
        <v>0</v>
      </c>
      <c r="AA10" s="101"/>
      <c r="AB10" s="101"/>
      <c r="AC10" s="62">
        <f t="shared" si="3"/>
        <v>3812612</v>
      </c>
      <c r="AD10" s="63">
        <f t="shared" si="0"/>
        <v>0</v>
      </c>
      <c r="AE10" s="108">
        <f t="shared" si="1"/>
        <v>0</v>
      </c>
      <c r="AG10" s="93"/>
      <c r="AI10" s="206">
        <f t="shared" si="4"/>
        <v>178196</v>
      </c>
      <c r="AJ10" s="207">
        <f t="shared" si="5"/>
        <v>115750</v>
      </c>
      <c r="AK10" s="151">
        <f t="shared" si="6"/>
        <v>115750</v>
      </c>
      <c r="AL10" s="93">
        <f t="shared" si="7"/>
        <v>115749.43000000017</v>
      </c>
    </row>
    <row r="11" spans="2:40" s="27" customFormat="1">
      <c r="B11" s="97">
        <v>6</v>
      </c>
      <c r="C11" s="98" t="s">
        <v>236</v>
      </c>
      <c r="D11" s="208" t="s">
        <v>237</v>
      </c>
      <c r="E11" s="209" t="s">
        <v>343</v>
      </c>
      <c r="F11" s="98" t="s">
        <v>238</v>
      </c>
      <c r="G11" s="107" t="s">
        <v>88</v>
      </c>
      <c r="H11" s="99" t="s">
        <v>38</v>
      </c>
      <c r="I11" s="100" t="s">
        <v>7</v>
      </c>
      <c r="J11" s="58" t="str">
        <f t="shared" si="2"/>
        <v>TER A</v>
      </c>
      <c r="K11" s="210">
        <v>3518666.57</v>
      </c>
      <c r="L11" s="101">
        <f t="shared" si="8"/>
        <v>30575.999999999996</v>
      </c>
      <c r="M11" s="46">
        <f>'[5]MAINTENANCE-2'!$AP16</f>
        <v>147620</v>
      </c>
      <c r="N11" s="101"/>
      <c r="O11" s="101"/>
      <c r="P11" s="101"/>
      <c r="Q11" s="101">
        <f>'[6]MAINTENANCE-2'!$X16</f>
        <v>65250</v>
      </c>
      <c r="R11" s="101"/>
      <c r="S11" s="101">
        <f>'[6]MAINTENANCE-2'!$AH16</f>
        <v>0</v>
      </c>
      <c r="T11" s="101"/>
      <c r="U11" s="101">
        <v>50500</v>
      </c>
      <c r="V11" s="101"/>
      <c r="W11" s="101"/>
      <c r="X11" s="101"/>
      <c r="Y11" s="101"/>
      <c r="Z11" s="101">
        <v>0</v>
      </c>
      <c r="AA11" s="101"/>
      <c r="AB11" s="101"/>
      <c r="AC11" s="62">
        <f t="shared" si="3"/>
        <v>3812612</v>
      </c>
      <c r="AD11" s="63">
        <f t="shared" si="0"/>
        <v>0</v>
      </c>
      <c r="AE11" s="108">
        <f t="shared" si="1"/>
        <v>0</v>
      </c>
      <c r="AG11" s="93"/>
      <c r="AI11" s="206">
        <f t="shared" si="4"/>
        <v>178196</v>
      </c>
      <c r="AJ11" s="207">
        <f t="shared" si="5"/>
        <v>115750</v>
      </c>
      <c r="AK11" s="151">
        <f t="shared" si="6"/>
        <v>115750</v>
      </c>
      <c r="AL11" s="93">
        <f t="shared" si="7"/>
        <v>115749.43000000017</v>
      </c>
    </row>
    <row r="12" spans="2:40" s="27" customFormat="1">
      <c r="B12" s="97">
        <v>7</v>
      </c>
      <c r="C12" s="98" t="s">
        <v>239</v>
      </c>
      <c r="D12" s="208" t="s">
        <v>240</v>
      </c>
      <c r="E12" s="209" t="s">
        <v>344</v>
      </c>
      <c r="F12" s="98" t="s">
        <v>241</v>
      </c>
      <c r="G12" s="107" t="s">
        <v>88</v>
      </c>
      <c r="H12" s="99" t="s">
        <v>38</v>
      </c>
      <c r="I12" s="100" t="s">
        <v>7</v>
      </c>
      <c r="J12" s="58" t="str">
        <f t="shared" si="2"/>
        <v>TER A</v>
      </c>
      <c r="K12" s="210">
        <v>3518666.57</v>
      </c>
      <c r="L12" s="101">
        <f t="shared" si="8"/>
        <v>30575.999999999996</v>
      </c>
      <c r="M12" s="46">
        <f>'[5]MAINTENANCE-2'!$AP17</f>
        <v>147480</v>
      </c>
      <c r="N12" s="101"/>
      <c r="O12" s="101"/>
      <c r="P12" s="101"/>
      <c r="Q12" s="101">
        <f>'[6]MAINTENANCE-2'!$X17</f>
        <v>65250</v>
      </c>
      <c r="R12" s="101"/>
      <c r="S12" s="101">
        <f>'[6]MAINTENANCE-2'!$AH17</f>
        <v>0</v>
      </c>
      <c r="T12" s="101"/>
      <c r="U12" s="101">
        <v>47000</v>
      </c>
      <c r="V12" s="101"/>
      <c r="W12" s="101"/>
      <c r="X12" s="101"/>
      <c r="Y12" s="101"/>
      <c r="Z12" s="101">
        <v>0</v>
      </c>
      <c r="AA12" s="101"/>
      <c r="AB12" s="101"/>
      <c r="AC12" s="62">
        <f t="shared" si="3"/>
        <v>3808972</v>
      </c>
      <c r="AD12" s="63">
        <f t="shared" si="0"/>
        <v>0</v>
      </c>
      <c r="AE12" s="108">
        <f t="shared" si="1"/>
        <v>0</v>
      </c>
      <c r="AG12" s="93"/>
      <c r="AI12" s="206">
        <f t="shared" si="4"/>
        <v>178056</v>
      </c>
      <c r="AJ12" s="207">
        <f t="shared" si="5"/>
        <v>112250</v>
      </c>
      <c r="AK12" s="151">
        <f t="shared" si="6"/>
        <v>112250</v>
      </c>
      <c r="AL12" s="93">
        <f t="shared" si="7"/>
        <v>112249.43000000017</v>
      </c>
    </row>
    <row r="13" spans="2:40" s="27" customFormat="1">
      <c r="B13" s="97">
        <v>8</v>
      </c>
      <c r="C13" s="98" t="s">
        <v>242</v>
      </c>
      <c r="D13" s="208" t="s">
        <v>243</v>
      </c>
      <c r="E13" s="209" t="s">
        <v>345</v>
      </c>
      <c r="F13" s="98" t="s">
        <v>244</v>
      </c>
      <c r="G13" s="107" t="s">
        <v>88</v>
      </c>
      <c r="H13" s="99" t="s">
        <v>38</v>
      </c>
      <c r="I13" s="100" t="s">
        <v>7</v>
      </c>
      <c r="J13" s="58" t="str">
        <f t="shared" si="2"/>
        <v>TER A</v>
      </c>
      <c r="K13" s="210">
        <v>3518666.57</v>
      </c>
      <c r="L13" s="101">
        <f t="shared" si="8"/>
        <v>30575.999999999996</v>
      </c>
      <c r="M13" s="46">
        <f>'[5]MAINTENANCE-2'!$AP18</f>
        <v>148040</v>
      </c>
      <c r="N13" s="101"/>
      <c r="O13" s="101"/>
      <c r="P13" s="101"/>
      <c r="Q13" s="101">
        <f>'[6]MAINTENANCE-2'!$X18</f>
        <v>65250</v>
      </c>
      <c r="R13" s="101"/>
      <c r="S13" s="101">
        <f>'[6]MAINTENANCE-2'!$AH18</f>
        <v>0</v>
      </c>
      <c r="T13" s="101"/>
      <c r="U13" s="101">
        <v>61000</v>
      </c>
      <c r="V13" s="101"/>
      <c r="W13" s="101"/>
      <c r="X13" s="101"/>
      <c r="Y13" s="101"/>
      <c r="Z13" s="101">
        <v>0</v>
      </c>
      <c r="AA13" s="101"/>
      <c r="AB13" s="101"/>
      <c r="AC13" s="62">
        <f t="shared" si="3"/>
        <v>3823532</v>
      </c>
      <c r="AD13" s="63">
        <f t="shared" si="0"/>
        <v>0</v>
      </c>
      <c r="AE13" s="108">
        <f t="shared" si="1"/>
        <v>0</v>
      </c>
      <c r="AG13" s="93"/>
      <c r="AI13" s="206">
        <f t="shared" si="4"/>
        <v>178616</v>
      </c>
      <c r="AJ13" s="207">
        <f t="shared" si="5"/>
        <v>126250</v>
      </c>
      <c r="AK13" s="151">
        <f t="shared" si="6"/>
        <v>126250</v>
      </c>
      <c r="AL13" s="93">
        <f t="shared" si="7"/>
        <v>126249.43000000017</v>
      </c>
    </row>
    <row r="14" spans="2:40" s="27" customFormat="1">
      <c r="B14" s="97">
        <v>9</v>
      </c>
      <c r="C14" s="98" t="s">
        <v>245</v>
      </c>
      <c r="D14" s="208" t="s">
        <v>246</v>
      </c>
      <c r="E14" s="209" t="s">
        <v>346</v>
      </c>
      <c r="F14" s="98" t="s">
        <v>247</v>
      </c>
      <c r="G14" s="107" t="s">
        <v>88</v>
      </c>
      <c r="H14" s="99" t="s">
        <v>38</v>
      </c>
      <c r="I14" s="100" t="s">
        <v>7</v>
      </c>
      <c r="J14" s="58" t="str">
        <f t="shared" si="2"/>
        <v>TER A</v>
      </c>
      <c r="K14" s="210">
        <v>3518666.57</v>
      </c>
      <c r="L14" s="101">
        <f t="shared" si="8"/>
        <v>30575.999999999996</v>
      </c>
      <c r="M14" s="46">
        <f>'[5]MAINTENANCE-2'!$AP19</f>
        <v>147340</v>
      </c>
      <c r="N14" s="101"/>
      <c r="O14" s="101"/>
      <c r="P14" s="101"/>
      <c r="Q14" s="101">
        <f>'[6]MAINTENANCE-2'!$X19</f>
        <v>65250</v>
      </c>
      <c r="R14" s="101"/>
      <c r="S14" s="101">
        <f>'[6]MAINTENANCE-2'!$AH19</f>
        <v>0</v>
      </c>
      <c r="T14" s="101"/>
      <c r="U14" s="101">
        <v>43500</v>
      </c>
      <c r="V14" s="101"/>
      <c r="W14" s="101"/>
      <c r="X14" s="101"/>
      <c r="Y14" s="101"/>
      <c r="Z14" s="101">
        <v>0</v>
      </c>
      <c r="AA14" s="101"/>
      <c r="AB14" s="101"/>
      <c r="AC14" s="62">
        <f t="shared" si="3"/>
        <v>3805332</v>
      </c>
      <c r="AD14" s="63">
        <f t="shared" si="0"/>
        <v>0</v>
      </c>
      <c r="AE14" s="108">
        <f t="shared" si="1"/>
        <v>0</v>
      </c>
      <c r="AG14" s="93"/>
      <c r="AI14" s="206">
        <f t="shared" si="4"/>
        <v>177916</v>
      </c>
      <c r="AJ14" s="207">
        <f t="shared" si="5"/>
        <v>108750</v>
      </c>
      <c r="AK14" s="151">
        <f t="shared" si="6"/>
        <v>108750</v>
      </c>
      <c r="AL14" s="93">
        <f t="shared" si="7"/>
        <v>108749.43000000017</v>
      </c>
    </row>
    <row r="15" spans="2:40" s="27" customFormat="1">
      <c r="B15" s="97">
        <v>10</v>
      </c>
      <c r="C15" s="98" t="s">
        <v>248</v>
      </c>
      <c r="D15" s="208" t="s">
        <v>249</v>
      </c>
      <c r="E15" s="209" t="s">
        <v>347</v>
      </c>
      <c r="F15" s="98" t="s">
        <v>250</v>
      </c>
      <c r="G15" s="107" t="s">
        <v>88</v>
      </c>
      <c r="H15" s="99" t="s">
        <v>39</v>
      </c>
      <c r="I15" s="100" t="s">
        <v>17</v>
      </c>
      <c r="J15" s="58" t="str">
        <f t="shared" si="2"/>
        <v>TER A</v>
      </c>
      <c r="K15" s="210">
        <v>3518666.57</v>
      </c>
      <c r="L15" s="101">
        <f t="shared" si="8"/>
        <v>30575.999999999996</v>
      </c>
      <c r="M15" s="46">
        <f>'[5]MAINTENANCE-2'!$AP20</f>
        <v>148040</v>
      </c>
      <c r="N15" s="101"/>
      <c r="O15" s="101"/>
      <c r="P15" s="101"/>
      <c r="Q15" s="101">
        <f>'[6]MAINTENANCE-2'!$X20</f>
        <v>104400</v>
      </c>
      <c r="R15" s="101"/>
      <c r="S15" s="101">
        <f>'[6]MAINTENANCE-2'!$AH20</f>
        <v>0</v>
      </c>
      <c r="T15" s="101"/>
      <c r="U15" s="101">
        <v>61000</v>
      </c>
      <c r="V15" s="101"/>
      <c r="W15" s="101"/>
      <c r="X15" s="101"/>
      <c r="Y15" s="101"/>
      <c r="Z15" s="101">
        <v>0</v>
      </c>
      <c r="AA15" s="101"/>
      <c r="AB15" s="101"/>
      <c r="AC15" s="62">
        <f t="shared" si="3"/>
        <v>3862682</v>
      </c>
      <c r="AD15" s="63">
        <f t="shared" si="0"/>
        <v>0</v>
      </c>
      <c r="AE15" s="108">
        <f t="shared" si="1"/>
        <v>0</v>
      </c>
      <c r="AG15" s="93"/>
      <c r="AI15" s="206">
        <f t="shared" si="4"/>
        <v>178616</v>
      </c>
      <c r="AJ15" s="207">
        <f t="shared" si="5"/>
        <v>165400</v>
      </c>
      <c r="AK15" s="151">
        <f t="shared" si="6"/>
        <v>165400</v>
      </c>
      <c r="AL15" s="93">
        <f t="shared" si="7"/>
        <v>165399.43000000017</v>
      </c>
    </row>
    <row r="16" spans="2:40" s="27" customFormat="1">
      <c r="B16" s="97">
        <v>11</v>
      </c>
      <c r="C16" s="98" t="s">
        <v>251</v>
      </c>
      <c r="D16" s="208" t="s">
        <v>252</v>
      </c>
      <c r="E16" s="209" t="s">
        <v>348</v>
      </c>
      <c r="F16" s="98" t="s">
        <v>253</v>
      </c>
      <c r="G16" s="107" t="s">
        <v>88</v>
      </c>
      <c r="H16" s="99" t="s">
        <v>39</v>
      </c>
      <c r="I16" s="100" t="s">
        <v>7</v>
      </c>
      <c r="J16" s="58" t="str">
        <f t="shared" si="2"/>
        <v>TER A</v>
      </c>
      <c r="K16" s="210">
        <v>3518666.57</v>
      </c>
      <c r="L16" s="101">
        <f t="shared" si="8"/>
        <v>30575.999999999996</v>
      </c>
      <c r="M16" s="46">
        <f>'[5]MAINTENANCE-2'!$AP21</f>
        <v>146440</v>
      </c>
      <c r="N16" s="101"/>
      <c r="O16" s="101"/>
      <c r="P16" s="101"/>
      <c r="Q16" s="101">
        <f>'[6]MAINTENANCE-2'!$X21</f>
        <v>60750</v>
      </c>
      <c r="R16" s="101"/>
      <c r="S16" s="101">
        <f>'[6]MAINTENANCE-2'!$AH21</f>
        <v>0</v>
      </c>
      <c r="T16" s="101"/>
      <c r="U16" s="101">
        <v>21000</v>
      </c>
      <c r="V16" s="101"/>
      <c r="W16" s="101"/>
      <c r="X16" s="101"/>
      <c r="Y16" s="101"/>
      <c r="Z16" s="101">
        <v>-242666.66</v>
      </c>
      <c r="AA16" s="101"/>
      <c r="AB16" s="101"/>
      <c r="AC16" s="62">
        <f t="shared" si="3"/>
        <v>3534765</v>
      </c>
      <c r="AD16" s="63">
        <f t="shared" si="0"/>
        <v>0</v>
      </c>
      <c r="AE16" s="108">
        <f t="shared" si="1"/>
        <v>0</v>
      </c>
      <c r="AG16" s="93"/>
      <c r="AI16" s="206">
        <f t="shared" si="4"/>
        <v>177016</v>
      </c>
      <c r="AJ16" s="207">
        <f t="shared" si="5"/>
        <v>-160916.66</v>
      </c>
      <c r="AK16" s="151">
        <f t="shared" si="6"/>
        <v>-160916.66</v>
      </c>
      <c r="AL16" s="93">
        <f t="shared" si="7"/>
        <v>-160917.56999999983</v>
      </c>
    </row>
    <row r="17" spans="2:38" s="27" customFormat="1">
      <c r="B17" s="97">
        <v>12</v>
      </c>
      <c r="C17" s="98" t="s">
        <v>254</v>
      </c>
      <c r="D17" s="208" t="s">
        <v>255</v>
      </c>
      <c r="E17" s="209" t="s">
        <v>349</v>
      </c>
      <c r="F17" s="98" t="s">
        <v>256</v>
      </c>
      <c r="G17" s="107" t="s">
        <v>88</v>
      </c>
      <c r="H17" s="99" t="s">
        <v>38</v>
      </c>
      <c r="I17" s="100" t="s">
        <v>7</v>
      </c>
      <c r="J17" s="58" t="str">
        <f t="shared" si="2"/>
        <v>TER A</v>
      </c>
      <c r="K17" s="210">
        <v>3518666.57</v>
      </c>
      <c r="L17" s="101">
        <f t="shared" si="8"/>
        <v>30575.999999999996</v>
      </c>
      <c r="M17" s="46">
        <f>'[5]MAINTENANCE-2'!$AP22</f>
        <v>146800</v>
      </c>
      <c r="N17" s="101"/>
      <c r="O17" s="101"/>
      <c r="P17" s="101"/>
      <c r="Q17" s="101">
        <f>'[6]MAINTENANCE-2'!$X22</f>
        <v>65250</v>
      </c>
      <c r="R17" s="101"/>
      <c r="S17" s="101">
        <f>'[6]MAINTENANCE-2'!$AH22</f>
        <v>0</v>
      </c>
      <c r="T17" s="101"/>
      <c r="U17" s="101">
        <v>30000</v>
      </c>
      <c r="V17" s="101"/>
      <c r="W17" s="101"/>
      <c r="X17" s="101"/>
      <c r="Y17" s="101"/>
      <c r="Z17" s="101">
        <v>0</v>
      </c>
      <c r="AA17" s="101"/>
      <c r="AB17" s="101"/>
      <c r="AC17" s="62">
        <f t="shared" si="3"/>
        <v>3791292</v>
      </c>
      <c r="AD17" s="63">
        <f t="shared" si="0"/>
        <v>0</v>
      </c>
      <c r="AE17" s="108">
        <f t="shared" si="1"/>
        <v>0</v>
      </c>
      <c r="AG17" s="93"/>
      <c r="AI17" s="206">
        <f t="shared" si="4"/>
        <v>177376</v>
      </c>
      <c r="AJ17" s="207">
        <f t="shared" si="5"/>
        <v>95250</v>
      </c>
      <c r="AK17" s="151">
        <f t="shared" si="6"/>
        <v>95250</v>
      </c>
      <c r="AL17" s="93">
        <f t="shared" si="7"/>
        <v>95249.430000000168</v>
      </c>
    </row>
    <row r="18" spans="2:38" s="27" customFormat="1">
      <c r="B18" s="97">
        <v>13</v>
      </c>
      <c r="C18" s="98" t="s">
        <v>257</v>
      </c>
      <c r="D18" s="208" t="s">
        <v>258</v>
      </c>
      <c r="E18" s="209" t="s">
        <v>350</v>
      </c>
      <c r="F18" s="98" t="s">
        <v>259</v>
      </c>
      <c r="G18" s="107" t="s">
        <v>88</v>
      </c>
      <c r="H18" s="99" t="s">
        <v>39</v>
      </c>
      <c r="I18" s="100" t="s">
        <v>9</v>
      </c>
      <c r="J18" s="58" t="str">
        <f t="shared" si="2"/>
        <v>TER B</v>
      </c>
      <c r="K18" s="210">
        <v>3518666.57</v>
      </c>
      <c r="L18" s="101">
        <f t="shared" si="8"/>
        <v>30575.999999999996</v>
      </c>
      <c r="M18" s="46">
        <f>'[5]MAINTENANCE-2'!$AP23</f>
        <v>146800</v>
      </c>
      <c r="N18" s="101">
        <v>33900</v>
      </c>
      <c r="O18" s="101"/>
      <c r="P18" s="101"/>
      <c r="Q18" s="101">
        <f>'[6]MAINTENANCE-2'!$X23</f>
        <v>126000</v>
      </c>
      <c r="R18" s="101"/>
      <c r="S18" s="101">
        <f>'[6]MAINTENANCE-2'!$AH23</f>
        <v>147283.22</v>
      </c>
      <c r="T18" s="101"/>
      <c r="U18" s="101">
        <v>30000</v>
      </c>
      <c r="V18" s="101"/>
      <c r="W18" s="101"/>
      <c r="X18" s="101"/>
      <c r="Y18" s="101"/>
      <c r="Z18" s="101">
        <v>-121333.33</v>
      </c>
      <c r="AA18" s="101"/>
      <c r="AB18" s="101"/>
      <c r="AC18" s="62">
        <f t="shared" si="3"/>
        <v>3911892</v>
      </c>
      <c r="AD18" s="63">
        <f t="shared" si="0"/>
        <v>0</v>
      </c>
      <c r="AE18" s="108">
        <f t="shared" si="1"/>
        <v>0</v>
      </c>
      <c r="AG18" s="93"/>
      <c r="AI18" s="206">
        <f t="shared" si="4"/>
        <v>177376</v>
      </c>
      <c r="AJ18" s="207">
        <f t="shared" si="5"/>
        <v>215849.88999999996</v>
      </c>
      <c r="AK18" s="151">
        <f t="shared" si="6"/>
        <v>215849.88999999996</v>
      </c>
      <c r="AL18" s="93">
        <f t="shared" si="7"/>
        <v>215849.43000000017</v>
      </c>
    </row>
    <row r="19" spans="2:38" s="27" customFormat="1">
      <c r="B19" s="97">
        <v>14</v>
      </c>
      <c r="C19" s="98" t="s">
        <v>260</v>
      </c>
      <c r="D19" s="208" t="s">
        <v>261</v>
      </c>
      <c r="E19" s="209" t="s">
        <v>73</v>
      </c>
      <c r="F19" s="98" t="s">
        <v>262</v>
      </c>
      <c r="G19" s="107" t="s">
        <v>88</v>
      </c>
      <c r="H19" s="99" t="s">
        <v>39</v>
      </c>
      <c r="I19" s="100" t="s">
        <v>11</v>
      </c>
      <c r="J19" s="58" t="str">
        <f t="shared" si="2"/>
        <v>TER B</v>
      </c>
      <c r="K19" s="210">
        <v>3518666.57</v>
      </c>
      <c r="L19" s="101">
        <f t="shared" si="8"/>
        <v>30575.999999999996</v>
      </c>
      <c r="M19" s="46">
        <f>'[5]MAINTENANCE-2'!$AP24</f>
        <v>146440</v>
      </c>
      <c r="N19" s="101"/>
      <c r="O19" s="101"/>
      <c r="P19" s="101"/>
      <c r="Q19" s="101">
        <f>'[6]MAINTENANCE-2'!$X24</f>
        <v>151200</v>
      </c>
      <c r="R19" s="101"/>
      <c r="S19" s="101">
        <f>'[6]MAINTENANCE-2'!$AH24</f>
        <v>0</v>
      </c>
      <c r="T19" s="101"/>
      <c r="U19" s="101">
        <v>21000</v>
      </c>
      <c r="V19" s="101"/>
      <c r="W19" s="101"/>
      <c r="X19" s="101"/>
      <c r="Y19" s="101"/>
      <c r="Z19" s="101">
        <v>-121333.33</v>
      </c>
      <c r="AA19" s="101"/>
      <c r="AB19" s="101"/>
      <c r="AC19" s="62">
        <f t="shared" si="3"/>
        <v>3746549</v>
      </c>
      <c r="AD19" s="63">
        <f t="shared" si="0"/>
        <v>0</v>
      </c>
      <c r="AE19" s="108">
        <f t="shared" si="1"/>
        <v>0</v>
      </c>
      <c r="AG19" s="93"/>
      <c r="AI19" s="206">
        <f t="shared" si="4"/>
        <v>177016</v>
      </c>
      <c r="AJ19" s="207">
        <f t="shared" si="5"/>
        <v>50866.67</v>
      </c>
      <c r="AK19" s="151">
        <f t="shared" si="6"/>
        <v>50866.67</v>
      </c>
      <c r="AL19" s="93">
        <f t="shared" si="7"/>
        <v>50866.430000000168</v>
      </c>
    </row>
    <row r="20" spans="2:38" s="27" customFormat="1">
      <c r="B20" s="97">
        <v>15</v>
      </c>
      <c r="C20" s="98" t="s">
        <v>263</v>
      </c>
      <c r="D20" s="208" t="s">
        <v>264</v>
      </c>
      <c r="E20" s="209" t="s">
        <v>73</v>
      </c>
      <c r="F20" s="98" t="s">
        <v>265</v>
      </c>
      <c r="G20" s="107" t="s">
        <v>88</v>
      </c>
      <c r="H20" s="99" t="s">
        <v>39</v>
      </c>
      <c r="I20" s="100" t="s">
        <v>9</v>
      </c>
      <c r="J20" s="58" t="str">
        <f t="shared" si="2"/>
        <v>TER B</v>
      </c>
      <c r="K20" s="210">
        <v>3518666.57</v>
      </c>
      <c r="L20" s="101">
        <f t="shared" si="8"/>
        <v>30575.999999999996</v>
      </c>
      <c r="M20" s="46">
        <f>'[5]MAINTENANCE-2'!$AP25</f>
        <v>145900</v>
      </c>
      <c r="N20" s="101"/>
      <c r="O20" s="101"/>
      <c r="P20" s="101"/>
      <c r="Q20" s="101">
        <f>'[6]MAINTENANCE-2'!$X25</f>
        <v>130500</v>
      </c>
      <c r="R20" s="101"/>
      <c r="S20" s="101">
        <f>'[6]MAINTENANCE-2'!$AH25</f>
        <v>0</v>
      </c>
      <c r="T20" s="101"/>
      <c r="U20" s="101">
        <v>7500</v>
      </c>
      <c r="V20" s="101"/>
      <c r="W20" s="101"/>
      <c r="X20" s="101"/>
      <c r="Y20" s="101"/>
      <c r="Z20" s="101">
        <v>0</v>
      </c>
      <c r="AA20" s="101"/>
      <c r="AB20" s="101"/>
      <c r="AC20" s="62">
        <f t="shared" si="3"/>
        <v>3833142</v>
      </c>
      <c r="AD20" s="63">
        <f t="shared" si="0"/>
        <v>0</v>
      </c>
      <c r="AE20" s="108">
        <f t="shared" si="1"/>
        <v>0</v>
      </c>
      <c r="AG20" s="93"/>
      <c r="AI20" s="206">
        <f t="shared" si="4"/>
        <v>176476</v>
      </c>
      <c r="AJ20" s="207">
        <f t="shared" si="5"/>
        <v>138000</v>
      </c>
      <c r="AK20" s="151">
        <f t="shared" si="6"/>
        <v>138000</v>
      </c>
      <c r="AL20" s="93">
        <f t="shared" si="7"/>
        <v>137999.43000000017</v>
      </c>
    </row>
    <row r="21" spans="2:38" s="27" customFormat="1">
      <c r="B21" s="97">
        <v>16</v>
      </c>
      <c r="C21" s="98" t="s">
        <v>266</v>
      </c>
      <c r="D21" s="208" t="s">
        <v>267</v>
      </c>
      <c r="E21" s="209" t="s">
        <v>351</v>
      </c>
      <c r="F21" s="98" t="s">
        <v>268</v>
      </c>
      <c r="G21" s="107" t="s">
        <v>88</v>
      </c>
      <c r="H21" s="99" t="s">
        <v>38</v>
      </c>
      <c r="I21" s="100" t="s">
        <v>7</v>
      </c>
      <c r="J21" s="58" t="str">
        <f t="shared" si="2"/>
        <v>TER A</v>
      </c>
      <c r="K21" s="210">
        <v>3518666.57</v>
      </c>
      <c r="L21" s="101">
        <f t="shared" si="8"/>
        <v>30575.999999999996</v>
      </c>
      <c r="M21" s="46">
        <f>'[5]MAINTENANCE-2'!$AP26</f>
        <v>147340</v>
      </c>
      <c r="N21" s="101"/>
      <c r="O21" s="101"/>
      <c r="P21" s="101"/>
      <c r="Q21" s="101">
        <f>'[6]MAINTENANCE-2'!$X26</f>
        <v>65250</v>
      </c>
      <c r="R21" s="101"/>
      <c r="S21" s="101">
        <f>'[6]MAINTENANCE-2'!$AH26</f>
        <v>0</v>
      </c>
      <c r="T21" s="101"/>
      <c r="U21" s="101">
        <v>43500</v>
      </c>
      <c r="V21" s="101"/>
      <c r="W21" s="101"/>
      <c r="X21" s="101"/>
      <c r="Y21" s="101"/>
      <c r="Z21" s="101">
        <v>0</v>
      </c>
      <c r="AA21" s="101"/>
      <c r="AB21" s="101"/>
      <c r="AC21" s="62">
        <f t="shared" si="3"/>
        <v>3805332</v>
      </c>
      <c r="AD21" s="63">
        <f t="shared" si="0"/>
        <v>0</v>
      </c>
      <c r="AE21" s="108">
        <f t="shared" si="1"/>
        <v>0</v>
      </c>
      <c r="AG21" s="93"/>
      <c r="AI21" s="206">
        <f t="shared" si="4"/>
        <v>177916</v>
      </c>
      <c r="AJ21" s="207">
        <f t="shared" si="5"/>
        <v>108750</v>
      </c>
      <c r="AK21" s="151">
        <f t="shared" si="6"/>
        <v>108750</v>
      </c>
      <c r="AL21" s="93">
        <f t="shared" si="7"/>
        <v>108749.43000000017</v>
      </c>
    </row>
    <row r="22" spans="2:38" s="27" customFormat="1">
      <c r="B22" s="97">
        <v>17</v>
      </c>
      <c r="C22" s="98" t="s">
        <v>269</v>
      </c>
      <c r="D22" s="208" t="s">
        <v>270</v>
      </c>
      <c r="E22" s="209" t="s">
        <v>352</v>
      </c>
      <c r="F22" s="98" t="s">
        <v>271</v>
      </c>
      <c r="G22" s="107" t="s">
        <v>88</v>
      </c>
      <c r="H22" s="99" t="s">
        <v>38</v>
      </c>
      <c r="I22" s="100" t="s">
        <v>7</v>
      </c>
      <c r="J22" s="58" t="str">
        <f t="shared" si="2"/>
        <v>TER A</v>
      </c>
      <c r="K22" s="210">
        <v>3518666.57</v>
      </c>
      <c r="L22" s="101">
        <f t="shared" si="8"/>
        <v>30575.999999999996</v>
      </c>
      <c r="M22" s="46">
        <f>'[5]MAINTENANCE-2'!$AP27</f>
        <v>147620</v>
      </c>
      <c r="N22" s="101"/>
      <c r="O22" s="101"/>
      <c r="P22" s="101"/>
      <c r="Q22" s="101">
        <f>'[6]MAINTENANCE-2'!$X27</f>
        <v>65250</v>
      </c>
      <c r="R22" s="101"/>
      <c r="S22" s="101">
        <f>'[6]MAINTENANCE-2'!$AH27</f>
        <v>0</v>
      </c>
      <c r="T22" s="101"/>
      <c r="U22" s="101">
        <v>50500</v>
      </c>
      <c r="V22" s="101"/>
      <c r="W22" s="101"/>
      <c r="X22" s="101"/>
      <c r="Y22" s="101"/>
      <c r="Z22" s="101">
        <v>0</v>
      </c>
      <c r="AA22" s="101"/>
      <c r="AB22" s="101"/>
      <c r="AC22" s="62">
        <f t="shared" si="3"/>
        <v>3812612</v>
      </c>
      <c r="AD22" s="63">
        <f t="shared" si="0"/>
        <v>0</v>
      </c>
      <c r="AE22" s="108">
        <f t="shared" si="1"/>
        <v>0</v>
      </c>
      <c r="AG22" s="93"/>
      <c r="AI22" s="206">
        <f t="shared" si="4"/>
        <v>178196</v>
      </c>
      <c r="AJ22" s="207">
        <f t="shared" si="5"/>
        <v>115750</v>
      </c>
      <c r="AK22" s="151">
        <f t="shared" si="6"/>
        <v>115750</v>
      </c>
      <c r="AL22" s="93">
        <f t="shared" si="7"/>
        <v>115749.43000000017</v>
      </c>
    </row>
    <row r="23" spans="2:38" s="27" customFormat="1">
      <c r="B23" s="97">
        <v>18</v>
      </c>
      <c r="C23" s="98" t="s">
        <v>272</v>
      </c>
      <c r="D23" s="42" t="s">
        <v>273</v>
      </c>
      <c r="E23" s="43" t="s">
        <v>353</v>
      </c>
      <c r="F23" s="41" t="s">
        <v>274</v>
      </c>
      <c r="G23" s="107" t="s">
        <v>88</v>
      </c>
      <c r="H23" s="44" t="s">
        <v>38</v>
      </c>
      <c r="I23" s="45" t="s">
        <v>7</v>
      </c>
      <c r="J23" s="58" t="str">
        <f t="shared" si="2"/>
        <v>TER A</v>
      </c>
      <c r="K23" s="210">
        <v>3518666.57</v>
      </c>
      <c r="L23" s="101">
        <f t="shared" si="8"/>
        <v>30575.999999999996</v>
      </c>
      <c r="M23" s="46">
        <f>'[5]MAINTENANCE-2'!$AP28</f>
        <v>146560</v>
      </c>
      <c r="N23" s="46"/>
      <c r="O23" s="46"/>
      <c r="P23" s="46"/>
      <c r="Q23" s="101">
        <f>'[6]MAINTENANCE-2'!$X28</f>
        <v>65250</v>
      </c>
      <c r="R23" s="46"/>
      <c r="S23" s="101">
        <f>'[6]MAINTENANCE-2'!$AH28</f>
        <v>0</v>
      </c>
      <c r="T23" s="46"/>
      <c r="U23" s="46">
        <v>24000</v>
      </c>
      <c r="V23" s="46"/>
      <c r="W23" s="46"/>
      <c r="X23" s="46"/>
      <c r="Y23" s="46"/>
      <c r="Z23" s="46">
        <v>0</v>
      </c>
      <c r="AA23" s="46"/>
      <c r="AB23" s="46"/>
      <c r="AC23" s="62">
        <f t="shared" si="3"/>
        <v>3785052</v>
      </c>
      <c r="AD23" s="63">
        <f t="shared" si="0"/>
        <v>0</v>
      </c>
      <c r="AE23" s="108">
        <f t="shared" si="1"/>
        <v>0</v>
      </c>
      <c r="AG23" s="93"/>
      <c r="AI23" s="206">
        <f t="shared" si="4"/>
        <v>177136</v>
      </c>
      <c r="AJ23" s="207">
        <f t="shared" si="5"/>
        <v>89250</v>
      </c>
      <c r="AK23" s="151">
        <f t="shared" si="6"/>
        <v>89250</v>
      </c>
      <c r="AL23" s="93">
        <f t="shared" si="7"/>
        <v>89249.430000000168</v>
      </c>
    </row>
    <row r="24" spans="2:38" s="27" customFormat="1">
      <c r="B24" s="97">
        <v>19</v>
      </c>
      <c r="C24" s="98" t="s">
        <v>275</v>
      </c>
      <c r="D24" s="42" t="s">
        <v>276</v>
      </c>
      <c r="E24" s="43" t="s">
        <v>354</v>
      </c>
      <c r="F24" s="41" t="s">
        <v>247</v>
      </c>
      <c r="G24" s="107" t="s">
        <v>88</v>
      </c>
      <c r="H24" s="44" t="s">
        <v>39</v>
      </c>
      <c r="I24" s="45" t="s">
        <v>11</v>
      </c>
      <c r="J24" s="58" t="str">
        <f t="shared" si="2"/>
        <v>TER B</v>
      </c>
      <c r="K24" s="210">
        <v>3518666.57</v>
      </c>
      <c r="L24" s="101">
        <f t="shared" si="8"/>
        <v>30575.999999999996</v>
      </c>
      <c r="M24" s="46">
        <f>'[5]MAINTENANCE-2'!$AP29</f>
        <v>148040</v>
      </c>
      <c r="N24" s="46"/>
      <c r="O24" s="46"/>
      <c r="P24" s="46"/>
      <c r="Q24" s="101">
        <f>'[6]MAINTENANCE-2'!$X29</f>
        <v>156600</v>
      </c>
      <c r="R24" s="46"/>
      <c r="S24" s="101">
        <f>'[6]MAINTENANCE-2'!$AH29</f>
        <v>568092.42000000004</v>
      </c>
      <c r="T24" s="46"/>
      <c r="U24" s="46">
        <v>61000</v>
      </c>
      <c r="V24" s="46"/>
      <c r="W24" s="46"/>
      <c r="X24" s="46"/>
      <c r="Y24" s="46"/>
      <c r="Z24" s="46">
        <v>0</v>
      </c>
      <c r="AA24" s="46"/>
      <c r="AB24" s="46"/>
      <c r="AC24" s="62">
        <f t="shared" si="3"/>
        <v>4482974</v>
      </c>
      <c r="AD24" s="63">
        <f t="shared" si="0"/>
        <v>0</v>
      </c>
      <c r="AE24" s="108">
        <f t="shared" si="1"/>
        <v>0</v>
      </c>
      <c r="AG24" s="93"/>
      <c r="AI24" s="206">
        <f t="shared" si="4"/>
        <v>178616</v>
      </c>
      <c r="AJ24" s="207">
        <f t="shared" si="5"/>
        <v>785692.42</v>
      </c>
      <c r="AK24" s="151">
        <f t="shared" si="6"/>
        <v>785692.42</v>
      </c>
      <c r="AL24" s="93">
        <f t="shared" si="7"/>
        <v>785691.43000000017</v>
      </c>
    </row>
    <row r="25" spans="2:38" s="27" customFormat="1">
      <c r="B25" s="97">
        <v>20</v>
      </c>
      <c r="C25" s="98" t="s">
        <v>277</v>
      </c>
      <c r="D25" s="42" t="s">
        <v>278</v>
      </c>
      <c r="E25" s="43" t="s">
        <v>355</v>
      </c>
      <c r="F25" s="41" t="s">
        <v>279</v>
      </c>
      <c r="G25" s="107" t="s">
        <v>88</v>
      </c>
      <c r="H25" s="44" t="s">
        <v>38</v>
      </c>
      <c r="I25" s="45" t="s">
        <v>7</v>
      </c>
      <c r="J25" s="58" t="str">
        <f t="shared" si="2"/>
        <v>TER A</v>
      </c>
      <c r="K25" s="210">
        <v>3518666.57</v>
      </c>
      <c r="L25" s="101">
        <f t="shared" si="8"/>
        <v>30575.999999999996</v>
      </c>
      <c r="M25" s="46">
        <f>'[5]MAINTENANCE-2'!$AP30</f>
        <v>147620</v>
      </c>
      <c r="N25" s="46"/>
      <c r="O25" s="46"/>
      <c r="P25" s="46"/>
      <c r="Q25" s="101">
        <f>'[6]MAINTENANCE-2'!$X30</f>
        <v>65250</v>
      </c>
      <c r="R25" s="46"/>
      <c r="S25" s="101">
        <f>'[6]MAINTENANCE-2'!$AH30</f>
        <v>31560.69</v>
      </c>
      <c r="T25" s="46"/>
      <c r="U25" s="46">
        <v>50500</v>
      </c>
      <c r="V25" s="46"/>
      <c r="W25" s="46"/>
      <c r="X25" s="46"/>
      <c r="Y25" s="46"/>
      <c r="Z25" s="46">
        <v>0</v>
      </c>
      <c r="AA25" s="46"/>
      <c r="AB25" s="46"/>
      <c r="AC25" s="62">
        <f t="shared" si="3"/>
        <v>3844173</v>
      </c>
      <c r="AD25" s="63">
        <f t="shared" si="0"/>
        <v>0</v>
      </c>
      <c r="AE25" s="108">
        <f t="shared" si="1"/>
        <v>0</v>
      </c>
      <c r="AG25" s="93"/>
      <c r="AI25" s="206">
        <f t="shared" si="4"/>
        <v>178196</v>
      </c>
      <c r="AJ25" s="207">
        <f t="shared" si="5"/>
        <v>147310.69</v>
      </c>
      <c r="AK25" s="151">
        <f t="shared" si="6"/>
        <v>147310.69</v>
      </c>
      <c r="AL25" s="93">
        <f t="shared" si="7"/>
        <v>147310.43000000017</v>
      </c>
    </row>
    <row r="26" spans="2:38" s="27" customFormat="1">
      <c r="B26" s="97">
        <v>21</v>
      </c>
      <c r="C26" s="98" t="s">
        <v>280</v>
      </c>
      <c r="D26" s="42" t="s">
        <v>281</v>
      </c>
      <c r="E26" s="43" t="s">
        <v>356</v>
      </c>
      <c r="F26" s="41" t="s">
        <v>282</v>
      </c>
      <c r="G26" s="107" t="s">
        <v>88</v>
      </c>
      <c r="H26" s="44" t="s">
        <v>38</v>
      </c>
      <c r="I26" s="45" t="s">
        <v>7</v>
      </c>
      <c r="J26" s="58" t="str">
        <f t="shared" si="2"/>
        <v>TER A</v>
      </c>
      <c r="K26" s="210">
        <v>3518666.57</v>
      </c>
      <c r="L26" s="101">
        <f t="shared" si="8"/>
        <v>30575.999999999996</v>
      </c>
      <c r="M26" s="46">
        <f>'[5]MAINTENANCE-2'!$AP31</f>
        <v>147340</v>
      </c>
      <c r="N26" s="46"/>
      <c r="O26" s="46"/>
      <c r="P26" s="46"/>
      <c r="Q26" s="101">
        <f>'[6]MAINTENANCE-2'!$X31</f>
        <v>60750</v>
      </c>
      <c r="R26" s="46"/>
      <c r="S26" s="101">
        <f>'[6]MAINTENANCE-2'!$AH31</f>
        <v>0</v>
      </c>
      <c r="T26" s="46"/>
      <c r="U26" s="46">
        <v>43500</v>
      </c>
      <c r="V26" s="46"/>
      <c r="W26" s="46"/>
      <c r="X26" s="46"/>
      <c r="Y26" s="46"/>
      <c r="Z26" s="46">
        <v>-242666.66</v>
      </c>
      <c r="AA26" s="46"/>
      <c r="AB26" s="46"/>
      <c r="AC26" s="62">
        <f t="shared" si="3"/>
        <v>3558165</v>
      </c>
      <c r="AD26" s="63">
        <f t="shared" si="0"/>
        <v>0</v>
      </c>
      <c r="AE26" s="108">
        <f t="shared" si="1"/>
        <v>0</v>
      </c>
      <c r="AG26" s="93"/>
      <c r="AI26" s="206">
        <f t="shared" si="4"/>
        <v>177916</v>
      </c>
      <c r="AJ26" s="207">
        <f t="shared" si="5"/>
        <v>-138416.66</v>
      </c>
      <c r="AK26" s="151">
        <f t="shared" si="6"/>
        <v>-138416.66</v>
      </c>
      <c r="AL26" s="93">
        <f t="shared" si="7"/>
        <v>-138417.56999999983</v>
      </c>
    </row>
    <row r="27" spans="2:38" s="27" customFormat="1">
      <c r="B27" s="97">
        <v>22</v>
      </c>
      <c r="C27" s="98" t="s">
        <v>357</v>
      </c>
      <c r="D27" s="42" t="s">
        <v>284</v>
      </c>
      <c r="E27" s="43" t="s">
        <v>358</v>
      </c>
      <c r="F27" s="41" t="s">
        <v>285</v>
      </c>
      <c r="G27" s="107" t="s">
        <v>88</v>
      </c>
      <c r="H27" s="44" t="s">
        <v>38</v>
      </c>
      <c r="I27" s="45" t="s">
        <v>7</v>
      </c>
      <c r="J27" s="58" t="str">
        <f t="shared" si="2"/>
        <v>TER A</v>
      </c>
      <c r="K27" s="210">
        <v>3518666.57</v>
      </c>
      <c r="L27" s="101">
        <f t="shared" si="8"/>
        <v>30575.999999999996</v>
      </c>
      <c r="M27" s="46">
        <f>'[5]MAINTENANCE-2'!$AP32</f>
        <v>146200</v>
      </c>
      <c r="N27" s="46"/>
      <c r="O27" s="46"/>
      <c r="P27" s="46"/>
      <c r="Q27" s="101">
        <f>'[6]MAINTENANCE-2'!$X32</f>
        <v>65250</v>
      </c>
      <c r="R27" s="46"/>
      <c r="S27" s="101">
        <f>'[6]MAINTENANCE-2'!$AH32</f>
        <v>0</v>
      </c>
      <c r="T27" s="46"/>
      <c r="U27" s="46">
        <v>15000</v>
      </c>
      <c r="V27" s="46"/>
      <c r="W27" s="46"/>
      <c r="X27" s="46"/>
      <c r="Y27" s="46"/>
      <c r="Z27" s="46">
        <v>0</v>
      </c>
      <c r="AA27" s="46"/>
      <c r="AB27" s="46"/>
      <c r="AC27" s="62">
        <f t="shared" si="3"/>
        <v>3775692</v>
      </c>
      <c r="AD27" s="63">
        <f t="shared" si="0"/>
        <v>0</v>
      </c>
      <c r="AE27" s="108">
        <f t="shared" si="1"/>
        <v>0</v>
      </c>
      <c r="AG27" s="93"/>
      <c r="AI27" s="206">
        <f t="shared" si="4"/>
        <v>176776</v>
      </c>
      <c r="AJ27" s="207">
        <f t="shared" si="5"/>
        <v>80250</v>
      </c>
      <c r="AK27" s="151">
        <f t="shared" si="6"/>
        <v>80250</v>
      </c>
      <c r="AL27" s="93">
        <f t="shared" si="7"/>
        <v>80249.430000000168</v>
      </c>
    </row>
    <row r="28" spans="2:38" s="27" customFormat="1">
      <c r="B28" s="97">
        <v>23</v>
      </c>
      <c r="C28" s="98" t="s">
        <v>286</v>
      </c>
      <c r="D28" s="42" t="s">
        <v>287</v>
      </c>
      <c r="E28" s="209" t="s">
        <v>73</v>
      </c>
      <c r="F28" s="41" t="s">
        <v>288</v>
      </c>
      <c r="G28" s="107" t="s">
        <v>88</v>
      </c>
      <c r="H28" s="44" t="s">
        <v>38</v>
      </c>
      <c r="I28" s="45" t="s">
        <v>7</v>
      </c>
      <c r="J28" s="58" t="str">
        <f t="shared" si="2"/>
        <v>TER A</v>
      </c>
      <c r="K28" s="210">
        <v>3518666.57</v>
      </c>
      <c r="L28" s="101">
        <f t="shared" si="8"/>
        <v>30575.999999999996</v>
      </c>
      <c r="M28" s="46">
        <f>'[5]MAINTENANCE-2'!$AP33</f>
        <v>146200</v>
      </c>
      <c r="N28" s="46"/>
      <c r="O28" s="46"/>
      <c r="P28" s="46"/>
      <c r="Q28" s="101">
        <f>'[6]MAINTENANCE-2'!$X33</f>
        <v>65250</v>
      </c>
      <c r="R28" s="46"/>
      <c r="S28" s="101">
        <f>'[6]MAINTENANCE-2'!$AH33</f>
        <v>31560.69</v>
      </c>
      <c r="T28" s="46"/>
      <c r="U28" s="46">
        <v>15000</v>
      </c>
      <c r="V28" s="46"/>
      <c r="W28" s="46"/>
      <c r="X28" s="46"/>
      <c r="Y28" s="46"/>
      <c r="Z28" s="46">
        <v>0</v>
      </c>
      <c r="AA28" s="46"/>
      <c r="AB28" s="46"/>
      <c r="AC28" s="62">
        <f t="shared" si="3"/>
        <v>3807253</v>
      </c>
      <c r="AD28" s="63">
        <f t="shared" si="0"/>
        <v>0</v>
      </c>
      <c r="AE28" s="108">
        <f t="shared" si="1"/>
        <v>0</v>
      </c>
      <c r="AG28" s="93"/>
      <c r="AI28" s="206">
        <f t="shared" si="4"/>
        <v>176776</v>
      </c>
      <c r="AJ28" s="207">
        <f t="shared" si="5"/>
        <v>111810.69</v>
      </c>
      <c r="AK28" s="151">
        <f t="shared" si="6"/>
        <v>111810.69</v>
      </c>
      <c r="AL28" s="93">
        <f t="shared" si="7"/>
        <v>111810.43000000017</v>
      </c>
    </row>
    <row r="29" spans="2:38" s="27" customFormat="1">
      <c r="B29" s="97">
        <v>24</v>
      </c>
      <c r="C29" s="98" t="s">
        <v>289</v>
      </c>
      <c r="D29" s="42" t="s">
        <v>290</v>
      </c>
      <c r="E29" s="209" t="s">
        <v>73</v>
      </c>
      <c r="F29" s="41" t="s">
        <v>291</v>
      </c>
      <c r="G29" s="107" t="s">
        <v>88</v>
      </c>
      <c r="H29" s="44" t="s">
        <v>38</v>
      </c>
      <c r="I29" s="45" t="s">
        <v>7</v>
      </c>
      <c r="J29" s="58" t="str">
        <f t="shared" si="2"/>
        <v>TER A</v>
      </c>
      <c r="K29" s="210">
        <v>3518666.57</v>
      </c>
      <c r="L29" s="101">
        <f t="shared" si="8"/>
        <v>30575.999999999996</v>
      </c>
      <c r="M29" s="46">
        <f>'[5]MAINTENANCE-2'!$AP34</f>
        <v>146200</v>
      </c>
      <c r="N29" s="46"/>
      <c r="O29" s="46"/>
      <c r="P29" s="46"/>
      <c r="Q29" s="101">
        <f>'[6]MAINTENANCE-2'!$X34</f>
        <v>65250</v>
      </c>
      <c r="R29" s="46"/>
      <c r="S29" s="101">
        <f>'[6]MAINTENANCE-2'!$AH34</f>
        <v>31560.69</v>
      </c>
      <c r="T29" s="46"/>
      <c r="U29" s="46">
        <v>15000</v>
      </c>
      <c r="V29" s="46"/>
      <c r="W29" s="46"/>
      <c r="X29" s="46"/>
      <c r="Y29" s="46"/>
      <c r="Z29" s="46">
        <v>0</v>
      </c>
      <c r="AA29" s="46"/>
      <c r="AB29" s="46"/>
      <c r="AC29" s="62">
        <f t="shared" si="3"/>
        <v>3807253</v>
      </c>
      <c r="AD29" s="63">
        <f t="shared" si="0"/>
        <v>0</v>
      </c>
      <c r="AE29" s="108">
        <f t="shared" si="1"/>
        <v>0</v>
      </c>
      <c r="AG29" s="93"/>
      <c r="AI29" s="206">
        <f t="shared" si="4"/>
        <v>176776</v>
      </c>
      <c r="AJ29" s="207">
        <f t="shared" si="5"/>
        <v>111810.69</v>
      </c>
      <c r="AK29" s="151">
        <f t="shared" si="6"/>
        <v>111810.69</v>
      </c>
      <c r="AL29" s="93">
        <f t="shared" si="7"/>
        <v>111810.43000000017</v>
      </c>
    </row>
    <row r="30" spans="2:38" s="27" customFormat="1">
      <c r="B30" s="97">
        <v>25</v>
      </c>
      <c r="C30" s="98" t="s">
        <v>292</v>
      </c>
      <c r="D30" s="42" t="s">
        <v>293</v>
      </c>
      <c r="E30" s="43" t="s">
        <v>359</v>
      </c>
      <c r="F30" s="41" t="s">
        <v>294</v>
      </c>
      <c r="G30" s="107" t="s">
        <v>88</v>
      </c>
      <c r="H30" s="44" t="s">
        <v>38</v>
      </c>
      <c r="I30" s="45" t="s">
        <v>7</v>
      </c>
      <c r="J30" s="58" t="str">
        <f t="shared" si="2"/>
        <v>TER A</v>
      </c>
      <c r="K30" s="210">
        <v>3518666.57</v>
      </c>
      <c r="L30" s="101">
        <f t="shared" si="8"/>
        <v>30575.999999999996</v>
      </c>
      <c r="M30" s="46">
        <f>'[5]MAINTENANCE-2'!$AP35</f>
        <v>146200</v>
      </c>
      <c r="N30" s="46"/>
      <c r="O30" s="46"/>
      <c r="P30" s="46"/>
      <c r="Q30" s="101">
        <f>'[6]MAINTENANCE-2'!$X35</f>
        <v>65250</v>
      </c>
      <c r="R30" s="46"/>
      <c r="S30" s="101">
        <f>'[6]MAINTENANCE-2'!$AH35</f>
        <v>31560.69</v>
      </c>
      <c r="T30" s="46"/>
      <c r="U30" s="46">
        <v>15000</v>
      </c>
      <c r="V30" s="46"/>
      <c r="W30" s="46"/>
      <c r="X30" s="46"/>
      <c r="Y30" s="46"/>
      <c r="Z30" s="46">
        <v>0</v>
      </c>
      <c r="AA30" s="46"/>
      <c r="AB30" s="46"/>
      <c r="AC30" s="62">
        <f t="shared" si="3"/>
        <v>3807253</v>
      </c>
      <c r="AD30" s="63">
        <f t="shared" si="0"/>
        <v>0</v>
      </c>
      <c r="AE30" s="108">
        <f t="shared" si="1"/>
        <v>0</v>
      </c>
      <c r="AG30" s="93"/>
      <c r="AI30" s="206">
        <f t="shared" si="4"/>
        <v>176776</v>
      </c>
      <c r="AJ30" s="207">
        <f t="shared" si="5"/>
        <v>111810.69</v>
      </c>
      <c r="AK30" s="151">
        <f t="shared" si="6"/>
        <v>111810.69</v>
      </c>
      <c r="AL30" s="93">
        <f t="shared" si="7"/>
        <v>111810.43000000017</v>
      </c>
    </row>
    <row r="31" spans="2:38" s="27" customFormat="1">
      <c r="B31" s="97">
        <v>26</v>
      </c>
      <c r="C31" s="98" t="s">
        <v>295</v>
      </c>
      <c r="D31" s="42" t="s">
        <v>296</v>
      </c>
      <c r="E31" s="43" t="s">
        <v>360</v>
      </c>
      <c r="F31" s="41" t="s">
        <v>297</v>
      </c>
      <c r="G31" s="107" t="s">
        <v>88</v>
      </c>
      <c r="H31" s="44" t="s">
        <v>39</v>
      </c>
      <c r="I31" s="45" t="s">
        <v>17</v>
      </c>
      <c r="J31" s="58" t="str">
        <f t="shared" si="2"/>
        <v>TER A</v>
      </c>
      <c r="K31" s="210">
        <v>3518666.57</v>
      </c>
      <c r="L31" s="101">
        <f t="shared" si="8"/>
        <v>30575.999999999996</v>
      </c>
      <c r="M31" s="46">
        <f>'[5]MAINTENANCE-2'!$AP36</f>
        <v>146920</v>
      </c>
      <c r="N31" s="46"/>
      <c r="O31" s="46"/>
      <c r="P31" s="46"/>
      <c r="Q31" s="101">
        <f>'[6]MAINTENANCE-2'!$X36</f>
        <v>100800</v>
      </c>
      <c r="R31" s="46"/>
      <c r="S31" s="101">
        <f>'[6]MAINTENANCE-2'!$AH36</f>
        <v>0</v>
      </c>
      <c r="T31" s="46"/>
      <c r="U31" s="46">
        <v>33000</v>
      </c>
      <c r="V31" s="46"/>
      <c r="W31" s="46"/>
      <c r="X31" s="46"/>
      <c r="Y31" s="46"/>
      <c r="Z31" s="46">
        <v>-121333.33</v>
      </c>
      <c r="AA31" s="46"/>
      <c r="AB31" s="46"/>
      <c r="AC31" s="62">
        <f t="shared" si="3"/>
        <v>3708629</v>
      </c>
      <c r="AD31" s="63">
        <f t="shared" si="0"/>
        <v>0</v>
      </c>
      <c r="AE31" s="108">
        <f t="shared" si="1"/>
        <v>0</v>
      </c>
      <c r="AG31" s="93"/>
      <c r="AI31" s="206">
        <f t="shared" si="4"/>
        <v>177496</v>
      </c>
      <c r="AJ31" s="207">
        <f t="shared" si="5"/>
        <v>12466.669999999998</v>
      </c>
      <c r="AK31" s="151">
        <f t="shared" si="6"/>
        <v>12466.669999999998</v>
      </c>
      <c r="AL31" s="93">
        <f t="shared" si="7"/>
        <v>12466.430000000168</v>
      </c>
    </row>
    <row r="32" spans="2:38" s="27" customFormat="1">
      <c r="B32" s="97">
        <v>27</v>
      </c>
      <c r="C32" s="98" t="s">
        <v>298</v>
      </c>
      <c r="D32" s="42" t="s">
        <v>299</v>
      </c>
      <c r="E32" s="43" t="s">
        <v>361</v>
      </c>
      <c r="F32" s="41" t="s">
        <v>300</v>
      </c>
      <c r="G32" s="107" t="s">
        <v>88</v>
      </c>
      <c r="H32" s="44" t="s">
        <v>38</v>
      </c>
      <c r="I32" s="45" t="s">
        <v>7</v>
      </c>
      <c r="J32" s="58" t="str">
        <f t="shared" si="2"/>
        <v>TER A</v>
      </c>
      <c r="K32" s="210">
        <v>3518666.57</v>
      </c>
      <c r="L32" s="101">
        <f t="shared" si="8"/>
        <v>30575.999999999996</v>
      </c>
      <c r="M32" s="46">
        <f>'[5]MAINTENANCE-2'!$AP37</f>
        <v>147340</v>
      </c>
      <c r="N32" s="46"/>
      <c r="O32" s="46"/>
      <c r="P32" s="46"/>
      <c r="Q32" s="101">
        <f>'[6]MAINTENANCE-2'!$X37</f>
        <v>63000</v>
      </c>
      <c r="R32" s="46"/>
      <c r="S32" s="101">
        <f>'[6]MAINTENANCE-2'!$AH37</f>
        <v>0</v>
      </c>
      <c r="T32" s="46"/>
      <c r="U32" s="46">
        <v>43500</v>
      </c>
      <c r="V32" s="46"/>
      <c r="W32" s="46"/>
      <c r="X32" s="46"/>
      <c r="Y32" s="46"/>
      <c r="Z32" s="46">
        <v>-121333.33</v>
      </c>
      <c r="AA32" s="46"/>
      <c r="AB32" s="46"/>
      <c r="AC32" s="62">
        <f t="shared" si="3"/>
        <v>3681749</v>
      </c>
      <c r="AD32" s="63">
        <f t="shared" si="0"/>
        <v>0</v>
      </c>
      <c r="AE32" s="108">
        <f t="shared" si="1"/>
        <v>0</v>
      </c>
      <c r="AG32" s="93"/>
      <c r="AI32" s="206">
        <f t="shared" si="4"/>
        <v>177916</v>
      </c>
      <c r="AJ32" s="207">
        <f t="shared" si="5"/>
        <v>-14833.330000000002</v>
      </c>
      <c r="AK32" s="151">
        <f t="shared" si="6"/>
        <v>-14833.330000000002</v>
      </c>
      <c r="AL32" s="93">
        <f t="shared" si="7"/>
        <v>-14833.569999999832</v>
      </c>
    </row>
    <row r="33" spans="2:38" s="27" customFormat="1">
      <c r="B33" s="97">
        <v>28</v>
      </c>
      <c r="C33" s="98" t="s">
        <v>301</v>
      </c>
      <c r="D33" s="42" t="s">
        <v>302</v>
      </c>
      <c r="E33" s="43" t="s">
        <v>362</v>
      </c>
      <c r="F33" s="41" t="s">
        <v>303</v>
      </c>
      <c r="G33" s="107" t="s">
        <v>88</v>
      </c>
      <c r="H33" s="44" t="s">
        <v>39</v>
      </c>
      <c r="I33" s="45" t="s">
        <v>11</v>
      </c>
      <c r="J33" s="58" t="str">
        <f t="shared" si="2"/>
        <v>TER B</v>
      </c>
      <c r="K33" s="210">
        <v>3518666.57</v>
      </c>
      <c r="L33" s="101">
        <f t="shared" si="8"/>
        <v>30575.999999999996</v>
      </c>
      <c r="M33" s="46">
        <f>'[5]MAINTENANCE-2'!$AP38</f>
        <v>147480</v>
      </c>
      <c r="N33" s="46"/>
      <c r="O33" s="46"/>
      <c r="P33" s="46"/>
      <c r="Q33" s="101">
        <f>'[6]MAINTENANCE-2'!$X38</f>
        <v>145800</v>
      </c>
      <c r="R33" s="46"/>
      <c r="S33" s="101">
        <f>'[6]MAINTENANCE-2'!$AH38</f>
        <v>0</v>
      </c>
      <c r="T33" s="46"/>
      <c r="U33" s="46">
        <v>47000</v>
      </c>
      <c r="V33" s="46"/>
      <c r="W33" s="46"/>
      <c r="X33" s="46"/>
      <c r="Y33" s="46"/>
      <c r="Z33" s="46">
        <v>-242666.66</v>
      </c>
      <c r="AA33" s="46"/>
      <c r="AB33" s="46"/>
      <c r="AC33" s="62">
        <f t="shared" si="3"/>
        <v>3646855</v>
      </c>
      <c r="AD33" s="63">
        <f t="shared" si="0"/>
        <v>0</v>
      </c>
      <c r="AE33" s="108">
        <f t="shared" si="1"/>
        <v>0</v>
      </c>
      <c r="AG33" s="93"/>
      <c r="AI33" s="206">
        <f t="shared" si="4"/>
        <v>178056</v>
      </c>
      <c r="AJ33" s="207">
        <f t="shared" si="5"/>
        <v>-49866.66</v>
      </c>
      <c r="AK33" s="151">
        <f t="shared" si="6"/>
        <v>-49866.66</v>
      </c>
      <c r="AL33" s="93">
        <f t="shared" si="7"/>
        <v>-49867.569999999832</v>
      </c>
    </row>
    <row r="34" spans="2:38" s="27" customFormat="1">
      <c r="B34" s="97">
        <v>29</v>
      </c>
      <c r="C34" s="98" t="s">
        <v>304</v>
      </c>
      <c r="D34" s="42" t="s">
        <v>305</v>
      </c>
      <c r="E34" s="209" t="s">
        <v>73</v>
      </c>
      <c r="F34" s="41" t="s">
        <v>306</v>
      </c>
      <c r="G34" s="107" t="s">
        <v>88</v>
      </c>
      <c r="H34" s="44" t="s">
        <v>39</v>
      </c>
      <c r="I34" s="45" t="s">
        <v>11</v>
      </c>
      <c r="J34" s="58" t="str">
        <f t="shared" si="2"/>
        <v>TER B</v>
      </c>
      <c r="K34" s="210">
        <v>3518666.57</v>
      </c>
      <c r="L34" s="101">
        <f t="shared" si="8"/>
        <v>30575.999999999996</v>
      </c>
      <c r="M34" s="46">
        <f>'[5]MAINTENANCE-2'!$AP39</f>
        <v>146440</v>
      </c>
      <c r="N34" s="46"/>
      <c r="O34" s="46"/>
      <c r="P34" s="46"/>
      <c r="Q34" s="101">
        <f>'[6]MAINTENANCE-2'!$X39</f>
        <v>145800</v>
      </c>
      <c r="R34" s="46"/>
      <c r="S34" s="101">
        <f>'[6]MAINTENANCE-2'!$AH39</f>
        <v>0</v>
      </c>
      <c r="T34" s="46"/>
      <c r="U34" s="46">
        <v>21000</v>
      </c>
      <c r="V34" s="46"/>
      <c r="W34" s="46"/>
      <c r="X34" s="46"/>
      <c r="Y34" s="46"/>
      <c r="Z34" s="46">
        <v>-242666.66</v>
      </c>
      <c r="AA34" s="46"/>
      <c r="AB34" s="46"/>
      <c r="AC34" s="62">
        <f t="shared" si="3"/>
        <v>3619815</v>
      </c>
      <c r="AD34" s="63">
        <f t="shared" si="0"/>
        <v>0</v>
      </c>
      <c r="AE34" s="108">
        <f t="shared" si="1"/>
        <v>0</v>
      </c>
      <c r="AG34" s="93"/>
      <c r="AI34" s="206">
        <f t="shared" si="4"/>
        <v>177016</v>
      </c>
      <c r="AJ34" s="207">
        <f t="shared" si="5"/>
        <v>-75866.66</v>
      </c>
      <c r="AK34" s="151">
        <f t="shared" si="6"/>
        <v>-75866.66</v>
      </c>
      <c r="AL34" s="93">
        <f t="shared" si="7"/>
        <v>-75867.569999999832</v>
      </c>
    </row>
    <row r="35" spans="2:38" s="27" customFormat="1">
      <c r="B35" s="97">
        <v>30</v>
      </c>
      <c r="C35" s="98" t="s">
        <v>307</v>
      </c>
      <c r="D35" s="42" t="s">
        <v>308</v>
      </c>
      <c r="E35" s="43" t="s">
        <v>363</v>
      </c>
      <c r="F35" s="41" t="s">
        <v>309</v>
      </c>
      <c r="G35" s="107" t="s">
        <v>88</v>
      </c>
      <c r="H35" s="44" t="s">
        <v>38</v>
      </c>
      <c r="I35" s="45" t="s">
        <v>7</v>
      </c>
      <c r="J35" s="58" t="str">
        <f t="shared" si="2"/>
        <v>TER A</v>
      </c>
      <c r="K35" s="210">
        <v>3518666.57</v>
      </c>
      <c r="L35" s="101">
        <f t="shared" si="8"/>
        <v>30575.999999999996</v>
      </c>
      <c r="M35" s="46">
        <f>'[5]MAINTENANCE-2'!$AP40</f>
        <v>146200</v>
      </c>
      <c r="N35" s="46"/>
      <c r="O35" s="46"/>
      <c r="P35" s="46"/>
      <c r="Q35" s="101">
        <f>'[6]MAINTENANCE-2'!$X40</f>
        <v>63000</v>
      </c>
      <c r="R35" s="46"/>
      <c r="S35" s="101">
        <f>'[6]MAINTENANCE-2'!$AH40</f>
        <v>0</v>
      </c>
      <c r="T35" s="46"/>
      <c r="U35" s="46">
        <v>15000</v>
      </c>
      <c r="V35" s="46"/>
      <c r="W35" s="46"/>
      <c r="X35" s="46"/>
      <c r="Y35" s="46"/>
      <c r="Z35" s="46">
        <v>-121333.33</v>
      </c>
      <c r="AA35" s="46"/>
      <c r="AB35" s="46"/>
      <c r="AC35" s="62">
        <f t="shared" si="3"/>
        <v>3652109</v>
      </c>
      <c r="AD35" s="63">
        <f t="shared" si="0"/>
        <v>0</v>
      </c>
      <c r="AE35" s="108">
        <f t="shared" si="1"/>
        <v>0</v>
      </c>
      <c r="AG35" s="93"/>
      <c r="AI35" s="206">
        <f t="shared" si="4"/>
        <v>176776</v>
      </c>
      <c r="AJ35" s="207">
        <f t="shared" si="5"/>
        <v>-43333.33</v>
      </c>
      <c r="AK35" s="151">
        <f t="shared" si="6"/>
        <v>-43333.33</v>
      </c>
      <c r="AL35" s="93">
        <f t="shared" si="7"/>
        <v>-43333.569999999832</v>
      </c>
    </row>
    <row r="36" spans="2:38" s="27" customFormat="1">
      <c r="B36" s="97">
        <v>31</v>
      </c>
      <c r="C36" s="98" t="s">
        <v>313</v>
      </c>
      <c r="D36" s="42" t="s">
        <v>314</v>
      </c>
      <c r="E36" s="43" t="s">
        <v>364</v>
      </c>
      <c r="F36" s="41" t="s">
        <v>315</v>
      </c>
      <c r="G36" s="107" t="s">
        <v>88</v>
      </c>
      <c r="H36" s="44" t="s">
        <v>38</v>
      </c>
      <c r="I36" s="45" t="s">
        <v>7</v>
      </c>
      <c r="J36" s="58" t="str">
        <f t="shared" si="2"/>
        <v>TER A</v>
      </c>
      <c r="K36" s="210">
        <v>3518666.57</v>
      </c>
      <c r="L36" s="101">
        <f t="shared" si="8"/>
        <v>30575.999999999996</v>
      </c>
      <c r="M36" s="46">
        <f>'[5]MAINTENANCE-2'!$AP41</f>
        <v>147480</v>
      </c>
      <c r="N36" s="46"/>
      <c r="O36" s="46"/>
      <c r="P36" s="46"/>
      <c r="Q36" s="101">
        <f>'[6]MAINTENANCE-2'!$X41</f>
        <v>65250</v>
      </c>
      <c r="R36" s="46"/>
      <c r="S36" s="101">
        <f>'[6]MAINTENANCE-2'!$AH41</f>
        <v>0</v>
      </c>
      <c r="T36" s="46"/>
      <c r="U36" s="46">
        <v>47000</v>
      </c>
      <c r="V36" s="46"/>
      <c r="W36" s="46"/>
      <c r="X36" s="46"/>
      <c r="Y36" s="46"/>
      <c r="Z36" s="46"/>
      <c r="AA36" s="46"/>
      <c r="AB36" s="46"/>
      <c r="AC36" s="62">
        <f t="shared" si="3"/>
        <v>3808972</v>
      </c>
      <c r="AD36" s="63">
        <f t="shared" si="0"/>
        <v>0</v>
      </c>
      <c r="AE36" s="108">
        <f t="shared" si="1"/>
        <v>0</v>
      </c>
      <c r="AG36" s="93"/>
      <c r="AI36" s="206">
        <f t="shared" si="4"/>
        <v>178056</v>
      </c>
      <c r="AJ36" s="207">
        <f t="shared" si="5"/>
        <v>112250</v>
      </c>
      <c r="AK36" s="151">
        <f t="shared" si="6"/>
        <v>112250</v>
      </c>
      <c r="AL36" s="93">
        <f t="shared" si="7"/>
        <v>112249.43000000017</v>
      </c>
    </row>
    <row r="37" spans="2:38" s="27" customFormat="1">
      <c r="B37" s="97">
        <v>32</v>
      </c>
      <c r="C37" s="98" t="s">
        <v>365</v>
      </c>
      <c r="D37" s="42" t="s">
        <v>366</v>
      </c>
      <c r="E37" s="43" t="s">
        <v>367</v>
      </c>
      <c r="F37" s="41" t="s">
        <v>368</v>
      </c>
      <c r="G37" s="107" t="s">
        <v>88</v>
      </c>
      <c r="H37" s="44" t="s">
        <v>369</v>
      </c>
      <c r="I37" s="45" t="s">
        <v>11</v>
      </c>
      <c r="J37" s="58" t="str">
        <f t="shared" si="2"/>
        <v>TER B</v>
      </c>
      <c r="K37" s="60">
        <v>3591166.57</v>
      </c>
      <c r="L37" s="101">
        <f>3715000*0.84%</f>
        <v>31205.999999999996</v>
      </c>
      <c r="M37" s="101">
        <f>'[5]MAINTENANCE-2'!$AP42</f>
        <v>150340</v>
      </c>
      <c r="N37" s="46"/>
      <c r="O37" s="101"/>
      <c r="P37" s="101"/>
      <c r="Q37" s="101">
        <f>'[6]MAINTENANCE-2'!$X42</f>
        <v>151200</v>
      </c>
      <c r="R37" s="46"/>
      <c r="S37" s="101">
        <f>'[6]MAINTENANCE-2'!$AH42</f>
        <v>257787.86</v>
      </c>
      <c r="T37" s="46"/>
      <c r="U37" s="46">
        <v>43500</v>
      </c>
      <c r="V37" s="46"/>
      <c r="W37" s="46"/>
      <c r="X37" s="46"/>
      <c r="Y37" s="46"/>
      <c r="Z37" s="46">
        <v>-123833.33</v>
      </c>
      <c r="AA37" s="46"/>
      <c r="AB37" s="46"/>
      <c r="AC37" s="62">
        <f t="shared" si="3"/>
        <v>4101367</v>
      </c>
      <c r="AD37" s="63">
        <f t="shared" si="0"/>
        <v>0</v>
      </c>
      <c r="AE37" s="108">
        <f t="shared" si="1"/>
        <v>0</v>
      </c>
      <c r="AG37" s="93"/>
      <c r="AI37" s="206">
        <f t="shared" si="4"/>
        <v>181546</v>
      </c>
      <c r="AJ37" s="207">
        <f t="shared" si="5"/>
        <v>328654.52999999997</v>
      </c>
      <c r="AK37" s="151">
        <f t="shared" si="6"/>
        <v>328654.52999999997</v>
      </c>
      <c r="AL37" s="93">
        <f t="shared" si="7"/>
        <v>328654.43000000017</v>
      </c>
    </row>
    <row r="38" spans="2:38" s="27" customFormat="1">
      <c r="B38" s="97">
        <v>33</v>
      </c>
      <c r="C38" s="98" t="s">
        <v>316</v>
      </c>
      <c r="D38" s="42" t="s">
        <v>317</v>
      </c>
      <c r="E38" s="43" t="s">
        <v>370</v>
      </c>
      <c r="F38" s="41" t="s">
        <v>318</v>
      </c>
      <c r="G38" s="107" t="s">
        <v>87</v>
      </c>
      <c r="H38" s="44" t="s">
        <v>39</v>
      </c>
      <c r="I38" s="45" t="s">
        <v>9</v>
      </c>
      <c r="J38" s="58" t="str">
        <f t="shared" si="2"/>
        <v>TER B</v>
      </c>
      <c r="K38" s="210">
        <v>3518666.57</v>
      </c>
      <c r="L38" s="46">
        <f>3640000*0.84%</f>
        <v>30575.999999999996</v>
      </c>
      <c r="M38" s="46">
        <f>[5]TRANSPORT!$AJ11</f>
        <v>147340</v>
      </c>
      <c r="N38" s="46">
        <v>1367270</v>
      </c>
      <c r="O38" s="46"/>
      <c r="P38" s="46"/>
      <c r="Q38" s="46">
        <f>[6]TRANSPORT!$T11</f>
        <v>130500</v>
      </c>
      <c r="R38" s="46">
        <v>63000</v>
      </c>
      <c r="S38" s="101">
        <f>[6]TRANSPORT!$AA11</f>
        <v>915260.01</v>
      </c>
      <c r="T38" s="46"/>
      <c r="U38" s="46">
        <v>43500</v>
      </c>
      <c r="V38" s="46"/>
      <c r="W38" s="46"/>
      <c r="X38" s="46"/>
      <c r="Y38" s="46"/>
      <c r="Z38" s="46"/>
      <c r="AA38" s="46"/>
      <c r="AB38" s="46"/>
      <c r="AC38" s="62">
        <f t="shared" si="3"/>
        <v>6216112</v>
      </c>
      <c r="AD38" s="63">
        <f t="shared" ref="AD38:AD69" si="9">IF(J38="TER A",VLOOKUP(AC38,Ter_A,4,TRUE),IF(J38="TER B",VLOOKUP(AC38,Ter_B,4,TRUE),VLOOKUP(AC38,Ter_C,4,TRUE)))</f>
        <v>2.5000000000000001E-3</v>
      </c>
      <c r="AE38" s="108">
        <f t="shared" si="1"/>
        <v>15540</v>
      </c>
      <c r="AG38" s="93"/>
      <c r="AI38" s="206">
        <f t="shared" si="4"/>
        <v>177916</v>
      </c>
      <c r="AJ38" s="207">
        <f t="shared" si="5"/>
        <v>2519530.0099999998</v>
      </c>
      <c r="AK38" s="151">
        <f t="shared" si="6"/>
        <v>2519530.0099999998</v>
      </c>
      <c r="AL38" s="93">
        <f t="shared" si="7"/>
        <v>2519529.4300000002</v>
      </c>
    </row>
    <row r="39" spans="2:38" s="27" customFormat="1">
      <c r="B39" s="97">
        <v>34</v>
      </c>
      <c r="C39" s="98" t="s">
        <v>319</v>
      </c>
      <c r="D39" s="42" t="s">
        <v>320</v>
      </c>
      <c r="E39" s="43" t="s">
        <v>371</v>
      </c>
      <c r="F39" s="41" t="s">
        <v>321</v>
      </c>
      <c r="G39" s="107" t="s">
        <v>372</v>
      </c>
      <c r="H39" s="44" t="s">
        <v>39</v>
      </c>
      <c r="I39" s="45" t="s">
        <v>9</v>
      </c>
      <c r="J39" s="58" t="str">
        <f t="shared" si="2"/>
        <v>TER B</v>
      </c>
      <c r="K39" s="210">
        <v>3518666.57</v>
      </c>
      <c r="L39" s="46">
        <f t="shared" ref="L39:L43" si="10">3640000*0.84%</f>
        <v>30575.999999999996</v>
      </c>
      <c r="M39" s="46">
        <f>[5]TRANSPORT!$AJ12</f>
        <v>146800</v>
      </c>
      <c r="N39" s="46">
        <v>1155090</v>
      </c>
      <c r="O39" s="46"/>
      <c r="P39" s="46"/>
      <c r="Q39" s="46">
        <f>[6]TRANSPORT!$T12</f>
        <v>130500</v>
      </c>
      <c r="R39" s="46">
        <v>40000</v>
      </c>
      <c r="S39" s="46">
        <f>[6]TRANSPORT!$AA12</f>
        <v>925780.24</v>
      </c>
      <c r="T39" s="46"/>
      <c r="U39" s="46">
        <v>30000</v>
      </c>
      <c r="V39" s="46"/>
      <c r="W39" s="46"/>
      <c r="X39" s="46"/>
      <c r="Y39" s="46"/>
      <c r="Z39" s="46"/>
      <c r="AA39" s="46"/>
      <c r="AB39" s="46"/>
      <c r="AC39" s="62">
        <f t="shared" si="3"/>
        <v>5977412</v>
      </c>
      <c r="AD39" s="63">
        <f t="shared" si="9"/>
        <v>0</v>
      </c>
      <c r="AE39" s="108">
        <f t="shared" si="1"/>
        <v>0</v>
      </c>
      <c r="AG39" s="93"/>
      <c r="AI39" s="206">
        <f t="shared" si="4"/>
        <v>177376</v>
      </c>
      <c r="AJ39" s="207">
        <f t="shared" si="5"/>
        <v>2281370.2400000002</v>
      </c>
      <c r="AK39" s="151">
        <f t="shared" si="6"/>
        <v>2281370.2400000002</v>
      </c>
      <c r="AL39" s="93">
        <f t="shared" si="7"/>
        <v>2281369.4300000002</v>
      </c>
    </row>
    <row r="40" spans="2:38" s="27" customFormat="1">
      <c r="B40" s="97">
        <v>35</v>
      </c>
      <c r="C40" s="98" t="s">
        <v>322</v>
      </c>
      <c r="D40" s="42" t="s">
        <v>323</v>
      </c>
      <c r="E40" s="43" t="s">
        <v>373</v>
      </c>
      <c r="F40" s="41" t="s">
        <v>223</v>
      </c>
      <c r="G40" s="107" t="s">
        <v>87</v>
      </c>
      <c r="H40" s="44" t="s">
        <v>39</v>
      </c>
      <c r="I40" s="45" t="s">
        <v>11</v>
      </c>
      <c r="J40" s="58" t="str">
        <f t="shared" si="2"/>
        <v>TER B</v>
      </c>
      <c r="K40" s="210">
        <v>3518666.57</v>
      </c>
      <c r="L40" s="46">
        <f t="shared" si="10"/>
        <v>30575.999999999996</v>
      </c>
      <c r="M40" s="46">
        <f>[5]TRANSPORT!$AJ13</f>
        <v>148040</v>
      </c>
      <c r="N40" s="46">
        <v>1406825</v>
      </c>
      <c r="O40" s="46"/>
      <c r="P40" s="46"/>
      <c r="Q40" s="46">
        <f>[6]TRANSPORT!$T13</f>
        <v>156600</v>
      </c>
      <c r="R40" s="46">
        <v>66000</v>
      </c>
      <c r="S40" s="46">
        <f>[6]TRANSPORT!$AA13</f>
        <v>1031422.54</v>
      </c>
      <c r="T40" s="46"/>
      <c r="U40" s="46">
        <v>61000</v>
      </c>
      <c r="V40" s="46"/>
      <c r="W40" s="46"/>
      <c r="X40" s="46"/>
      <c r="Y40" s="46"/>
      <c r="Z40" s="46"/>
      <c r="AA40" s="46"/>
      <c r="AB40" s="46"/>
      <c r="AC40" s="62">
        <f t="shared" si="3"/>
        <v>6419130</v>
      </c>
      <c r="AD40" s="63">
        <f t="shared" si="9"/>
        <v>2.5000000000000001E-3</v>
      </c>
      <c r="AE40" s="108">
        <f t="shared" si="1"/>
        <v>16048</v>
      </c>
      <c r="AG40" s="93"/>
      <c r="AI40" s="206">
        <f t="shared" si="4"/>
        <v>178616</v>
      </c>
      <c r="AJ40" s="207">
        <f t="shared" si="5"/>
        <v>2721847.54</v>
      </c>
      <c r="AK40" s="151">
        <f t="shared" si="6"/>
        <v>2721847.54</v>
      </c>
      <c r="AL40" s="93">
        <f t="shared" si="7"/>
        <v>2721847.43</v>
      </c>
    </row>
    <row r="41" spans="2:38" s="27" customFormat="1">
      <c r="B41" s="97">
        <v>36</v>
      </c>
      <c r="C41" s="98" t="s">
        <v>324</v>
      </c>
      <c r="D41" s="42" t="s">
        <v>325</v>
      </c>
      <c r="E41" s="43" t="s">
        <v>374</v>
      </c>
      <c r="F41" s="41" t="s">
        <v>223</v>
      </c>
      <c r="G41" s="107" t="s">
        <v>372</v>
      </c>
      <c r="H41" s="44" t="s">
        <v>39</v>
      </c>
      <c r="I41" s="45" t="s">
        <v>11</v>
      </c>
      <c r="J41" s="58" t="str">
        <f t="shared" si="2"/>
        <v>TER B</v>
      </c>
      <c r="K41" s="210">
        <v>3518666.57</v>
      </c>
      <c r="L41" s="46">
        <f t="shared" si="10"/>
        <v>30575.999999999996</v>
      </c>
      <c r="M41" s="46">
        <f>[5]TRANSPORT!$AJ14</f>
        <v>148040</v>
      </c>
      <c r="N41" s="46">
        <v>1238825</v>
      </c>
      <c r="O41" s="46"/>
      <c r="P41" s="46"/>
      <c r="Q41" s="46">
        <f>[6]TRANSPORT!$T14</f>
        <v>156600</v>
      </c>
      <c r="R41" s="46">
        <v>42000</v>
      </c>
      <c r="S41" s="46">
        <f>[6]TRANSPORT!$AA14</f>
        <v>957340.93</v>
      </c>
      <c r="T41" s="46"/>
      <c r="U41" s="46">
        <v>61000</v>
      </c>
      <c r="V41" s="46"/>
      <c r="W41" s="46"/>
      <c r="X41" s="46"/>
      <c r="Y41" s="46"/>
      <c r="Z41" s="46"/>
      <c r="AA41" s="46"/>
      <c r="AB41" s="46"/>
      <c r="AC41" s="62">
        <f t="shared" si="3"/>
        <v>6153048</v>
      </c>
      <c r="AD41" s="63">
        <f t="shared" si="9"/>
        <v>0</v>
      </c>
      <c r="AE41" s="108">
        <f t="shared" si="1"/>
        <v>0</v>
      </c>
      <c r="AG41" s="93"/>
      <c r="AI41" s="206">
        <f t="shared" si="4"/>
        <v>178616</v>
      </c>
      <c r="AJ41" s="207">
        <f t="shared" si="5"/>
        <v>2455765.9300000002</v>
      </c>
      <c r="AK41" s="151">
        <f t="shared" si="6"/>
        <v>2455765.9300000002</v>
      </c>
      <c r="AL41" s="93">
        <f t="shared" si="7"/>
        <v>2455765.4300000002</v>
      </c>
    </row>
    <row r="42" spans="2:38" s="27" customFormat="1">
      <c r="B42" s="97">
        <v>37</v>
      </c>
      <c r="C42" s="98" t="s">
        <v>209</v>
      </c>
      <c r="D42" s="42" t="s">
        <v>210</v>
      </c>
      <c r="E42" s="209" t="s">
        <v>73</v>
      </c>
      <c r="F42" s="41" t="s">
        <v>211</v>
      </c>
      <c r="G42" s="107" t="s">
        <v>375</v>
      </c>
      <c r="H42" s="44" t="s">
        <v>39</v>
      </c>
      <c r="I42" s="45" t="s">
        <v>9</v>
      </c>
      <c r="J42" s="58" t="str">
        <f t="shared" si="2"/>
        <v>TER B</v>
      </c>
      <c r="K42" s="210">
        <v>3518666.57</v>
      </c>
      <c r="L42" s="46">
        <f t="shared" si="10"/>
        <v>30575.999999999996</v>
      </c>
      <c r="M42" s="46">
        <f>[5]HARVESTING!$AS11</f>
        <v>146100</v>
      </c>
      <c r="N42" s="46"/>
      <c r="O42" s="46"/>
      <c r="P42" s="46">
        <v>147000</v>
      </c>
      <c r="Q42" s="46">
        <f>[6]HARVESTING!$X11</f>
        <v>130500</v>
      </c>
      <c r="R42" s="46"/>
      <c r="S42" s="46"/>
      <c r="T42" s="46"/>
      <c r="U42" s="46">
        <v>12500</v>
      </c>
      <c r="V42" s="46">
        <v>94290</v>
      </c>
      <c r="W42" s="46"/>
      <c r="X42" s="46"/>
      <c r="Y42" s="46"/>
      <c r="Z42" s="46"/>
      <c r="AA42" s="46"/>
      <c r="AB42" s="46"/>
      <c r="AC42" s="62">
        <f t="shared" si="3"/>
        <v>4079632</v>
      </c>
      <c r="AD42" s="63">
        <f t="shared" si="9"/>
        <v>0</v>
      </c>
      <c r="AE42" s="108">
        <f t="shared" si="1"/>
        <v>0</v>
      </c>
      <c r="AG42" s="93"/>
      <c r="AI42" s="206">
        <f t="shared" si="4"/>
        <v>176676</v>
      </c>
      <c r="AJ42" s="207">
        <f t="shared" si="5"/>
        <v>384290</v>
      </c>
      <c r="AK42" s="151">
        <f t="shared" si="6"/>
        <v>384290</v>
      </c>
      <c r="AL42" s="93">
        <f t="shared" si="7"/>
        <v>384289.43000000017</v>
      </c>
    </row>
    <row r="43" spans="2:38" s="27" customFormat="1" ht="13.5" thickBot="1">
      <c r="B43" s="97">
        <v>38</v>
      </c>
      <c r="C43" s="98" t="s">
        <v>212</v>
      </c>
      <c r="D43" s="42" t="s">
        <v>213</v>
      </c>
      <c r="E43" s="209" t="s">
        <v>73</v>
      </c>
      <c r="F43" s="41" t="s">
        <v>214</v>
      </c>
      <c r="G43" s="107" t="s">
        <v>375</v>
      </c>
      <c r="H43" s="44" t="s">
        <v>39</v>
      </c>
      <c r="I43" s="45" t="s">
        <v>9</v>
      </c>
      <c r="J43" s="58" t="str">
        <f t="shared" si="2"/>
        <v>TER B</v>
      </c>
      <c r="K43" s="210">
        <v>3518666.57</v>
      </c>
      <c r="L43" s="46">
        <f t="shared" si="10"/>
        <v>30575.999999999996</v>
      </c>
      <c r="M43" s="46">
        <f>[5]HARVESTING!$AS12</f>
        <v>146100</v>
      </c>
      <c r="N43" s="46"/>
      <c r="O43" s="46">
        <v>305747</v>
      </c>
      <c r="P43" s="46">
        <v>152250</v>
      </c>
      <c r="Q43" s="46">
        <f>[6]HARVESTING!$X12</f>
        <v>130500</v>
      </c>
      <c r="R43" s="46"/>
      <c r="S43" s="46"/>
      <c r="T43" s="46"/>
      <c r="U43" s="46">
        <v>12500</v>
      </c>
      <c r="V43" s="46">
        <v>347550</v>
      </c>
      <c r="W43" s="46"/>
      <c r="X43" s="46"/>
      <c r="Y43" s="46"/>
      <c r="Z43" s="46"/>
      <c r="AA43" s="46"/>
      <c r="AB43" s="46"/>
      <c r="AC43" s="62">
        <f t="shared" si="3"/>
        <v>4643889</v>
      </c>
      <c r="AD43" s="63">
        <f t="shared" si="9"/>
        <v>0</v>
      </c>
      <c r="AE43" s="108">
        <f t="shared" si="1"/>
        <v>0</v>
      </c>
      <c r="AG43" s="93"/>
      <c r="AI43" s="206">
        <f t="shared" si="4"/>
        <v>176676</v>
      </c>
      <c r="AJ43" s="207">
        <f t="shared" si="5"/>
        <v>948547</v>
      </c>
      <c r="AK43" s="151">
        <f t="shared" si="6"/>
        <v>948547</v>
      </c>
      <c r="AL43" s="93">
        <f t="shared" si="7"/>
        <v>948546.43000000017</v>
      </c>
    </row>
    <row r="44" spans="2:38" s="27" customFormat="1" hidden="1">
      <c r="B44" s="97">
        <v>39</v>
      </c>
      <c r="C44" s="98"/>
      <c r="D44" s="42"/>
      <c r="E44" s="43"/>
      <c r="F44" s="41"/>
      <c r="G44" s="107"/>
      <c r="H44" s="44"/>
      <c r="I44" s="45"/>
      <c r="J44" s="58" t="str">
        <f t="shared" si="2"/>
        <v/>
      </c>
      <c r="K44" s="60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62">
        <f t="shared" si="3"/>
        <v>0</v>
      </c>
      <c r="AD44" s="63">
        <f t="shared" si="9"/>
        <v>0</v>
      </c>
      <c r="AE44" s="108">
        <f t="shared" si="1"/>
        <v>0</v>
      </c>
      <c r="AG44" s="93">
        <f t="shared" ref="AG44:AG90" si="11">AF44-AE44</f>
        <v>0</v>
      </c>
      <c r="AI44" s="206">
        <f t="shared" ref="AI44:AI70" si="12">AC44-L44-M44</f>
        <v>0</v>
      </c>
      <c r="AJ44" s="207">
        <f t="shared" ref="AJ44:AJ70" si="13">AI44+L44+M44</f>
        <v>0</v>
      </c>
    </row>
    <row r="45" spans="2:38" s="27" customFormat="1" hidden="1">
      <c r="B45" s="97">
        <v>40</v>
      </c>
      <c r="C45" s="98"/>
      <c r="D45" s="42"/>
      <c r="E45" s="43"/>
      <c r="F45" s="41"/>
      <c r="G45" s="107"/>
      <c r="H45" s="44"/>
      <c r="I45" s="45"/>
      <c r="J45" s="58" t="str">
        <f t="shared" si="2"/>
        <v/>
      </c>
      <c r="K45" s="60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62">
        <f t="shared" si="3"/>
        <v>0</v>
      </c>
      <c r="AD45" s="63">
        <f t="shared" si="9"/>
        <v>0</v>
      </c>
      <c r="AE45" s="108">
        <f t="shared" si="1"/>
        <v>0</v>
      </c>
      <c r="AG45" s="93">
        <f t="shared" si="11"/>
        <v>0</v>
      </c>
      <c r="AI45" s="206">
        <f t="shared" si="12"/>
        <v>0</v>
      </c>
      <c r="AJ45" s="207">
        <f t="shared" si="13"/>
        <v>0</v>
      </c>
    </row>
    <row r="46" spans="2:38" s="27" customFormat="1" hidden="1">
      <c r="B46" s="97">
        <v>41</v>
      </c>
      <c r="C46" s="98"/>
      <c r="D46" s="42"/>
      <c r="E46" s="43"/>
      <c r="F46" s="41"/>
      <c r="G46" s="107"/>
      <c r="H46" s="44"/>
      <c r="I46" s="45"/>
      <c r="J46" s="58" t="str">
        <f t="shared" si="2"/>
        <v/>
      </c>
      <c r="K46" s="60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62">
        <f t="shared" si="3"/>
        <v>0</v>
      </c>
      <c r="AD46" s="63">
        <f t="shared" si="9"/>
        <v>0</v>
      </c>
      <c r="AE46" s="108">
        <f t="shared" si="1"/>
        <v>0</v>
      </c>
      <c r="AG46" s="93">
        <f t="shared" si="11"/>
        <v>0</v>
      </c>
      <c r="AI46" s="206">
        <f t="shared" si="12"/>
        <v>0</v>
      </c>
      <c r="AJ46" s="207">
        <f t="shared" si="13"/>
        <v>0</v>
      </c>
    </row>
    <row r="47" spans="2:38" s="27" customFormat="1" hidden="1">
      <c r="B47" s="97">
        <v>42</v>
      </c>
      <c r="C47" s="98"/>
      <c r="D47" s="42"/>
      <c r="E47" s="43"/>
      <c r="F47" s="41"/>
      <c r="G47" s="107"/>
      <c r="H47" s="44"/>
      <c r="I47" s="45"/>
      <c r="J47" s="58" t="str">
        <f t="shared" si="2"/>
        <v/>
      </c>
      <c r="K47" s="60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62">
        <f t="shared" si="3"/>
        <v>0</v>
      </c>
      <c r="AD47" s="63">
        <f t="shared" si="9"/>
        <v>0</v>
      </c>
      <c r="AE47" s="108">
        <f t="shared" si="1"/>
        <v>0</v>
      </c>
      <c r="AG47" s="93">
        <f t="shared" si="11"/>
        <v>0</v>
      </c>
      <c r="AI47" s="206">
        <f t="shared" si="12"/>
        <v>0</v>
      </c>
      <c r="AJ47" s="207">
        <f t="shared" si="13"/>
        <v>0</v>
      </c>
    </row>
    <row r="48" spans="2:38" s="27" customFormat="1" hidden="1">
      <c r="B48" s="97">
        <v>43</v>
      </c>
      <c r="C48" s="98"/>
      <c r="D48" s="42"/>
      <c r="E48" s="43"/>
      <c r="F48" s="41"/>
      <c r="G48" s="107"/>
      <c r="H48" s="44"/>
      <c r="I48" s="45"/>
      <c r="J48" s="58" t="str">
        <f t="shared" si="2"/>
        <v/>
      </c>
      <c r="K48" s="60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62">
        <f t="shared" si="3"/>
        <v>0</v>
      </c>
      <c r="AD48" s="63">
        <f t="shared" si="9"/>
        <v>0</v>
      </c>
      <c r="AE48" s="108">
        <f t="shared" si="1"/>
        <v>0</v>
      </c>
      <c r="AG48" s="93">
        <f t="shared" si="11"/>
        <v>0</v>
      </c>
      <c r="AI48" s="206">
        <f t="shared" si="12"/>
        <v>0</v>
      </c>
      <c r="AJ48" s="207">
        <f t="shared" si="13"/>
        <v>0</v>
      </c>
    </row>
    <row r="49" spans="2:36" s="27" customFormat="1" hidden="1">
      <c r="B49" s="97">
        <v>44</v>
      </c>
      <c r="C49" s="98"/>
      <c r="D49" s="42"/>
      <c r="E49" s="43"/>
      <c r="F49" s="41"/>
      <c r="G49" s="107"/>
      <c r="H49" s="44"/>
      <c r="I49" s="45"/>
      <c r="J49" s="58" t="str">
        <f t="shared" si="2"/>
        <v/>
      </c>
      <c r="K49" s="60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62">
        <f t="shared" si="3"/>
        <v>0</v>
      </c>
      <c r="AD49" s="63">
        <f t="shared" si="9"/>
        <v>0</v>
      </c>
      <c r="AE49" s="108">
        <f t="shared" si="1"/>
        <v>0</v>
      </c>
      <c r="AG49" s="93">
        <f t="shared" si="11"/>
        <v>0</v>
      </c>
      <c r="AI49" s="206">
        <f t="shared" si="12"/>
        <v>0</v>
      </c>
      <c r="AJ49" s="207">
        <f t="shared" si="13"/>
        <v>0</v>
      </c>
    </row>
    <row r="50" spans="2:36" s="27" customFormat="1" hidden="1">
      <c r="B50" s="97">
        <v>45</v>
      </c>
      <c r="C50" s="98"/>
      <c r="D50" s="42"/>
      <c r="E50" s="43"/>
      <c r="F50" s="41"/>
      <c r="G50" s="107"/>
      <c r="H50" s="44"/>
      <c r="I50" s="45"/>
      <c r="J50" s="58" t="str">
        <f t="shared" si="2"/>
        <v/>
      </c>
      <c r="K50" s="60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62">
        <f t="shared" si="3"/>
        <v>0</v>
      </c>
      <c r="AD50" s="63">
        <f t="shared" si="9"/>
        <v>0</v>
      </c>
      <c r="AE50" s="108">
        <f t="shared" si="1"/>
        <v>0</v>
      </c>
      <c r="AG50" s="93">
        <f t="shared" si="11"/>
        <v>0</v>
      </c>
      <c r="AI50" s="206">
        <f t="shared" si="12"/>
        <v>0</v>
      </c>
      <c r="AJ50" s="207">
        <f t="shared" si="13"/>
        <v>0</v>
      </c>
    </row>
    <row r="51" spans="2:36" s="27" customFormat="1" hidden="1">
      <c r="B51" s="97">
        <v>46</v>
      </c>
      <c r="C51" s="98"/>
      <c r="D51" s="42"/>
      <c r="E51" s="43"/>
      <c r="F51" s="41"/>
      <c r="G51" s="107"/>
      <c r="H51" s="44"/>
      <c r="I51" s="45"/>
      <c r="J51" s="58" t="str">
        <f t="shared" si="2"/>
        <v/>
      </c>
      <c r="K51" s="60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62">
        <f t="shared" si="3"/>
        <v>0</v>
      </c>
      <c r="AD51" s="63">
        <f t="shared" si="9"/>
        <v>0</v>
      </c>
      <c r="AE51" s="108">
        <f t="shared" si="1"/>
        <v>0</v>
      </c>
      <c r="AG51" s="93">
        <f t="shared" si="11"/>
        <v>0</v>
      </c>
      <c r="AI51" s="206">
        <f t="shared" si="12"/>
        <v>0</v>
      </c>
      <c r="AJ51" s="207">
        <f t="shared" si="13"/>
        <v>0</v>
      </c>
    </row>
    <row r="52" spans="2:36" s="27" customFormat="1" hidden="1">
      <c r="B52" s="97">
        <v>47</v>
      </c>
      <c r="C52" s="98"/>
      <c r="D52" s="42"/>
      <c r="E52" s="43"/>
      <c r="F52" s="41"/>
      <c r="G52" s="107"/>
      <c r="H52" s="44"/>
      <c r="I52" s="45"/>
      <c r="J52" s="58" t="str">
        <f t="shared" si="2"/>
        <v/>
      </c>
      <c r="K52" s="60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62">
        <f t="shared" si="3"/>
        <v>0</v>
      </c>
      <c r="AD52" s="63">
        <f t="shared" si="9"/>
        <v>0</v>
      </c>
      <c r="AE52" s="108">
        <f t="shared" si="1"/>
        <v>0</v>
      </c>
      <c r="AG52" s="93">
        <f t="shared" si="11"/>
        <v>0</v>
      </c>
      <c r="AI52" s="206">
        <f t="shared" si="12"/>
        <v>0</v>
      </c>
      <c r="AJ52" s="207">
        <f t="shared" si="13"/>
        <v>0</v>
      </c>
    </row>
    <row r="53" spans="2:36" s="27" customFormat="1" hidden="1">
      <c r="B53" s="97">
        <v>48</v>
      </c>
      <c r="C53" s="98"/>
      <c r="D53" s="42"/>
      <c r="E53" s="43"/>
      <c r="F53" s="41"/>
      <c r="G53" s="107"/>
      <c r="H53" s="44"/>
      <c r="I53" s="45"/>
      <c r="J53" s="58" t="str">
        <f t="shared" si="2"/>
        <v/>
      </c>
      <c r="K53" s="60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62">
        <f t="shared" si="3"/>
        <v>0</v>
      </c>
      <c r="AD53" s="63">
        <f t="shared" si="9"/>
        <v>0</v>
      </c>
      <c r="AE53" s="108">
        <f t="shared" si="1"/>
        <v>0</v>
      </c>
      <c r="AG53" s="93">
        <f t="shared" si="11"/>
        <v>0</v>
      </c>
      <c r="AI53" s="206">
        <f t="shared" si="12"/>
        <v>0</v>
      </c>
      <c r="AJ53" s="207">
        <f t="shared" si="13"/>
        <v>0</v>
      </c>
    </row>
    <row r="54" spans="2:36" s="27" customFormat="1" hidden="1">
      <c r="B54" s="97">
        <v>49</v>
      </c>
      <c r="C54" s="98"/>
      <c r="D54" s="42"/>
      <c r="E54" s="43"/>
      <c r="F54" s="41"/>
      <c r="G54" s="107"/>
      <c r="H54" s="44"/>
      <c r="I54" s="45"/>
      <c r="J54" s="58" t="str">
        <f t="shared" si="2"/>
        <v/>
      </c>
      <c r="K54" s="60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62">
        <f t="shared" si="3"/>
        <v>0</v>
      </c>
      <c r="AD54" s="63">
        <f t="shared" si="9"/>
        <v>0</v>
      </c>
      <c r="AE54" s="108">
        <f t="shared" si="1"/>
        <v>0</v>
      </c>
      <c r="AG54" s="93">
        <f t="shared" si="11"/>
        <v>0</v>
      </c>
      <c r="AI54" s="206">
        <f t="shared" si="12"/>
        <v>0</v>
      </c>
      <c r="AJ54" s="207">
        <f t="shared" si="13"/>
        <v>0</v>
      </c>
    </row>
    <row r="55" spans="2:36" s="27" customFormat="1" hidden="1">
      <c r="B55" s="97">
        <v>50</v>
      </c>
      <c r="C55" s="98"/>
      <c r="D55" s="42"/>
      <c r="E55" s="43"/>
      <c r="F55" s="41"/>
      <c r="G55" s="107"/>
      <c r="H55" s="44"/>
      <c r="I55" s="45"/>
      <c r="J55" s="58" t="str">
        <f t="shared" si="2"/>
        <v/>
      </c>
      <c r="K55" s="60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62">
        <f t="shared" si="3"/>
        <v>0</v>
      </c>
      <c r="AD55" s="63">
        <f t="shared" si="9"/>
        <v>0</v>
      </c>
      <c r="AE55" s="108">
        <f t="shared" si="1"/>
        <v>0</v>
      </c>
      <c r="AG55" s="93">
        <f t="shared" si="11"/>
        <v>0</v>
      </c>
      <c r="AI55" s="206">
        <f t="shared" si="12"/>
        <v>0</v>
      </c>
      <c r="AJ55" s="207">
        <f t="shared" si="13"/>
        <v>0</v>
      </c>
    </row>
    <row r="56" spans="2:36" s="27" customFormat="1" hidden="1">
      <c r="B56" s="97">
        <v>51</v>
      </c>
      <c r="C56" s="98"/>
      <c r="D56" s="42"/>
      <c r="E56" s="43"/>
      <c r="F56" s="41"/>
      <c r="G56" s="107"/>
      <c r="H56" s="44"/>
      <c r="I56" s="45"/>
      <c r="J56" s="58" t="str">
        <f t="shared" si="2"/>
        <v/>
      </c>
      <c r="K56" s="60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62">
        <f t="shared" si="3"/>
        <v>0</v>
      </c>
      <c r="AD56" s="63">
        <f t="shared" si="9"/>
        <v>0</v>
      </c>
      <c r="AE56" s="108">
        <f t="shared" si="1"/>
        <v>0</v>
      </c>
      <c r="AG56" s="93">
        <f t="shared" si="11"/>
        <v>0</v>
      </c>
      <c r="AI56" s="206">
        <f t="shared" si="12"/>
        <v>0</v>
      </c>
      <c r="AJ56" s="207">
        <f t="shared" si="13"/>
        <v>0</v>
      </c>
    </row>
    <row r="57" spans="2:36" s="27" customFormat="1" hidden="1">
      <c r="B57" s="97">
        <v>52</v>
      </c>
      <c r="C57" s="98"/>
      <c r="D57" s="42"/>
      <c r="E57" s="43"/>
      <c r="F57" s="41"/>
      <c r="G57" s="107"/>
      <c r="H57" s="44"/>
      <c r="I57" s="45"/>
      <c r="J57" s="58" t="str">
        <f t="shared" si="2"/>
        <v/>
      </c>
      <c r="K57" s="60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62">
        <f t="shared" si="3"/>
        <v>0</v>
      </c>
      <c r="AD57" s="63">
        <f t="shared" si="9"/>
        <v>0</v>
      </c>
      <c r="AE57" s="108">
        <f t="shared" si="1"/>
        <v>0</v>
      </c>
      <c r="AG57" s="93">
        <f t="shared" si="11"/>
        <v>0</v>
      </c>
      <c r="AI57" s="206">
        <f t="shared" si="12"/>
        <v>0</v>
      </c>
      <c r="AJ57" s="207">
        <f t="shared" si="13"/>
        <v>0</v>
      </c>
    </row>
    <row r="58" spans="2:36" s="27" customFormat="1" hidden="1">
      <c r="B58" s="97">
        <v>53</v>
      </c>
      <c r="C58" s="98"/>
      <c r="D58" s="42"/>
      <c r="E58" s="43"/>
      <c r="F58" s="41"/>
      <c r="G58" s="107"/>
      <c r="H58" s="44"/>
      <c r="I58" s="45"/>
      <c r="J58" s="58" t="str">
        <f t="shared" si="2"/>
        <v/>
      </c>
      <c r="K58" s="60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62">
        <f t="shared" si="3"/>
        <v>0</v>
      </c>
      <c r="AD58" s="63">
        <f t="shared" si="9"/>
        <v>0</v>
      </c>
      <c r="AE58" s="108">
        <f t="shared" si="1"/>
        <v>0</v>
      </c>
      <c r="AG58" s="93">
        <f t="shared" si="11"/>
        <v>0</v>
      </c>
      <c r="AI58" s="206">
        <f t="shared" si="12"/>
        <v>0</v>
      </c>
      <c r="AJ58" s="207">
        <f t="shared" si="13"/>
        <v>0</v>
      </c>
    </row>
    <row r="59" spans="2:36" s="27" customFormat="1" hidden="1">
      <c r="B59" s="97">
        <v>54</v>
      </c>
      <c r="C59" s="98"/>
      <c r="D59" s="42"/>
      <c r="E59" s="43"/>
      <c r="F59" s="41"/>
      <c r="G59" s="107"/>
      <c r="H59" s="44"/>
      <c r="I59" s="45"/>
      <c r="J59" s="58" t="str">
        <f t="shared" si="2"/>
        <v/>
      </c>
      <c r="K59" s="60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62">
        <f t="shared" si="3"/>
        <v>0</v>
      </c>
      <c r="AD59" s="63">
        <f t="shared" si="9"/>
        <v>0</v>
      </c>
      <c r="AE59" s="108">
        <f t="shared" si="1"/>
        <v>0</v>
      </c>
      <c r="AG59" s="93">
        <f t="shared" si="11"/>
        <v>0</v>
      </c>
      <c r="AI59" s="206">
        <f t="shared" si="12"/>
        <v>0</v>
      </c>
      <c r="AJ59" s="207">
        <f t="shared" si="13"/>
        <v>0</v>
      </c>
    </row>
    <row r="60" spans="2:36" s="27" customFormat="1" hidden="1">
      <c r="B60" s="97">
        <v>55</v>
      </c>
      <c r="C60" s="98"/>
      <c r="D60" s="42"/>
      <c r="E60" s="43"/>
      <c r="F60" s="41"/>
      <c r="G60" s="107"/>
      <c r="H60" s="44"/>
      <c r="I60" s="45"/>
      <c r="J60" s="58" t="str">
        <f t="shared" si="2"/>
        <v/>
      </c>
      <c r="K60" s="60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62">
        <f t="shared" si="3"/>
        <v>0</v>
      </c>
      <c r="AD60" s="63">
        <f t="shared" si="9"/>
        <v>0</v>
      </c>
      <c r="AE60" s="108">
        <f t="shared" si="1"/>
        <v>0</v>
      </c>
      <c r="AG60" s="93">
        <f t="shared" si="11"/>
        <v>0</v>
      </c>
      <c r="AI60" s="206">
        <f t="shared" si="12"/>
        <v>0</v>
      </c>
      <c r="AJ60" s="207">
        <f t="shared" si="13"/>
        <v>0</v>
      </c>
    </row>
    <row r="61" spans="2:36" s="27" customFormat="1" hidden="1">
      <c r="B61" s="97">
        <v>56</v>
      </c>
      <c r="C61" s="98"/>
      <c r="D61" s="42"/>
      <c r="E61" s="43"/>
      <c r="F61" s="41"/>
      <c r="G61" s="107"/>
      <c r="H61" s="44"/>
      <c r="I61" s="45"/>
      <c r="J61" s="58" t="str">
        <f t="shared" si="2"/>
        <v/>
      </c>
      <c r="K61" s="60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62">
        <f t="shared" si="3"/>
        <v>0</v>
      </c>
      <c r="AD61" s="63">
        <f t="shared" si="9"/>
        <v>0</v>
      </c>
      <c r="AE61" s="108">
        <f t="shared" si="1"/>
        <v>0</v>
      </c>
      <c r="AG61" s="93">
        <f t="shared" si="11"/>
        <v>0</v>
      </c>
      <c r="AI61" s="206">
        <f t="shared" si="12"/>
        <v>0</v>
      </c>
      <c r="AJ61" s="207">
        <f t="shared" si="13"/>
        <v>0</v>
      </c>
    </row>
    <row r="62" spans="2:36" s="27" customFormat="1" hidden="1">
      <c r="B62" s="97">
        <v>57</v>
      </c>
      <c r="C62" s="98"/>
      <c r="D62" s="42"/>
      <c r="E62" s="43"/>
      <c r="F62" s="41"/>
      <c r="G62" s="107"/>
      <c r="H62" s="44"/>
      <c r="I62" s="45"/>
      <c r="J62" s="58" t="str">
        <f t="shared" si="2"/>
        <v/>
      </c>
      <c r="K62" s="60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62">
        <f t="shared" si="3"/>
        <v>0</v>
      </c>
      <c r="AD62" s="63">
        <f t="shared" si="9"/>
        <v>0</v>
      </c>
      <c r="AE62" s="108">
        <f t="shared" si="1"/>
        <v>0</v>
      </c>
      <c r="AG62" s="93">
        <f t="shared" si="11"/>
        <v>0</v>
      </c>
      <c r="AI62" s="206">
        <f t="shared" si="12"/>
        <v>0</v>
      </c>
      <c r="AJ62" s="207">
        <f t="shared" si="13"/>
        <v>0</v>
      </c>
    </row>
    <row r="63" spans="2:36" s="27" customFormat="1" hidden="1">
      <c r="B63" s="97">
        <v>58</v>
      </c>
      <c r="C63" s="98"/>
      <c r="D63" s="42"/>
      <c r="E63" s="43"/>
      <c r="F63" s="41"/>
      <c r="G63" s="107"/>
      <c r="H63" s="44"/>
      <c r="I63" s="45"/>
      <c r="J63" s="58" t="str">
        <f t="shared" si="2"/>
        <v/>
      </c>
      <c r="K63" s="60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62">
        <f t="shared" si="3"/>
        <v>0</v>
      </c>
      <c r="AD63" s="63">
        <f t="shared" si="9"/>
        <v>0</v>
      </c>
      <c r="AE63" s="108">
        <f t="shared" si="1"/>
        <v>0</v>
      </c>
      <c r="AG63" s="93">
        <f t="shared" si="11"/>
        <v>0</v>
      </c>
      <c r="AI63" s="206">
        <f t="shared" si="12"/>
        <v>0</v>
      </c>
      <c r="AJ63" s="207">
        <f t="shared" si="13"/>
        <v>0</v>
      </c>
    </row>
    <row r="64" spans="2:36" s="27" customFormat="1" hidden="1">
      <c r="B64" s="97">
        <v>59</v>
      </c>
      <c r="C64" s="98"/>
      <c r="D64" s="42"/>
      <c r="E64" s="43"/>
      <c r="F64" s="41"/>
      <c r="G64" s="107"/>
      <c r="H64" s="44"/>
      <c r="I64" s="45"/>
      <c r="J64" s="58" t="str">
        <f t="shared" si="2"/>
        <v/>
      </c>
      <c r="K64" s="60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62">
        <f t="shared" si="3"/>
        <v>0</v>
      </c>
      <c r="AD64" s="63">
        <f t="shared" si="9"/>
        <v>0</v>
      </c>
      <c r="AE64" s="108">
        <f t="shared" si="1"/>
        <v>0</v>
      </c>
      <c r="AG64" s="93">
        <f t="shared" si="11"/>
        <v>0</v>
      </c>
      <c r="AI64" s="206">
        <f t="shared" si="12"/>
        <v>0</v>
      </c>
      <c r="AJ64" s="207">
        <f t="shared" si="13"/>
        <v>0</v>
      </c>
    </row>
    <row r="65" spans="2:36" s="27" customFormat="1" hidden="1">
      <c r="B65" s="97">
        <v>60</v>
      </c>
      <c r="C65" s="98"/>
      <c r="D65" s="42"/>
      <c r="E65" s="43"/>
      <c r="F65" s="41"/>
      <c r="G65" s="107"/>
      <c r="H65" s="44"/>
      <c r="I65" s="45"/>
      <c r="J65" s="58" t="str">
        <f t="shared" si="2"/>
        <v/>
      </c>
      <c r="K65" s="60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62">
        <f t="shared" si="3"/>
        <v>0</v>
      </c>
      <c r="AD65" s="63">
        <f t="shared" si="9"/>
        <v>0</v>
      </c>
      <c r="AE65" s="108">
        <f t="shared" si="1"/>
        <v>0</v>
      </c>
      <c r="AG65" s="93">
        <f t="shared" si="11"/>
        <v>0</v>
      </c>
      <c r="AI65" s="206">
        <f t="shared" si="12"/>
        <v>0</v>
      </c>
      <c r="AJ65" s="207">
        <f t="shared" si="13"/>
        <v>0</v>
      </c>
    </row>
    <row r="66" spans="2:36" s="27" customFormat="1" hidden="1">
      <c r="B66" s="97">
        <v>61</v>
      </c>
      <c r="C66" s="98"/>
      <c r="D66" s="42"/>
      <c r="E66" s="43"/>
      <c r="F66" s="41"/>
      <c r="G66" s="107"/>
      <c r="H66" s="44"/>
      <c r="I66" s="45"/>
      <c r="J66" s="58" t="str">
        <f t="shared" si="2"/>
        <v/>
      </c>
      <c r="K66" s="60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62">
        <f t="shared" si="3"/>
        <v>0</v>
      </c>
      <c r="AD66" s="63">
        <f t="shared" si="9"/>
        <v>0</v>
      </c>
      <c r="AE66" s="108">
        <f t="shared" si="1"/>
        <v>0</v>
      </c>
      <c r="AG66" s="93">
        <f t="shared" si="11"/>
        <v>0</v>
      </c>
      <c r="AI66" s="206">
        <f t="shared" si="12"/>
        <v>0</v>
      </c>
      <c r="AJ66" s="207">
        <f t="shared" si="13"/>
        <v>0</v>
      </c>
    </row>
    <row r="67" spans="2:36" s="27" customFormat="1" hidden="1">
      <c r="B67" s="97">
        <v>62</v>
      </c>
      <c r="C67" s="98"/>
      <c r="D67" s="42"/>
      <c r="E67" s="43"/>
      <c r="F67" s="41"/>
      <c r="G67" s="107"/>
      <c r="H67" s="44"/>
      <c r="I67" s="45"/>
      <c r="J67" s="58" t="str">
        <f t="shared" si="2"/>
        <v/>
      </c>
      <c r="K67" s="60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62">
        <f t="shared" si="3"/>
        <v>0</v>
      </c>
      <c r="AD67" s="63">
        <f t="shared" si="9"/>
        <v>0</v>
      </c>
      <c r="AE67" s="108">
        <f t="shared" si="1"/>
        <v>0</v>
      </c>
      <c r="AG67" s="93">
        <f t="shared" si="11"/>
        <v>0</v>
      </c>
      <c r="AI67" s="206">
        <f t="shared" si="12"/>
        <v>0</v>
      </c>
      <c r="AJ67" s="207">
        <f t="shared" si="13"/>
        <v>0</v>
      </c>
    </row>
    <row r="68" spans="2:36" s="27" customFormat="1" hidden="1">
      <c r="B68" s="97">
        <v>63</v>
      </c>
      <c r="C68" s="98"/>
      <c r="D68" s="42"/>
      <c r="E68" s="43"/>
      <c r="F68" s="41"/>
      <c r="G68" s="107"/>
      <c r="H68" s="44"/>
      <c r="I68" s="45"/>
      <c r="J68" s="58" t="str">
        <f t="shared" si="2"/>
        <v/>
      </c>
      <c r="K68" s="60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62">
        <f t="shared" si="3"/>
        <v>0</v>
      </c>
      <c r="AD68" s="63">
        <f t="shared" si="9"/>
        <v>0</v>
      </c>
      <c r="AE68" s="108">
        <f t="shared" si="1"/>
        <v>0</v>
      </c>
      <c r="AG68" s="93">
        <f t="shared" si="11"/>
        <v>0</v>
      </c>
      <c r="AI68" s="206">
        <f t="shared" si="12"/>
        <v>0</v>
      </c>
      <c r="AJ68" s="207">
        <f t="shared" si="13"/>
        <v>0</v>
      </c>
    </row>
    <row r="69" spans="2:36" s="27" customFormat="1" hidden="1">
      <c r="B69" s="97">
        <v>64</v>
      </c>
      <c r="C69" s="98"/>
      <c r="D69" s="42"/>
      <c r="E69" s="43"/>
      <c r="F69" s="41"/>
      <c r="G69" s="107"/>
      <c r="H69" s="44"/>
      <c r="I69" s="45"/>
      <c r="J69" s="58" t="str">
        <f t="shared" si="2"/>
        <v/>
      </c>
      <c r="K69" s="60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62">
        <f t="shared" si="3"/>
        <v>0</v>
      </c>
      <c r="AD69" s="63">
        <f t="shared" si="9"/>
        <v>0</v>
      </c>
      <c r="AE69" s="108">
        <f t="shared" si="1"/>
        <v>0</v>
      </c>
      <c r="AG69" s="93">
        <f t="shared" si="11"/>
        <v>0</v>
      </c>
      <c r="AI69" s="206">
        <f t="shared" si="12"/>
        <v>0</v>
      </c>
      <c r="AJ69" s="207">
        <f t="shared" si="13"/>
        <v>0</v>
      </c>
    </row>
    <row r="70" spans="2:36" s="27" customFormat="1" hidden="1">
      <c r="B70" s="97">
        <v>65</v>
      </c>
      <c r="C70" s="98"/>
      <c r="D70" s="42"/>
      <c r="E70" s="43"/>
      <c r="F70" s="41"/>
      <c r="G70" s="107"/>
      <c r="H70" s="44"/>
      <c r="I70" s="45"/>
      <c r="J70" s="58" t="str">
        <f t="shared" si="2"/>
        <v/>
      </c>
      <c r="K70" s="60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62">
        <f t="shared" ref="AC70:AC89" si="14">ROUNDDOWN(SUM(K70:AB70),0)</f>
        <v>0</v>
      </c>
      <c r="AD70" s="63">
        <f t="shared" ref="AD70:AD89" si="15">IF(J70="TER A",VLOOKUP(AC70,Ter_A,4,TRUE),IF(J70="TER B",VLOOKUP(AC70,Ter_B,4,TRUE),VLOOKUP(AC70,Ter_C,4,TRUE)))</f>
        <v>0</v>
      </c>
      <c r="AE70" s="108">
        <f t="shared" ref="AE70:AE89" si="16">ROUND(IF(E70=0,AC70*AD70*120%,AC70*AD70),0)</f>
        <v>0</v>
      </c>
      <c r="AG70" s="93">
        <f t="shared" si="11"/>
        <v>0</v>
      </c>
      <c r="AI70" s="206">
        <f t="shared" si="12"/>
        <v>0</v>
      </c>
      <c r="AJ70" s="207">
        <f t="shared" si="13"/>
        <v>0</v>
      </c>
    </row>
    <row r="71" spans="2:36" s="27" customFormat="1" hidden="1">
      <c r="B71" s="97">
        <v>66</v>
      </c>
      <c r="C71" s="98"/>
      <c r="D71" s="42"/>
      <c r="E71" s="43"/>
      <c r="F71" s="41"/>
      <c r="G71" s="107"/>
      <c r="H71" s="44"/>
      <c r="I71" s="45"/>
      <c r="J71" s="58" t="str">
        <f t="shared" ref="J71:J89" si="17">IF(ISBLANK(I71),"",IF(OR(I71="TK/0",I71="TK/1",I71="K/0"),"TER A",IF(I71="K/3","TER C","TER B")))</f>
        <v/>
      </c>
      <c r="K71" s="60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62">
        <f t="shared" si="14"/>
        <v>0</v>
      </c>
      <c r="AD71" s="63">
        <f t="shared" si="15"/>
        <v>0</v>
      </c>
      <c r="AE71" s="108">
        <f t="shared" si="16"/>
        <v>0</v>
      </c>
      <c r="AG71" s="93">
        <f t="shared" si="11"/>
        <v>0</v>
      </c>
      <c r="AI71" s="206">
        <f t="shared" ref="AI71:AI90" si="18">AC71-L71-M71</f>
        <v>0</v>
      </c>
      <c r="AJ71" s="207">
        <f t="shared" ref="AJ71:AJ90" si="19">AI71+L71+M71</f>
        <v>0</v>
      </c>
    </row>
    <row r="72" spans="2:36" s="27" customFormat="1" hidden="1">
      <c r="B72" s="97">
        <v>67</v>
      </c>
      <c r="C72" s="98"/>
      <c r="D72" s="42"/>
      <c r="E72" s="43"/>
      <c r="F72" s="41"/>
      <c r="G72" s="107"/>
      <c r="H72" s="44"/>
      <c r="I72" s="45"/>
      <c r="J72" s="58" t="str">
        <f t="shared" si="17"/>
        <v/>
      </c>
      <c r="K72" s="60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62">
        <f t="shared" si="14"/>
        <v>0</v>
      </c>
      <c r="AD72" s="63">
        <f t="shared" si="15"/>
        <v>0</v>
      </c>
      <c r="AE72" s="108">
        <f t="shared" si="16"/>
        <v>0</v>
      </c>
      <c r="AG72" s="93">
        <f t="shared" si="11"/>
        <v>0</v>
      </c>
      <c r="AI72" s="206">
        <f t="shared" si="18"/>
        <v>0</v>
      </c>
      <c r="AJ72" s="207">
        <f t="shared" si="19"/>
        <v>0</v>
      </c>
    </row>
    <row r="73" spans="2:36" s="27" customFormat="1" hidden="1">
      <c r="B73" s="97">
        <v>68</v>
      </c>
      <c r="C73" s="98"/>
      <c r="D73" s="42"/>
      <c r="E73" s="43"/>
      <c r="F73" s="41"/>
      <c r="G73" s="107"/>
      <c r="H73" s="44"/>
      <c r="I73" s="45"/>
      <c r="J73" s="58" t="str">
        <f t="shared" si="17"/>
        <v/>
      </c>
      <c r="K73" s="60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62">
        <f t="shared" si="14"/>
        <v>0</v>
      </c>
      <c r="AD73" s="63">
        <f t="shared" si="15"/>
        <v>0</v>
      </c>
      <c r="AE73" s="108">
        <f t="shared" si="16"/>
        <v>0</v>
      </c>
      <c r="AG73" s="93">
        <f t="shared" si="11"/>
        <v>0</v>
      </c>
      <c r="AI73" s="206">
        <f t="shared" si="18"/>
        <v>0</v>
      </c>
      <c r="AJ73" s="207">
        <f t="shared" si="19"/>
        <v>0</v>
      </c>
    </row>
    <row r="74" spans="2:36" s="27" customFormat="1" hidden="1">
      <c r="B74" s="97">
        <v>69</v>
      </c>
      <c r="C74" s="98"/>
      <c r="D74" s="42"/>
      <c r="E74" s="43"/>
      <c r="F74" s="41"/>
      <c r="G74" s="107"/>
      <c r="H74" s="44"/>
      <c r="I74" s="45"/>
      <c r="J74" s="58" t="str">
        <f t="shared" si="17"/>
        <v/>
      </c>
      <c r="K74" s="60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62">
        <f t="shared" si="14"/>
        <v>0</v>
      </c>
      <c r="AD74" s="63">
        <f t="shared" si="15"/>
        <v>0</v>
      </c>
      <c r="AE74" s="108">
        <f t="shared" si="16"/>
        <v>0</v>
      </c>
      <c r="AG74" s="93">
        <f t="shared" si="11"/>
        <v>0</v>
      </c>
      <c r="AI74" s="206">
        <f t="shared" si="18"/>
        <v>0</v>
      </c>
      <c r="AJ74" s="207">
        <f t="shared" si="19"/>
        <v>0</v>
      </c>
    </row>
    <row r="75" spans="2:36" s="27" customFormat="1" hidden="1">
      <c r="B75" s="97">
        <v>70</v>
      </c>
      <c r="C75" s="98"/>
      <c r="D75" s="42"/>
      <c r="E75" s="43"/>
      <c r="F75" s="41"/>
      <c r="G75" s="107"/>
      <c r="H75" s="44"/>
      <c r="I75" s="45"/>
      <c r="J75" s="58" t="str">
        <f t="shared" si="17"/>
        <v/>
      </c>
      <c r="K75" s="60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62">
        <f t="shared" si="14"/>
        <v>0</v>
      </c>
      <c r="AD75" s="63">
        <f t="shared" si="15"/>
        <v>0</v>
      </c>
      <c r="AE75" s="108">
        <f t="shared" si="16"/>
        <v>0</v>
      </c>
      <c r="AG75" s="93">
        <f t="shared" si="11"/>
        <v>0</v>
      </c>
      <c r="AI75" s="206">
        <f t="shared" si="18"/>
        <v>0</v>
      </c>
      <c r="AJ75" s="207">
        <f t="shared" si="19"/>
        <v>0</v>
      </c>
    </row>
    <row r="76" spans="2:36" s="27" customFormat="1" hidden="1">
      <c r="B76" s="97">
        <v>71</v>
      </c>
      <c r="C76" s="98"/>
      <c r="D76" s="42"/>
      <c r="E76" s="43"/>
      <c r="F76" s="41"/>
      <c r="G76" s="107"/>
      <c r="H76" s="44"/>
      <c r="I76" s="45"/>
      <c r="J76" s="58" t="str">
        <f t="shared" si="17"/>
        <v/>
      </c>
      <c r="K76" s="60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62">
        <f t="shared" si="14"/>
        <v>0</v>
      </c>
      <c r="AD76" s="63">
        <f t="shared" si="15"/>
        <v>0</v>
      </c>
      <c r="AE76" s="108">
        <f t="shared" si="16"/>
        <v>0</v>
      </c>
      <c r="AG76" s="93">
        <f t="shared" si="11"/>
        <v>0</v>
      </c>
      <c r="AI76" s="206">
        <f t="shared" si="18"/>
        <v>0</v>
      </c>
      <c r="AJ76" s="207">
        <f t="shared" si="19"/>
        <v>0</v>
      </c>
    </row>
    <row r="77" spans="2:36" s="27" customFormat="1" hidden="1">
      <c r="B77" s="97">
        <v>72</v>
      </c>
      <c r="C77" s="98"/>
      <c r="D77" s="42"/>
      <c r="E77" s="43"/>
      <c r="F77" s="41"/>
      <c r="G77" s="107"/>
      <c r="H77" s="44"/>
      <c r="I77" s="45"/>
      <c r="J77" s="58" t="str">
        <f t="shared" si="17"/>
        <v/>
      </c>
      <c r="K77" s="60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62">
        <f t="shared" si="14"/>
        <v>0</v>
      </c>
      <c r="AD77" s="63">
        <f t="shared" si="15"/>
        <v>0</v>
      </c>
      <c r="AE77" s="108">
        <f t="shared" si="16"/>
        <v>0</v>
      </c>
      <c r="AG77" s="93">
        <f t="shared" si="11"/>
        <v>0</v>
      </c>
      <c r="AI77" s="206">
        <f t="shared" si="18"/>
        <v>0</v>
      </c>
      <c r="AJ77" s="207">
        <f t="shared" si="19"/>
        <v>0</v>
      </c>
    </row>
    <row r="78" spans="2:36" s="27" customFormat="1" hidden="1">
      <c r="B78" s="97">
        <v>73</v>
      </c>
      <c r="C78" s="98"/>
      <c r="D78" s="42"/>
      <c r="E78" s="43"/>
      <c r="F78" s="41"/>
      <c r="G78" s="107"/>
      <c r="H78" s="44"/>
      <c r="I78" s="45"/>
      <c r="J78" s="58" t="str">
        <f t="shared" si="17"/>
        <v/>
      </c>
      <c r="K78" s="60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62">
        <f t="shared" si="14"/>
        <v>0</v>
      </c>
      <c r="AD78" s="63">
        <f t="shared" si="15"/>
        <v>0</v>
      </c>
      <c r="AE78" s="108">
        <f t="shared" si="16"/>
        <v>0</v>
      </c>
      <c r="AG78" s="93">
        <f t="shared" si="11"/>
        <v>0</v>
      </c>
      <c r="AI78" s="206">
        <f t="shared" si="18"/>
        <v>0</v>
      </c>
      <c r="AJ78" s="207">
        <f t="shared" si="19"/>
        <v>0</v>
      </c>
    </row>
    <row r="79" spans="2:36" s="27" customFormat="1" hidden="1">
      <c r="B79" s="97">
        <v>74</v>
      </c>
      <c r="C79" s="98"/>
      <c r="D79" s="42"/>
      <c r="E79" s="43"/>
      <c r="F79" s="41"/>
      <c r="G79" s="107"/>
      <c r="H79" s="44"/>
      <c r="I79" s="45"/>
      <c r="J79" s="58" t="str">
        <f t="shared" si="17"/>
        <v/>
      </c>
      <c r="K79" s="60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62">
        <f t="shared" si="14"/>
        <v>0</v>
      </c>
      <c r="AD79" s="63">
        <f t="shared" si="15"/>
        <v>0</v>
      </c>
      <c r="AE79" s="108">
        <f t="shared" si="16"/>
        <v>0</v>
      </c>
      <c r="AG79" s="93">
        <f t="shared" si="11"/>
        <v>0</v>
      </c>
      <c r="AI79" s="206">
        <f t="shared" si="18"/>
        <v>0</v>
      </c>
      <c r="AJ79" s="207">
        <f t="shared" si="19"/>
        <v>0</v>
      </c>
    </row>
    <row r="80" spans="2:36" s="27" customFormat="1" hidden="1">
      <c r="B80" s="97">
        <v>75</v>
      </c>
      <c r="C80" s="98"/>
      <c r="D80" s="42"/>
      <c r="E80" s="43"/>
      <c r="F80" s="41"/>
      <c r="G80" s="107"/>
      <c r="H80" s="44"/>
      <c r="I80" s="45"/>
      <c r="J80" s="58" t="str">
        <f t="shared" si="17"/>
        <v/>
      </c>
      <c r="K80" s="60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62">
        <f t="shared" si="14"/>
        <v>0</v>
      </c>
      <c r="AD80" s="63">
        <f t="shared" si="15"/>
        <v>0</v>
      </c>
      <c r="AE80" s="108">
        <f t="shared" si="16"/>
        <v>0</v>
      </c>
      <c r="AG80" s="93">
        <f t="shared" si="11"/>
        <v>0</v>
      </c>
      <c r="AI80" s="206">
        <f t="shared" si="18"/>
        <v>0</v>
      </c>
      <c r="AJ80" s="207">
        <f t="shared" si="19"/>
        <v>0</v>
      </c>
    </row>
    <row r="81" spans="2:37" s="27" customFormat="1" hidden="1">
      <c r="B81" s="97">
        <v>76</v>
      </c>
      <c r="C81" s="98"/>
      <c r="D81" s="42"/>
      <c r="E81" s="43"/>
      <c r="F81" s="41"/>
      <c r="G81" s="107"/>
      <c r="H81" s="44"/>
      <c r="I81" s="45"/>
      <c r="J81" s="58" t="str">
        <f t="shared" si="17"/>
        <v/>
      </c>
      <c r="K81" s="60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62">
        <f t="shared" si="14"/>
        <v>0</v>
      </c>
      <c r="AD81" s="63">
        <f t="shared" si="15"/>
        <v>0</v>
      </c>
      <c r="AE81" s="108">
        <f t="shared" si="16"/>
        <v>0</v>
      </c>
      <c r="AG81" s="93">
        <f t="shared" si="11"/>
        <v>0</v>
      </c>
      <c r="AI81" s="206">
        <f t="shared" si="18"/>
        <v>0</v>
      </c>
      <c r="AJ81" s="207">
        <f t="shared" si="19"/>
        <v>0</v>
      </c>
    </row>
    <row r="82" spans="2:37" s="27" customFormat="1" hidden="1">
      <c r="B82" s="97">
        <v>77</v>
      </c>
      <c r="C82" s="98"/>
      <c r="D82" s="42"/>
      <c r="E82" s="43"/>
      <c r="F82" s="41"/>
      <c r="G82" s="107"/>
      <c r="H82" s="44"/>
      <c r="I82" s="45"/>
      <c r="J82" s="58" t="str">
        <f t="shared" si="17"/>
        <v/>
      </c>
      <c r="K82" s="60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62">
        <f t="shared" si="14"/>
        <v>0</v>
      </c>
      <c r="AD82" s="63">
        <f t="shared" si="15"/>
        <v>0</v>
      </c>
      <c r="AE82" s="108">
        <f t="shared" si="16"/>
        <v>0</v>
      </c>
      <c r="AG82" s="93">
        <f t="shared" si="11"/>
        <v>0</v>
      </c>
      <c r="AI82" s="206">
        <f t="shared" si="18"/>
        <v>0</v>
      </c>
      <c r="AJ82" s="207">
        <f t="shared" si="19"/>
        <v>0</v>
      </c>
    </row>
    <row r="83" spans="2:37" s="27" customFormat="1" hidden="1">
      <c r="B83" s="97">
        <v>78</v>
      </c>
      <c r="C83" s="98"/>
      <c r="D83" s="42"/>
      <c r="E83" s="43"/>
      <c r="F83" s="41"/>
      <c r="G83" s="107"/>
      <c r="H83" s="44"/>
      <c r="I83" s="45"/>
      <c r="J83" s="58" t="str">
        <f t="shared" si="17"/>
        <v/>
      </c>
      <c r="K83" s="60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62">
        <f t="shared" si="14"/>
        <v>0</v>
      </c>
      <c r="AD83" s="63">
        <f t="shared" si="15"/>
        <v>0</v>
      </c>
      <c r="AE83" s="108">
        <f t="shared" si="16"/>
        <v>0</v>
      </c>
      <c r="AG83" s="93">
        <f t="shared" si="11"/>
        <v>0</v>
      </c>
      <c r="AI83" s="206">
        <f t="shared" si="18"/>
        <v>0</v>
      </c>
      <c r="AJ83" s="207">
        <f t="shared" si="19"/>
        <v>0</v>
      </c>
    </row>
    <row r="84" spans="2:37" s="27" customFormat="1" hidden="1">
      <c r="B84" s="97">
        <v>79</v>
      </c>
      <c r="C84" s="98"/>
      <c r="D84" s="42"/>
      <c r="E84" s="43"/>
      <c r="F84" s="41"/>
      <c r="G84" s="107"/>
      <c r="H84" s="44"/>
      <c r="I84" s="45"/>
      <c r="J84" s="58" t="str">
        <f t="shared" si="17"/>
        <v/>
      </c>
      <c r="K84" s="60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62">
        <f t="shared" si="14"/>
        <v>0</v>
      </c>
      <c r="AD84" s="63">
        <f t="shared" si="15"/>
        <v>0</v>
      </c>
      <c r="AE84" s="108">
        <f t="shared" si="16"/>
        <v>0</v>
      </c>
      <c r="AG84" s="93">
        <f t="shared" si="11"/>
        <v>0</v>
      </c>
      <c r="AI84" s="206">
        <f t="shared" si="18"/>
        <v>0</v>
      </c>
      <c r="AJ84" s="207">
        <f t="shared" si="19"/>
        <v>0</v>
      </c>
    </row>
    <row r="85" spans="2:37" s="27" customFormat="1" hidden="1">
      <c r="B85" s="97">
        <v>80</v>
      </c>
      <c r="C85" s="98"/>
      <c r="D85" s="42"/>
      <c r="E85" s="43"/>
      <c r="F85" s="41"/>
      <c r="G85" s="107"/>
      <c r="H85" s="44"/>
      <c r="I85" s="45"/>
      <c r="J85" s="58" t="str">
        <f t="shared" si="17"/>
        <v/>
      </c>
      <c r="K85" s="60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62">
        <f t="shared" si="14"/>
        <v>0</v>
      </c>
      <c r="AD85" s="63">
        <f t="shared" si="15"/>
        <v>0</v>
      </c>
      <c r="AE85" s="108">
        <f t="shared" si="16"/>
        <v>0</v>
      </c>
      <c r="AG85" s="93">
        <f t="shared" si="11"/>
        <v>0</v>
      </c>
      <c r="AI85" s="206">
        <f t="shared" si="18"/>
        <v>0</v>
      </c>
      <c r="AJ85" s="207">
        <f t="shared" si="19"/>
        <v>0</v>
      </c>
    </row>
    <row r="86" spans="2:37" s="27" customFormat="1" hidden="1">
      <c r="B86" s="97">
        <v>81</v>
      </c>
      <c r="C86" s="98"/>
      <c r="D86" s="42"/>
      <c r="E86" s="43"/>
      <c r="F86" s="41"/>
      <c r="G86" s="107"/>
      <c r="H86" s="44"/>
      <c r="I86" s="45"/>
      <c r="J86" s="58" t="str">
        <f t="shared" si="17"/>
        <v/>
      </c>
      <c r="K86" s="60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62">
        <f t="shared" si="14"/>
        <v>0</v>
      </c>
      <c r="AD86" s="63">
        <f t="shared" si="15"/>
        <v>0</v>
      </c>
      <c r="AE86" s="108">
        <f t="shared" si="16"/>
        <v>0</v>
      </c>
      <c r="AG86" s="93">
        <f t="shared" si="11"/>
        <v>0</v>
      </c>
      <c r="AI86" s="206">
        <f t="shared" si="18"/>
        <v>0</v>
      </c>
      <c r="AJ86" s="207">
        <f t="shared" si="19"/>
        <v>0</v>
      </c>
    </row>
    <row r="87" spans="2:37" s="27" customFormat="1" hidden="1">
      <c r="B87" s="97">
        <v>82</v>
      </c>
      <c r="C87" s="98"/>
      <c r="D87" s="42"/>
      <c r="E87" s="43"/>
      <c r="F87" s="41"/>
      <c r="G87" s="107"/>
      <c r="H87" s="44"/>
      <c r="I87" s="45"/>
      <c r="J87" s="58" t="str">
        <f t="shared" si="17"/>
        <v/>
      </c>
      <c r="K87" s="60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62">
        <f t="shared" si="14"/>
        <v>0</v>
      </c>
      <c r="AD87" s="63">
        <f t="shared" si="15"/>
        <v>0</v>
      </c>
      <c r="AE87" s="108">
        <f t="shared" si="16"/>
        <v>0</v>
      </c>
      <c r="AG87" s="93">
        <f t="shared" si="11"/>
        <v>0</v>
      </c>
      <c r="AI87" s="206">
        <f t="shared" si="18"/>
        <v>0</v>
      </c>
      <c r="AJ87" s="207">
        <f t="shared" si="19"/>
        <v>0</v>
      </c>
    </row>
    <row r="88" spans="2:37" s="27" customFormat="1" hidden="1">
      <c r="B88" s="97">
        <v>83</v>
      </c>
      <c r="C88" s="98"/>
      <c r="D88" s="42"/>
      <c r="E88" s="43"/>
      <c r="F88" s="41"/>
      <c r="G88" s="107"/>
      <c r="H88" s="44"/>
      <c r="I88" s="45"/>
      <c r="J88" s="58" t="str">
        <f t="shared" si="17"/>
        <v/>
      </c>
      <c r="K88" s="60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62">
        <f t="shared" si="14"/>
        <v>0</v>
      </c>
      <c r="AD88" s="63">
        <f t="shared" si="15"/>
        <v>0</v>
      </c>
      <c r="AE88" s="108">
        <f t="shared" si="16"/>
        <v>0</v>
      </c>
      <c r="AG88" s="93">
        <f t="shared" si="11"/>
        <v>0</v>
      </c>
      <c r="AI88" s="206">
        <f t="shared" si="18"/>
        <v>0</v>
      </c>
      <c r="AJ88" s="207">
        <f t="shared" si="19"/>
        <v>0</v>
      </c>
    </row>
    <row r="89" spans="2:37" s="27" customFormat="1" hidden="1">
      <c r="B89" s="97">
        <v>84</v>
      </c>
      <c r="C89" s="98"/>
      <c r="D89" s="42"/>
      <c r="E89" s="43"/>
      <c r="F89" s="41"/>
      <c r="G89" s="107"/>
      <c r="H89" s="44"/>
      <c r="I89" s="45"/>
      <c r="J89" s="58" t="str">
        <f t="shared" si="17"/>
        <v/>
      </c>
      <c r="K89" s="60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62">
        <f t="shared" si="14"/>
        <v>0</v>
      </c>
      <c r="AD89" s="63">
        <f t="shared" si="15"/>
        <v>0</v>
      </c>
      <c r="AE89" s="108">
        <f t="shared" si="16"/>
        <v>0</v>
      </c>
      <c r="AG89" s="93">
        <f t="shared" si="11"/>
        <v>0</v>
      </c>
      <c r="AI89" s="206">
        <f t="shared" si="18"/>
        <v>0</v>
      </c>
      <c r="AJ89" s="207">
        <f t="shared" si="19"/>
        <v>0</v>
      </c>
    </row>
    <row r="90" spans="2:37" s="27" customFormat="1" ht="13.5" hidden="1" thickBot="1">
      <c r="B90" s="97"/>
      <c r="C90" s="98"/>
      <c r="D90" s="42"/>
      <c r="E90" s="43"/>
      <c r="F90" s="41"/>
      <c r="G90" s="107"/>
      <c r="H90" s="44"/>
      <c r="I90" s="45"/>
      <c r="J90" s="58"/>
      <c r="K90" s="60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62"/>
      <c r="AD90" s="63"/>
      <c r="AE90" s="108"/>
      <c r="AG90" s="93">
        <f t="shared" si="11"/>
        <v>0</v>
      </c>
      <c r="AI90" s="206">
        <f t="shared" si="18"/>
        <v>0</v>
      </c>
      <c r="AJ90" s="207">
        <f t="shared" si="19"/>
        <v>0</v>
      </c>
    </row>
    <row r="91" spans="2:37" s="52" customFormat="1" ht="13.5" thickBot="1">
      <c r="B91" s="82"/>
      <c r="C91" s="83"/>
      <c r="D91" s="83"/>
      <c r="E91" s="83"/>
      <c r="F91" s="83"/>
      <c r="G91" s="83"/>
      <c r="H91" s="83"/>
      <c r="I91" s="83"/>
      <c r="J91" s="83"/>
      <c r="K91" s="84">
        <f>SUM(K6:K90)</f>
        <v>133810829.65999986</v>
      </c>
      <c r="L91" s="84">
        <f t="shared" ref="L91:AB91" si="20">SUM(L6:L90)</f>
        <v>1162769.9999999998</v>
      </c>
      <c r="M91" s="84">
        <f t="shared" si="20"/>
        <v>5591360</v>
      </c>
      <c r="N91" s="84">
        <f t="shared" si="20"/>
        <v>5201910</v>
      </c>
      <c r="O91" s="84">
        <f t="shared" si="20"/>
        <v>305747</v>
      </c>
      <c r="P91" s="84">
        <f t="shared" si="20"/>
        <v>299250</v>
      </c>
      <c r="Q91" s="84">
        <f t="shared" si="20"/>
        <v>3579750</v>
      </c>
      <c r="R91" s="84">
        <f t="shared" si="20"/>
        <v>309000</v>
      </c>
      <c r="S91" s="84">
        <f t="shared" si="20"/>
        <v>6349441.0299999993</v>
      </c>
      <c r="T91" s="84">
        <f t="shared" si="20"/>
        <v>0</v>
      </c>
      <c r="U91" s="84">
        <f t="shared" si="20"/>
        <v>1359000</v>
      </c>
      <c r="V91" s="84">
        <f t="shared" si="20"/>
        <v>441840</v>
      </c>
      <c r="W91" s="84">
        <f t="shared" si="20"/>
        <v>0</v>
      </c>
      <c r="X91" s="84">
        <f t="shared" si="20"/>
        <v>0</v>
      </c>
      <c r="Y91" s="84">
        <f t="shared" si="20"/>
        <v>0</v>
      </c>
      <c r="Z91" s="84">
        <f t="shared" si="20"/>
        <v>-2552499.9300000002</v>
      </c>
      <c r="AA91" s="84">
        <f t="shared" si="20"/>
        <v>0</v>
      </c>
      <c r="AB91" s="84">
        <f t="shared" si="20"/>
        <v>0</v>
      </c>
      <c r="AC91" s="84">
        <f>SUM(AC6:AC90)</f>
        <v>155858377</v>
      </c>
      <c r="AD91" s="84">
        <f>SUM(AD6:AD90)</f>
        <v>5.0000000000000001E-3</v>
      </c>
      <c r="AE91" s="84">
        <f>SUM(AE6:AE90)</f>
        <v>31588</v>
      </c>
      <c r="AF91" s="51"/>
      <c r="AG91" s="51"/>
      <c r="AH91" s="51"/>
      <c r="AI91" s="211">
        <f>SUM(AI6:AI90)</f>
        <v>6754130</v>
      </c>
      <c r="AJ91" s="211">
        <f>SUM(AJ6:AJ90)</f>
        <v>15293438.099999998</v>
      </c>
      <c r="AK91" s="211"/>
    </row>
    <row r="92" spans="2:37">
      <c r="K92" s="28">
        <v>133810829.65999991</v>
      </c>
      <c r="M92" s="28">
        <v>5591360</v>
      </c>
      <c r="N92" s="28">
        <v>5201910</v>
      </c>
      <c r="O92" s="28">
        <v>305747</v>
      </c>
      <c r="P92" s="28">
        <v>299250</v>
      </c>
      <c r="Q92" s="28">
        <v>3579750</v>
      </c>
      <c r="R92" s="28">
        <f>[6]HARVESTING!$AA28</f>
        <v>309000</v>
      </c>
      <c r="S92" s="28">
        <f>[6]HARVESTING!$AH$27</f>
        <v>6349441.0299999993</v>
      </c>
      <c r="U92" s="28">
        <v>1359000</v>
      </c>
      <c r="AC92" s="28">
        <f>[6]TRANSPORT!AE15+[6]HARVESTING!AN13+'[6]MAINTENANCE-2'!AK43+L91+M91</f>
        <v>155858397.75999999</v>
      </c>
    </row>
    <row r="93" spans="2:37">
      <c r="B93" s="51" t="s">
        <v>48</v>
      </c>
      <c r="M93" s="54"/>
      <c r="N93" s="54"/>
      <c r="O93" s="54"/>
      <c r="P93" s="54"/>
      <c r="Q93" s="54"/>
      <c r="R93" s="54"/>
      <c r="S93" s="54"/>
    </row>
    <row r="94" spans="2:37">
      <c r="B94" s="27" t="s">
        <v>49</v>
      </c>
      <c r="M94" s="54"/>
      <c r="N94" s="54"/>
      <c r="O94" s="54"/>
      <c r="P94" s="54"/>
      <c r="Q94" s="54"/>
      <c r="R94" s="54"/>
      <c r="S94" s="54"/>
    </row>
    <row r="95" spans="2:37">
      <c r="B95" s="27" t="s">
        <v>57</v>
      </c>
      <c r="M95" s="54"/>
      <c r="N95" s="54"/>
      <c r="O95" s="54"/>
      <c r="P95" s="54"/>
      <c r="Q95" s="54"/>
      <c r="R95" s="54"/>
      <c r="S95" s="54"/>
    </row>
    <row r="96" spans="2:37">
      <c r="B96" s="27" t="s">
        <v>50</v>
      </c>
      <c r="M96" s="54"/>
      <c r="N96" s="54"/>
      <c r="O96" s="54"/>
      <c r="P96" s="54"/>
      <c r="Q96" s="54"/>
      <c r="R96" s="54"/>
      <c r="S96" s="54"/>
    </row>
    <row r="97" spans="2:56" s="31" customFormat="1" ht="15" hidden="1" customHeight="1">
      <c r="B97" s="27" t="s">
        <v>58</v>
      </c>
      <c r="C97" s="28"/>
      <c r="D97" s="194"/>
      <c r="E97" s="29"/>
      <c r="F97" s="28"/>
      <c r="G97" s="30"/>
      <c r="H97" s="195"/>
      <c r="I97" s="195"/>
      <c r="J97" s="195"/>
      <c r="K97" s="28"/>
      <c r="L97" s="28"/>
      <c r="M97" s="54"/>
      <c r="N97" s="54"/>
      <c r="O97" s="54"/>
      <c r="P97" s="54"/>
      <c r="Q97" s="54"/>
      <c r="R97" s="54"/>
      <c r="S97" s="54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57"/>
      <c r="AE97" s="28"/>
      <c r="AF97" s="27"/>
      <c r="AG97" s="27"/>
      <c r="AH97" s="27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s="31" customFormat="1" ht="15" hidden="1" customHeight="1">
      <c r="B98" s="27" t="s">
        <v>51</v>
      </c>
      <c r="C98" s="28"/>
      <c r="D98" s="194"/>
      <c r="E98" s="29"/>
      <c r="F98" s="28"/>
      <c r="G98" s="30"/>
      <c r="H98" s="195"/>
      <c r="I98" s="195"/>
      <c r="J98" s="195"/>
      <c r="K98" s="28"/>
      <c r="L98" s="28"/>
      <c r="M98" s="54"/>
      <c r="N98" s="54"/>
      <c r="O98" s="54"/>
      <c r="P98" s="54"/>
      <c r="Q98" s="54"/>
      <c r="R98" s="54"/>
      <c r="S98" s="54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57"/>
      <c r="AE98" s="28"/>
      <c r="AF98" s="27"/>
      <c r="AG98" s="27"/>
      <c r="AH98" s="27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s="31" customFormat="1" ht="15" hidden="1" customHeight="1">
      <c r="B99" s="27" t="s">
        <v>52</v>
      </c>
      <c r="C99" s="28"/>
      <c r="D99" s="194"/>
      <c r="E99" s="29"/>
      <c r="F99" s="28"/>
      <c r="G99" s="30"/>
      <c r="H99" s="195"/>
      <c r="I99" s="195"/>
      <c r="J99" s="195"/>
      <c r="K99" s="28"/>
      <c r="L99" s="28"/>
      <c r="M99" s="54"/>
      <c r="N99" s="54"/>
      <c r="O99" s="54"/>
      <c r="P99" s="54"/>
      <c r="Q99" s="54"/>
      <c r="R99" s="54"/>
      <c r="S99" s="54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57"/>
      <c r="AE99" s="28"/>
      <c r="AF99" s="27"/>
      <c r="AG99" s="27"/>
      <c r="AH99" s="27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s="31" customFormat="1" ht="15" hidden="1" customHeight="1">
      <c r="B100" s="27" t="s">
        <v>53</v>
      </c>
      <c r="C100" s="28"/>
      <c r="D100" s="194"/>
      <c r="E100" s="29"/>
      <c r="F100" s="28"/>
      <c r="G100" s="30"/>
      <c r="H100" s="195"/>
      <c r="I100" s="195"/>
      <c r="J100" s="195"/>
      <c r="K100" s="28"/>
      <c r="L100" s="28"/>
      <c r="M100" s="54"/>
      <c r="N100" s="54"/>
      <c r="O100" s="54"/>
      <c r="P100" s="54"/>
      <c r="Q100" s="54"/>
      <c r="R100" s="54"/>
      <c r="S100" s="54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57"/>
      <c r="AE100" s="28"/>
      <c r="AF100" s="27"/>
      <c r="AG100" s="27"/>
      <c r="AH100" s="27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s="31" customFormat="1" ht="15" hidden="1" customHeight="1">
      <c r="B101" s="27" t="s">
        <v>59</v>
      </c>
      <c r="C101" s="28"/>
      <c r="D101" s="194"/>
      <c r="E101" s="29"/>
      <c r="F101" s="28"/>
      <c r="G101" s="30"/>
      <c r="H101" s="195"/>
      <c r="I101" s="195"/>
      <c r="J101" s="195"/>
      <c r="K101" s="28"/>
      <c r="L101" s="28"/>
      <c r="M101" s="54"/>
      <c r="N101" s="54"/>
      <c r="O101" s="54"/>
      <c r="P101" s="54"/>
      <c r="Q101" s="54"/>
      <c r="R101" s="54"/>
      <c r="S101" s="54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57"/>
      <c r="AE101" s="28"/>
      <c r="AF101" s="27"/>
      <c r="AG101" s="27"/>
      <c r="AH101" s="27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s="31" customFormat="1" ht="15" hidden="1" customHeight="1">
      <c r="B102" s="27" t="s">
        <v>60</v>
      </c>
      <c r="C102" s="28"/>
      <c r="D102" s="194"/>
      <c r="E102" s="29"/>
      <c r="F102" s="28"/>
      <c r="G102" s="30"/>
      <c r="H102" s="195"/>
      <c r="I102" s="195"/>
      <c r="J102" s="195"/>
      <c r="K102" s="28"/>
      <c r="L102" s="28"/>
      <c r="M102" s="54"/>
      <c r="N102" s="54"/>
      <c r="O102" s="54"/>
      <c r="P102" s="54"/>
      <c r="Q102" s="54"/>
      <c r="R102" s="54"/>
      <c r="S102" s="54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57"/>
      <c r="AE102" s="28"/>
      <c r="AF102" s="27"/>
      <c r="AG102" s="27"/>
      <c r="AH102" s="27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s="31" customFormat="1" ht="15" hidden="1" customHeight="1">
      <c r="B103" s="27" t="s">
        <v>65</v>
      </c>
      <c r="C103" s="28"/>
      <c r="D103" s="194"/>
      <c r="E103" s="29"/>
      <c r="F103" s="28"/>
      <c r="G103" s="30"/>
      <c r="H103" s="195"/>
      <c r="I103" s="195"/>
      <c r="J103" s="195"/>
      <c r="K103" s="28"/>
      <c r="L103" s="28"/>
      <c r="M103" s="54"/>
      <c r="N103" s="54"/>
      <c r="O103" s="54"/>
      <c r="P103" s="54"/>
      <c r="Q103" s="54"/>
      <c r="R103" s="54"/>
      <c r="S103" s="54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57"/>
      <c r="AE103" s="28"/>
      <c r="AF103" s="27"/>
      <c r="AG103" s="27"/>
      <c r="AH103" s="27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s="31" customFormat="1" ht="15" hidden="1" customHeight="1">
      <c r="B104" s="27"/>
      <c r="C104" s="28"/>
      <c r="D104" s="194"/>
      <c r="E104" s="29"/>
      <c r="F104" s="28"/>
      <c r="G104" s="30"/>
      <c r="H104" s="195"/>
      <c r="I104" s="195"/>
      <c r="J104" s="195"/>
      <c r="K104" s="28"/>
      <c r="L104" s="28"/>
      <c r="M104" s="54"/>
      <c r="N104" s="54"/>
      <c r="O104" s="54"/>
      <c r="P104" s="54"/>
      <c r="Q104" s="54"/>
      <c r="R104" s="54"/>
      <c r="S104" s="54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57"/>
      <c r="AE104" s="28"/>
      <c r="AF104" s="27"/>
      <c r="AG104" s="27"/>
      <c r="AH104" s="27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s="31" customFormat="1" ht="15" hidden="1" customHeight="1">
      <c r="B105" s="27"/>
      <c r="C105" s="28"/>
      <c r="D105" s="194"/>
      <c r="E105" s="29"/>
      <c r="F105" s="28"/>
      <c r="G105" s="30"/>
      <c r="H105" s="195"/>
      <c r="I105" s="195"/>
      <c r="J105" s="195"/>
      <c r="K105" s="28"/>
      <c r="L105" s="28"/>
      <c r="M105" s="54"/>
      <c r="N105" s="54"/>
      <c r="O105" s="54"/>
      <c r="P105" s="54"/>
      <c r="Q105" s="54"/>
      <c r="R105" s="54"/>
      <c r="S105" s="54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57"/>
      <c r="AE105" s="28"/>
      <c r="AF105" s="27"/>
      <c r="AG105" s="27"/>
      <c r="AH105" s="27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s="31" customFormat="1" ht="15" customHeight="1">
      <c r="B106" s="27"/>
      <c r="C106" s="28"/>
      <c r="D106" s="194"/>
      <c r="E106" s="29"/>
      <c r="F106" s="28"/>
      <c r="G106" s="30"/>
      <c r="H106" s="195"/>
      <c r="I106" s="195"/>
      <c r="J106" s="195"/>
      <c r="K106" s="28"/>
      <c r="L106" s="28"/>
      <c r="M106" s="54"/>
      <c r="N106" s="54"/>
      <c r="O106" s="54"/>
      <c r="P106" s="54"/>
      <c r="Q106" s="54"/>
      <c r="R106" s="54"/>
      <c r="S106" s="54"/>
      <c r="T106" s="28"/>
      <c r="U106" s="28"/>
      <c r="V106" s="28"/>
      <c r="W106" s="28"/>
      <c r="X106" s="28"/>
      <c r="Y106" s="28"/>
      <c r="Z106" s="28"/>
      <c r="AA106" s="28"/>
      <c r="AB106" s="28"/>
      <c r="AC106" s="28">
        <f>AC91-AC92</f>
        <v>-20.759999990463257</v>
      </c>
      <c r="AD106" s="57"/>
      <c r="AE106" s="28"/>
      <c r="AF106" s="27"/>
      <c r="AG106" s="27"/>
      <c r="AH106" s="27"/>
      <c r="AI106" s="212">
        <f>AI91-AI37</f>
        <v>6572584</v>
      </c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</sheetData>
  <dataValidations disablePrompts="1" count="2">
    <dataValidation type="list" allowBlank="1" showInputMessage="1" showErrorMessage="1" sqref="I6:I90">
      <formula1>"TK/0,TK/1,TK/2,TK/3,K/0,K/1,K/2,K/3"</formula1>
    </dataValidation>
    <dataValidation type="list" allowBlank="1" showInputMessage="1" showErrorMessage="1" sqref="H6:H90">
      <formula1>"L,P"</formula1>
    </dataValidation>
  </dataValidations>
  <pageMargins left="0.19685039370078741" right="0" top="0.35433070866141736" bottom="0.55118110236220474" header="0.31496062992125984" footer="0.31496062992125984"/>
  <pageSetup paperSize="9" scale="37" orientation="landscape" horizontalDpi="120" verticalDpi="72" r:id="rId1"/>
  <colBreaks count="1" manualBreakCount="1">
    <brk id="3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C69"/>
  <sheetViews>
    <sheetView view="pageBreakPreview" zoomScale="80" zoomScaleNormal="55" zoomScaleSheetLayoutView="80" workbookViewId="0">
      <pane xSplit="5" ySplit="1" topLeftCell="AA30" activePane="bottomRight" state="frozen"/>
      <selection pane="topRight" activeCell="F1" sqref="F1"/>
      <selection pane="bottomLeft" activeCell="A6" sqref="A6"/>
      <selection pane="bottomRight" activeCell="AA38" sqref="AA38:AA41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" style="28" customWidth="1"/>
    <col min="4" max="4" width="18.5703125" style="194" customWidth="1" outlineLevel="1"/>
    <col min="5" max="5" width="19.42578125" style="29" customWidth="1" outlineLevel="1"/>
    <col min="6" max="6" width="48.28515625" style="28" customWidth="1" outlineLevel="1"/>
    <col min="7" max="7" width="25.140625" style="30" customWidth="1" outlineLevel="1"/>
    <col min="8" max="8" width="6" style="195" customWidth="1" outlineLevel="1"/>
    <col min="9" max="9" width="6.7109375" style="195" customWidth="1" outlineLevel="1"/>
    <col min="10" max="10" width="10.85546875" style="195" customWidth="1" outlineLevel="1"/>
    <col min="11" max="11" width="14.140625" style="28" customWidth="1"/>
    <col min="12" max="12" width="11.7109375" style="28" customWidth="1"/>
    <col min="13" max="13" width="12.7109375" style="28" customWidth="1"/>
    <col min="14" max="14" width="11.5703125" style="28" customWidth="1"/>
    <col min="15" max="15" width="10.5703125" style="28" customWidth="1"/>
    <col min="16" max="16" width="11.5703125" style="28" customWidth="1"/>
    <col min="17" max="17" width="12.7109375" style="28" customWidth="1"/>
    <col min="18" max="18" width="11.140625" style="28" customWidth="1"/>
    <col min="19" max="19" width="11.85546875" style="28" customWidth="1"/>
    <col min="20" max="20" width="10.7109375" style="28" customWidth="1"/>
    <col min="21" max="21" width="12.7109375" style="28" customWidth="1"/>
    <col min="22" max="22" width="11.42578125" style="28" customWidth="1"/>
    <col min="23" max="23" width="9.5703125" style="28" customWidth="1"/>
    <col min="24" max="25" width="12.7109375" style="28" hidden="1" customWidth="1"/>
    <col min="26" max="26" width="16.42578125" style="28" customWidth="1"/>
    <col min="27" max="27" width="15" style="28" customWidth="1"/>
    <col min="28" max="28" width="9" style="28" customWidth="1"/>
    <col min="29" max="29" width="13.5703125" style="28" customWidth="1" collapsed="1"/>
    <col min="30" max="30" width="7.7109375" style="57" customWidth="1"/>
    <col min="31" max="31" width="14.7109375" style="28" customWidth="1"/>
    <col min="32" max="33" width="12.7109375" style="28" customWidth="1"/>
    <col min="34" max="34" width="13.85546875" style="53" customWidth="1"/>
    <col min="35" max="35" width="14" style="53" customWidth="1"/>
    <col min="36" max="36" width="11.5703125" style="53" customWidth="1"/>
    <col min="37" max="16384" width="9.28515625" style="53"/>
  </cols>
  <sheetData>
    <row r="1" spans="2:36">
      <c r="B1" s="27" t="s">
        <v>71</v>
      </c>
    </row>
    <row r="2" spans="2:36">
      <c r="B2" s="27" t="s">
        <v>75</v>
      </c>
    </row>
    <row r="3" spans="2:36">
      <c r="B3" s="27" t="s">
        <v>326</v>
      </c>
    </row>
    <row r="4" spans="2:36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 t="s">
        <v>327</v>
      </c>
      <c r="R4" s="28" t="s">
        <v>328</v>
      </c>
      <c r="S4" s="28" t="s">
        <v>329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57"/>
      <c r="AE4" s="28"/>
      <c r="AF4" s="28"/>
      <c r="AG4" s="28"/>
    </row>
    <row r="5" spans="2:36" s="27" customFormat="1" ht="59.25" customHeight="1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89" t="s">
        <v>67</v>
      </c>
      <c r="M5" s="189" t="s">
        <v>68</v>
      </c>
      <c r="N5" s="189" t="s">
        <v>330</v>
      </c>
      <c r="O5" s="188" t="s">
        <v>331</v>
      </c>
      <c r="P5" s="188" t="s">
        <v>332</v>
      </c>
      <c r="Q5" s="189" t="s">
        <v>76</v>
      </c>
      <c r="R5" s="189" t="s">
        <v>77</v>
      </c>
      <c r="S5" s="189" t="s">
        <v>81</v>
      </c>
      <c r="T5" s="189" t="s">
        <v>333</v>
      </c>
      <c r="U5" s="188" t="s">
        <v>82</v>
      </c>
      <c r="V5" s="188" t="s">
        <v>334</v>
      </c>
      <c r="W5" s="188" t="s">
        <v>335</v>
      </c>
      <c r="X5" s="188" t="s">
        <v>84</v>
      </c>
      <c r="Y5" s="188" t="s">
        <v>85</v>
      </c>
      <c r="Z5" s="188" t="s">
        <v>336</v>
      </c>
      <c r="AA5" s="188" t="s">
        <v>79</v>
      </c>
      <c r="AB5" s="188" t="s">
        <v>80</v>
      </c>
      <c r="AC5" s="188" t="s">
        <v>41</v>
      </c>
      <c r="AD5" s="102" t="s">
        <v>42</v>
      </c>
      <c r="AE5" s="188" t="s">
        <v>172</v>
      </c>
      <c r="AF5" s="188" t="s">
        <v>376</v>
      </c>
      <c r="AG5" s="188" t="s">
        <v>377</v>
      </c>
    </row>
    <row r="6" spans="2:36" s="27" customFormat="1" ht="30.75" customHeight="1">
      <c r="B6" s="34">
        <v>1</v>
      </c>
      <c r="C6" s="35" t="s">
        <v>221</v>
      </c>
      <c r="D6" s="204" t="s">
        <v>222</v>
      </c>
      <c r="E6" s="36" t="s">
        <v>338</v>
      </c>
      <c r="F6" s="35" t="s">
        <v>223</v>
      </c>
      <c r="G6" s="205" t="s">
        <v>339</v>
      </c>
      <c r="H6" s="37" t="s">
        <v>39</v>
      </c>
      <c r="I6" s="38" t="s">
        <v>7</v>
      </c>
      <c r="J6" s="55" t="str">
        <f>IF(ISBLANK(I6),"",IF(OR(I6="TK/0",I6="TK/1",I6="K/0"),"TER A",IF(I6="K/3","TER C","TER B")))</f>
        <v>TER A</v>
      </c>
      <c r="K6" s="59">
        <v>3547666.57</v>
      </c>
      <c r="L6" s="39">
        <f>3670000*0.84%</f>
        <v>30827.999999999996</v>
      </c>
      <c r="M6" s="119">
        <f>'[7]MAINTENANCE-2'!$AP11</f>
        <v>148540</v>
      </c>
      <c r="N6" s="39"/>
      <c r="O6" s="101"/>
      <c r="P6" s="101"/>
      <c r="Q6" s="39">
        <f>'[8]MAINTENANCE-2'!$X11</f>
        <v>60750</v>
      </c>
      <c r="R6" s="39">
        <v>60000</v>
      </c>
      <c r="S6" s="39">
        <v>0</v>
      </c>
      <c r="T6" s="39"/>
      <c r="U6" s="39">
        <v>43500</v>
      </c>
      <c r="V6" s="101"/>
      <c r="W6" s="101"/>
      <c r="X6" s="101"/>
      <c r="Y6" s="101"/>
      <c r="Z6" s="39">
        <v>-244666.66</v>
      </c>
      <c r="AA6" s="119">
        <f>[9]MAINTENANCE!O10</f>
        <v>3780999.9</v>
      </c>
      <c r="AB6" s="39"/>
      <c r="AC6" s="104">
        <f t="shared" ref="AC6:AC43" si="0">ROUNDDOWN(SUM(K6:AB6),0)</f>
        <v>7427617</v>
      </c>
      <c r="AD6" s="105">
        <f t="shared" ref="AD6:AD37" si="1">IF(J6="TER A",VLOOKUP(AC6,Ter_A,4,TRUE),IF(J6="TER B",VLOOKUP(AC6,Ter_B,4,TRUE),VLOOKUP(AC6,Ter_C,4,TRUE)))</f>
        <v>1.2500000000000001E-2</v>
      </c>
      <c r="AE6" s="106">
        <f>ROUNDDOWN(IF(E6=0,AC6*AD6*120%,AC6*AD6),0)</f>
        <v>92845</v>
      </c>
      <c r="AF6" s="106">
        <f>'[10]Feb''24'!AE6</f>
        <v>0</v>
      </c>
      <c r="AG6" s="106">
        <f>AE6-AF6</f>
        <v>92845</v>
      </c>
      <c r="AH6" s="206">
        <v>3467249.91</v>
      </c>
      <c r="AI6" s="207">
        <f>AH6+L6+M6+AA6</f>
        <v>7427617.8100000005</v>
      </c>
      <c r="AJ6" s="151">
        <f t="shared" ref="AJ6:AJ43" si="2">AI6-AC6</f>
        <v>0.81000000052154064</v>
      </c>
    </row>
    <row r="7" spans="2:36" s="27" customFormat="1" ht="30.75" customHeight="1">
      <c r="B7" s="97">
        <v>2</v>
      </c>
      <c r="C7" s="98" t="s">
        <v>224</v>
      </c>
      <c r="D7" s="208" t="s">
        <v>225</v>
      </c>
      <c r="E7" s="209" t="s">
        <v>73</v>
      </c>
      <c r="F7" s="98" t="s">
        <v>226</v>
      </c>
      <c r="G7" s="107" t="s">
        <v>340</v>
      </c>
      <c r="H7" s="99" t="s">
        <v>38</v>
      </c>
      <c r="I7" s="100" t="s">
        <v>7</v>
      </c>
      <c r="J7" s="58" t="str">
        <f t="shared" ref="J7:J43" si="3">IF(ISBLANK(I7),"",IF(OR(I7="TK/0",I7="TK/1",I7="K/0"),"TER A",IF(I7="K/3","TER C","TER B")))</f>
        <v>TER A</v>
      </c>
      <c r="K7" s="210">
        <v>3518666.57</v>
      </c>
      <c r="L7" s="101">
        <f>3640000*0.84%</f>
        <v>30575.999999999996</v>
      </c>
      <c r="M7" s="46">
        <f>'[7]MAINTENANCE-2'!$AP12</f>
        <v>146200</v>
      </c>
      <c r="N7" s="101"/>
      <c r="O7" s="101"/>
      <c r="P7" s="101"/>
      <c r="Q7" s="101">
        <f>'[8]MAINTENANCE-2'!$X12</f>
        <v>63000</v>
      </c>
      <c r="R7" s="46">
        <v>38000</v>
      </c>
      <c r="S7" s="101">
        <v>1420231.05</v>
      </c>
      <c r="T7" s="101"/>
      <c r="U7" s="101">
        <v>15000</v>
      </c>
      <c r="V7" s="101"/>
      <c r="W7" s="101"/>
      <c r="X7" s="101"/>
      <c r="Y7" s="101"/>
      <c r="Z7" s="101">
        <v>-121333.33</v>
      </c>
      <c r="AA7" s="101">
        <f>[9]MAINTENANCE!O11</f>
        <v>3722499.9</v>
      </c>
      <c r="AB7" s="101"/>
      <c r="AC7" s="62">
        <f t="shared" si="0"/>
        <v>8832840</v>
      </c>
      <c r="AD7" s="63">
        <f t="shared" si="1"/>
        <v>1.7500000000000002E-2</v>
      </c>
      <c r="AE7" s="106">
        <f>ROUNDDOWN(IF(E7=0,AC7*AD7*120%,AC7*AD7),0)</f>
        <v>154574</v>
      </c>
      <c r="AF7" s="106">
        <f>'[10]Feb''24'!AE7</f>
        <v>0</v>
      </c>
      <c r="AG7" s="106">
        <f>AE7-AF7</f>
        <v>154574</v>
      </c>
      <c r="AH7" s="206">
        <v>4933564.29</v>
      </c>
      <c r="AI7" s="207">
        <f t="shared" ref="AI7:AI43" si="4">AH7+L7+M7+AA7</f>
        <v>8832840.1899999995</v>
      </c>
      <c r="AJ7" s="151">
        <f t="shared" si="2"/>
        <v>0.18999999947845936</v>
      </c>
    </row>
    <row r="8" spans="2:36" s="27" customFormat="1" ht="30.75" customHeight="1">
      <c r="B8" s="97">
        <v>3</v>
      </c>
      <c r="C8" s="98" t="s">
        <v>227</v>
      </c>
      <c r="D8" s="208" t="s">
        <v>228</v>
      </c>
      <c r="E8" s="209" t="s">
        <v>341</v>
      </c>
      <c r="F8" s="98" t="s">
        <v>229</v>
      </c>
      <c r="G8" s="107" t="s">
        <v>88</v>
      </c>
      <c r="H8" s="99" t="s">
        <v>39</v>
      </c>
      <c r="I8" s="100" t="s">
        <v>7</v>
      </c>
      <c r="J8" s="58" t="str">
        <f t="shared" si="3"/>
        <v>TER A</v>
      </c>
      <c r="K8" s="210">
        <v>3518666.57</v>
      </c>
      <c r="L8" s="101">
        <f t="shared" ref="L8:L36" si="5">3640000*0.84%</f>
        <v>30575.999999999996</v>
      </c>
      <c r="M8" s="46">
        <f>'[7]MAINTENANCE-2'!$AP13</f>
        <v>147480</v>
      </c>
      <c r="N8" s="101"/>
      <c r="O8" s="101"/>
      <c r="P8" s="101"/>
      <c r="Q8" s="101">
        <f>'[8]MAINTENANCE-2'!$X13</f>
        <v>60750</v>
      </c>
      <c r="R8" s="101"/>
      <c r="S8" s="101">
        <v>0</v>
      </c>
      <c r="T8" s="101"/>
      <c r="U8" s="101">
        <v>47000</v>
      </c>
      <c r="V8" s="101"/>
      <c r="W8" s="101"/>
      <c r="X8" s="101"/>
      <c r="Y8" s="101"/>
      <c r="Z8" s="101">
        <v>-242666.66</v>
      </c>
      <c r="AA8" s="101">
        <f>[9]MAINTENANCE!O12</f>
        <v>3754499.9</v>
      </c>
      <c r="AB8" s="101"/>
      <c r="AC8" s="62">
        <f t="shared" si="0"/>
        <v>7316305</v>
      </c>
      <c r="AD8" s="63">
        <f t="shared" si="1"/>
        <v>1.2500000000000001E-2</v>
      </c>
      <c r="AE8" s="106">
        <f t="shared" ref="AE8:AE43" si="6">ROUNDDOWN(IF(E8=0,AC8*AD8*120%,AC8*AD8),0)</f>
        <v>91453</v>
      </c>
      <c r="AF8" s="106">
        <f>'[10]Feb''24'!AE8</f>
        <v>0</v>
      </c>
      <c r="AG8" s="106">
        <f t="shared" ref="AG8:AG43" si="7">AE8-AF8</f>
        <v>91453</v>
      </c>
      <c r="AH8" s="206">
        <v>3383749.91</v>
      </c>
      <c r="AI8" s="207">
        <f t="shared" si="4"/>
        <v>7316305.8100000005</v>
      </c>
      <c r="AJ8" s="151">
        <f t="shared" si="2"/>
        <v>0.81000000052154064</v>
      </c>
    </row>
    <row r="9" spans="2:36" s="27" customFormat="1" ht="30.75" customHeight="1">
      <c r="B9" s="97">
        <v>4</v>
      </c>
      <c r="C9" s="98" t="s">
        <v>230</v>
      </c>
      <c r="D9" s="208" t="s">
        <v>231</v>
      </c>
      <c r="E9" s="209" t="s">
        <v>73</v>
      </c>
      <c r="F9" s="98" t="s">
        <v>232</v>
      </c>
      <c r="G9" s="107" t="s">
        <v>88</v>
      </c>
      <c r="H9" s="99" t="s">
        <v>39</v>
      </c>
      <c r="I9" s="100" t="s">
        <v>9</v>
      </c>
      <c r="J9" s="58" t="str">
        <f t="shared" si="3"/>
        <v>TER B</v>
      </c>
      <c r="K9" s="210">
        <v>3518666.57</v>
      </c>
      <c r="L9" s="101">
        <f t="shared" si="5"/>
        <v>30575.999999999996</v>
      </c>
      <c r="M9" s="46">
        <f>'[7]MAINTENANCE-2'!$AP14</f>
        <v>146680</v>
      </c>
      <c r="N9" s="101"/>
      <c r="O9" s="101"/>
      <c r="P9" s="101"/>
      <c r="Q9" s="101">
        <f>'[8]MAINTENANCE-2'!$X14</f>
        <v>121500</v>
      </c>
      <c r="R9" s="101"/>
      <c r="S9" s="101">
        <v>0</v>
      </c>
      <c r="T9" s="101"/>
      <c r="U9" s="101">
        <v>27000</v>
      </c>
      <c r="V9" s="101"/>
      <c r="W9" s="101"/>
      <c r="X9" s="101"/>
      <c r="Y9" s="101"/>
      <c r="Z9" s="101">
        <v>-242666.66</v>
      </c>
      <c r="AA9" s="101">
        <f>[9]MAINTENANCE!O13</f>
        <v>3801999.9</v>
      </c>
      <c r="AB9" s="101"/>
      <c r="AC9" s="62">
        <f t="shared" si="0"/>
        <v>7403755</v>
      </c>
      <c r="AD9" s="63">
        <f t="shared" si="1"/>
        <v>0.01</v>
      </c>
      <c r="AE9" s="106">
        <f t="shared" si="6"/>
        <v>74037</v>
      </c>
      <c r="AF9" s="106">
        <f>'[10]Feb''24'!AE9</f>
        <v>0</v>
      </c>
      <c r="AG9" s="106">
        <f t="shared" si="7"/>
        <v>74037</v>
      </c>
      <c r="AH9" s="206">
        <v>3424499.91</v>
      </c>
      <c r="AI9" s="207">
        <f t="shared" si="4"/>
        <v>7403755.8100000005</v>
      </c>
      <c r="AJ9" s="151">
        <f t="shared" si="2"/>
        <v>0.81000000052154064</v>
      </c>
    </row>
    <row r="10" spans="2:36" s="27" customFormat="1" ht="30.75" customHeight="1">
      <c r="B10" s="97">
        <v>5</v>
      </c>
      <c r="C10" s="98" t="s">
        <v>233</v>
      </c>
      <c r="D10" s="208" t="s">
        <v>234</v>
      </c>
      <c r="E10" s="209" t="s">
        <v>342</v>
      </c>
      <c r="F10" s="98" t="s">
        <v>235</v>
      </c>
      <c r="G10" s="107" t="s">
        <v>88</v>
      </c>
      <c r="H10" s="99" t="s">
        <v>38</v>
      </c>
      <c r="I10" s="100" t="s">
        <v>7</v>
      </c>
      <c r="J10" s="58" t="str">
        <f t="shared" si="3"/>
        <v>TER A</v>
      </c>
      <c r="K10" s="210">
        <v>3518666.57</v>
      </c>
      <c r="L10" s="101">
        <f t="shared" si="5"/>
        <v>30575.999999999996</v>
      </c>
      <c r="M10" s="46">
        <f>'[7]MAINTENANCE-2'!$AP15</f>
        <v>147620</v>
      </c>
      <c r="N10" s="101"/>
      <c r="O10" s="101"/>
      <c r="P10" s="101"/>
      <c r="Q10" s="101">
        <f>'[8]MAINTENANCE-2'!$X15</f>
        <v>65250</v>
      </c>
      <c r="R10" s="101"/>
      <c r="S10" s="101">
        <v>0</v>
      </c>
      <c r="T10" s="101"/>
      <c r="U10" s="101">
        <v>50500</v>
      </c>
      <c r="V10" s="101"/>
      <c r="W10" s="101"/>
      <c r="X10" s="101"/>
      <c r="Y10" s="101"/>
      <c r="Z10" s="101">
        <v>0</v>
      </c>
      <c r="AA10" s="101">
        <f>[9]MAINTENANCE!O14</f>
        <v>3757999.9</v>
      </c>
      <c r="AB10" s="101"/>
      <c r="AC10" s="62">
        <f t="shared" si="0"/>
        <v>7570612</v>
      </c>
      <c r="AD10" s="63">
        <f t="shared" si="1"/>
        <v>1.5000000000000001E-2</v>
      </c>
      <c r="AE10" s="106">
        <f t="shared" si="6"/>
        <v>113559</v>
      </c>
      <c r="AF10" s="106">
        <f>'[10]Feb''24'!AE10</f>
        <v>0</v>
      </c>
      <c r="AG10" s="106">
        <f t="shared" si="7"/>
        <v>113559</v>
      </c>
      <c r="AH10" s="206">
        <v>3634416.5700000003</v>
      </c>
      <c r="AI10" s="207">
        <f t="shared" si="4"/>
        <v>7570612.4700000007</v>
      </c>
      <c r="AJ10" s="151">
        <f t="shared" si="2"/>
        <v>0.47000000067055225</v>
      </c>
    </row>
    <row r="11" spans="2:36" s="27" customFormat="1" ht="30.75" customHeight="1">
      <c r="B11" s="97">
        <v>6</v>
      </c>
      <c r="C11" s="98" t="s">
        <v>236</v>
      </c>
      <c r="D11" s="208" t="s">
        <v>237</v>
      </c>
      <c r="E11" s="209" t="s">
        <v>343</v>
      </c>
      <c r="F11" s="98" t="s">
        <v>238</v>
      </c>
      <c r="G11" s="107" t="s">
        <v>88</v>
      </c>
      <c r="H11" s="99" t="s">
        <v>38</v>
      </c>
      <c r="I11" s="100" t="s">
        <v>7</v>
      </c>
      <c r="J11" s="58" t="str">
        <f t="shared" si="3"/>
        <v>TER A</v>
      </c>
      <c r="K11" s="210">
        <v>3518666.57</v>
      </c>
      <c r="L11" s="101">
        <f t="shared" si="5"/>
        <v>30575.999999999996</v>
      </c>
      <c r="M11" s="46">
        <f>'[7]MAINTENANCE-2'!$AP16</f>
        <v>147620</v>
      </c>
      <c r="N11" s="101"/>
      <c r="O11" s="101"/>
      <c r="P11" s="101"/>
      <c r="Q11" s="101">
        <f>'[8]MAINTENANCE-2'!$X16</f>
        <v>65250</v>
      </c>
      <c r="R11" s="101"/>
      <c r="S11" s="101">
        <v>0</v>
      </c>
      <c r="T11" s="101"/>
      <c r="U11" s="101">
        <v>50500</v>
      </c>
      <c r="V11" s="101"/>
      <c r="W11" s="101"/>
      <c r="X11" s="101"/>
      <c r="Y11" s="101"/>
      <c r="Z11" s="101">
        <v>0</v>
      </c>
      <c r="AA11" s="101">
        <f>[9]MAINTENANCE!O15</f>
        <v>3757999.9</v>
      </c>
      <c r="AB11" s="101"/>
      <c r="AC11" s="62">
        <f t="shared" si="0"/>
        <v>7570612</v>
      </c>
      <c r="AD11" s="63">
        <f t="shared" si="1"/>
        <v>1.5000000000000001E-2</v>
      </c>
      <c r="AE11" s="106">
        <f t="shared" si="6"/>
        <v>113559</v>
      </c>
      <c r="AF11" s="106">
        <f>'[10]Feb''24'!AE11</f>
        <v>0</v>
      </c>
      <c r="AG11" s="106">
        <f t="shared" si="7"/>
        <v>113559</v>
      </c>
      <c r="AH11" s="206">
        <v>3634416.5700000003</v>
      </c>
      <c r="AI11" s="207">
        <f t="shared" si="4"/>
        <v>7570612.4700000007</v>
      </c>
      <c r="AJ11" s="151">
        <f t="shared" si="2"/>
        <v>0.47000000067055225</v>
      </c>
    </row>
    <row r="12" spans="2:36" s="27" customFormat="1" ht="30.75" customHeight="1">
      <c r="B12" s="97">
        <v>7</v>
      </c>
      <c r="C12" s="98" t="s">
        <v>239</v>
      </c>
      <c r="D12" s="208" t="s">
        <v>240</v>
      </c>
      <c r="E12" s="209" t="s">
        <v>344</v>
      </c>
      <c r="F12" s="98" t="s">
        <v>241</v>
      </c>
      <c r="G12" s="107" t="s">
        <v>88</v>
      </c>
      <c r="H12" s="99" t="s">
        <v>38</v>
      </c>
      <c r="I12" s="100" t="s">
        <v>7</v>
      </c>
      <c r="J12" s="58" t="str">
        <f t="shared" si="3"/>
        <v>TER A</v>
      </c>
      <c r="K12" s="210">
        <v>3518666.57</v>
      </c>
      <c r="L12" s="101">
        <f t="shared" si="5"/>
        <v>30575.999999999996</v>
      </c>
      <c r="M12" s="46">
        <f>'[7]MAINTENANCE-2'!$AP17</f>
        <v>147480</v>
      </c>
      <c r="N12" s="101"/>
      <c r="O12" s="101"/>
      <c r="P12" s="101"/>
      <c r="Q12" s="101">
        <f>'[8]MAINTENANCE-2'!$X17</f>
        <v>65250</v>
      </c>
      <c r="R12" s="101"/>
      <c r="S12" s="101">
        <v>0</v>
      </c>
      <c r="T12" s="101"/>
      <c r="U12" s="101">
        <v>47000</v>
      </c>
      <c r="V12" s="101"/>
      <c r="W12" s="101"/>
      <c r="X12" s="101"/>
      <c r="Y12" s="101"/>
      <c r="Z12" s="101">
        <v>0</v>
      </c>
      <c r="AA12" s="101">
        <f>[9]MAINTENANCE!O16</f>
        <v>3754499.9</v>
      </c>
      <c r="AB12" s="101"/>
      <c r="AC12" s="62">
        <f t="shared" si="0"/>
        <v>7563472</v>
      </c>
      <c r="AD12" s="63">
        <f t="shared" si="1"/>
        <v>1.5000000000000001E-2</v>
      </c>
      <c r="AE12" s="106">
        <f t="shared" si="6"/>
        <v>113452</v>
      </c>
      <c r="AF12" s="106">
        <f>'[10]Feb''24'!AE12</f>
        <v>0</v>
      </c>
      <c r="AG12" s="106">
        <f t="shared" si="7"/>
        <v>113452</v>
      </c>
      <c r="AH12" s="206">
        <v>3630916.5700000003</v>
      </c>
      <c r="AI12" s="207">
        <f t="shared" si="4"/>
        <v>7563472.4700000007</v>
      </c>
      <c r="AJ12" s="151">
        <f t="shared" si="2"/>
        <v>0.47000000067055225</v>
      </c>
    </row>
    <row r="13" spans="2:36" s="27" customFormat="1" ht="30.75" customHeight="1">
      <c r="B13" s="97">
        <v>8</v>
      </c>
      <c r="C13" s="98" t="s">
        <v>242</v>
      </c>
      <c r="D13" s="208" t="s">
        <v>243</v>
      </c>
      <c r="E13" s="209" t="s">
        <v>345</v>
      </c>
      <c r="F13" s="98" t="s">
        <v>244</v>
      </c>
      <c r="G13" s="107" t="s">
        <v>88</v>
      </c>
      <c r="H13" s="99" t="s">
        <v>38</v>
      </c>
      <c r="I13" s="100" t="s">
        <v>7</v>
      </c>
      <c r="J13" s="58" t="str">
        <f t="shared" si="3"/>
        <v>TER A</v>
      </c>
      <c r="K13" s="210">
        <v>3518666.57</v>
      </c>
      <c r="L13" s="101">
        <f t="shared" si="5"/>
        <v>30575.999999999996</v>
      </c>
      <c r="M13" s="46">
        <f>'[7]MAINTENANCE-2'!$AP18</f>
        <v>148040</v>
      </c>
      <c r="N13" s="101"/>
      <c r="O13" s="101"/>
      <c r="P13" s="101"/>
      <c r="Q13" s="101">
        <f>'[8]MAINTENANCE-2'!$X18</f>
        <v>65250</v>
      </c>
      <c r="R13" s="101"/>
      <c r="S13" s="101">
        <v>0</v>
      </c>
      <c r="T13" s="101"/>
      <c r="U13" s="101">
        <v>61000</v>
      </c>
      <c r="V13" s="101"/>
      <c r="W13" s="101"/>
      <c r="X13" s="101"/>
      <c r="Y13" s="101"/>
      <c r="Z13" s="101">
        <v>0</v>
      </c>
      <c r="AA13" s="101">
        <f>[9]MAINTENANCE!O17</f>
        <v>3768499.9</v>
      </c>
      <c r="AB13" s="101"/>
      <c r="AC13" s="62">
        <f t="shared" si="0"/>
        <v>7592032</v>
      </c>
      <c r="AD13" s="63">
        <f t="shared" si="1"/>
        <v>1.5000000000000001E-2</v>
      </c>
      <c r="AE13" s="106">
        <f t="shared" si="6"/>
        <v>113880</v>
      </c>
      <c r="AF13" s="106">
        <f>'[10]Feb''24'!AE13</f>
        <v>0</v>
      </c>
      <c r="AG13" s="106">
        <f t="shared" si="7"/>
        <v>113880</v>
      </c>
      <c r="AH13" s="206">
        <v>3644916.5700000003</v>
      </c>
      <c r="AI13" s="207">
        <f t="shared" si="4"/>
        <v>7592032.4700000007</v>
      </c>
      <c r="AJ13" s="151">
        <f t="shared" si="2"/>
        <v>0.47000000067055225</v>
      </c>
    </row>
    <row r="14" spans="2:36" s="27" customFormat="1" ht="30.75" customHeight="1">
      <c r="B14" s="97">
        <v>9</v>
      </c>
      <c r="C14" s="98" t="s">
        <v>245</v>
      </c>
      <c r="D14" s="208" t="s">
        <v>246</v>
      </c>
      <c r="E14" s="209" t="s">
        <v>346</v>
      </c>
      <c r="F14" s="98" t="s">
        <v>247</v>
      </c>
      <c r="G14" s="107" t="s">
        <v>88</v>
      </c>
      <c r="H14" s="99" t="s">
        <v>38</v>
      </c>
      <c r="I14" s="100" t="s">
        <v>7</v>
      </c>
      <c r="J14" s="58" t="str">
        <f t="shared" si="3"/>
        <v>TER A</v>
      </c>
      <c r="K14" s="210">
        <v>3518666.57</v>
      </c>
      <c r="L14" s="101">
        <f t="shared" si="5"/>
        <v>30575.999999999996</v>
      </c>
      <c r="M14" s="46">
        <f>'[7]MAINTENANCE-2'!$AP19</f>
        <v>147340</v>
      </c>
      <c r="N14" s="101"/>
      <c r="O14" s="101"/>
      <c r="P14" s="101"/>
      <c r="Q14" s="101">
        <f>'[8]MAINTENANCE-2'!$X19</f>
        <v>65250</v>
      </c>
      <c r="R14" s="101"/>
      <c r="S14" s="101">
        <v>0</v>
      </c>
      <c r="T14" s="101"/>
      <c r="U14" s="101">
        <v>43500</v>
      </c>
      <c r="V14" s="101"/>
      <c r="W14" s="101"/>
      <c r="X14" s="101"/>
      <c r="Y14" s="101"/>
      <c r="Z14" s="101">
        <v>0</v>
      </c>
      <c r="AA14" s="101">
        <f>[9]MAINTENANCE!O18</f>
        <v>3750999.9</v>
      </c>
      <c r="AB14" s="101"/>
      <c r="AC14" s="62">
        <f t="shared" si="0"/>
        <v>7556332</v>
      </c>
      <c r="AD14" s="63">
        <f t="shared" si="1"/>
        <v>1.5000000000000001E-2</v>
      </c>
      <c r="AE14" s="106">
        <f t="shared" si="6"/>
        <v>113344</v>
      </c>
      <c r="AF14" s="106">
        <f>'[10]Feb''24'!AE14</f>
        <v>0</v>
      </c>
      <c r="AG14" s="106">
        <f t="shared" si="7"/>
        <v>113344</v>
      </c>
      <c r="AH14" s="206">
        <v>3627416.5700000003</v>
      </c>
      <c r="AI14" s="207">
        <f t="shared" si="4"/>
        <v>7556332.4700000007</v>
      </c>
      <c r="AJ14" s="151">
        <f t="shared" si="2"/>
        <v>0.47000000067055225</v>
      </c>
    </row>
    <row r="15" spans="2:36" s="27" customFormat="1" ht="30.75" customHeight="1">
      <c r="B15" s="97">
        <v>10</v>
      </c>
      <c r="C15" s="98" t="s">
        <v>248</v>
      </c>
      <c r="D15" s="208" t="s">
        <v>249</v>
      </c>
      <c r="E15" s="209" t="s">
        <v>347</v>
      </c>
      <c r="F15" s="98" t="s">
        <v>250</v>
      </c>
      <c r="G15" s="107" t="s">
        <v>88</v>
      </c>
      <c r="H15" s="99" t="s">
        <v>39</v>
      </c>
      <c r="I15" s="100" t="s">
        <v>17</v>
      </c>
      <c r="J15" s="58" t="str">
        <f t="shared" si="3"/>
        <v>TER A</v>
      </c>
      <c r="K15" s="210">
        <v>3518666.57</v>
      </c>
      <c r="L15" s="101">
        <f t="shared" si="5"/>
        <v>30575.999999999996</v>
      </c>
      <c r="M15" s="46">
        <f>'[7]MAINTENANCE-2'!$AP20</f>
        <v>148040</v>
      </c>
      <c r="N15" s="101"/>
      <c r="O15" s="101"/>
      <c r="P15" s="101"/>
      <c r="Q15" s="101">
        <f>'[8]MAINTENANCE-2'!$X20</f>
        <v>104400</v>
      </c>
      <c r="R15" s="101"/>
      <c r="S15" s="101">
        <v>0</v>
      </c>
      <c r="T15" s="101"/>
      <c r="U15" s="101">
        <v>61000</v>
      </c>
      <c r="V15" s="101"/>
      <c r="W15" s="101"/>
      <c r="X15" s="101"/>
      <c r="Y15" s="101"/>
      <c r="Z15" s="101">
        <v>0</v>
      </c>
      <c r="AA15" s="101">
        <f>[9]MAINTENANCE!O19</f>
        <v>3808999.9</v>
      </c>
      <c r="AB15" s="101"/>
      <c r="AC15" s="62">
        <f t="shared" si="0"/>
        <v>7671682</v>
      </c>
      <c r="AD15" s="63">
        <f t="shared" si="1"/>
        <v>1.5000000000000001E-2</v>
      </c>
      <c r="AE15" s="106">
        <f t="shared" si="6"/>
        <v>115075</v>
      </c>
      <c r="AF15" s="106">
        <f>'[10]Feb''24'!AE15</f>
        <v>0</v>
      </c>
      <c r="AG15" s="106">
        <f t="shared" si="7"/>
        <v>115075</v>
      </c>
      <c r="AH15" s="206">
        <v>3684066.5700000003</v>
      </c>
      <c r="AI15" s="207">
        <f t="shared" si="4"/>
        <v>7671682.4700000007</v>
      </c>
      <c r="AJ15" s="151">
        <f t="shared" si="2"/>
        <v>0.47000000067055225</v>
      </c>
    </row>
    <row r="16" spans="2:36" s="27" customFormat="1" ht="30.75" customHeight="1">
      <c r="B16" s="97">
        <v>11</v>
      </c>
      <c r="C16" s="98" t="s">
        <v>251</v>
      </c>
      <c r="D16" s="208" t="s">
        <v>252</v>
      </c>
      <c r="E16" s="209" t="s">
        <v>348</v>
      </c>
      <c r="F16" s="98" t="s">
        <v>253</v>
      </c>
      <c r="G16" s="107" t="s">
        <v>88</v>
      </c>
      <c r="H16" s="99" t="s">
        <v>39</v>
      </c>
      <c r="I16" s="100" t="s">
        <v>7</v>
      </c>
      <c r="J16" s="58" t="str">
        <f t="shared" si="3"/>
        <v>TER A</v>
      </c>
      <c r="K16" s="210">
        <v>3518666.57</v>
      </c>
      <c r="L16" s="101">
        <f t="shared" si="5"/>
        <v>30575.999999999996</v>
      </c>
      <c r="M16" s="46">
        <f>'[7]MAINTENANCE-2'!$AP21</f>
        <v>146440</v>
      </c>
      <c r="N16" s="101"/>
      <c r="O16" s="101"/>
      <c r="P16" s="101"/>
      <c r="Q16" s="101">
        <f>'[8]MAINTENANCE-2'!$X21</f>
        <v>60750</v>
      </c>
      <c r="R16" s="101"/>
      <c r="S16" s="101">
        <v>0</v>
      </c>
      <c r="T16" s="101"/>
      <c r="U16" s="101">
        <v>21000</v>
      </c>
      <c r="V16" s="101"/>
      <c r="W16" s="101"/>
      <c r="X16" s="101"/>
      <c r="Y16" s="101"/>
      <c r="Z16" s="101">
        <v>-242666.66</v>
      </c>
      <c r="AA16" s="101">
        <f>[9]MAINTENANCE!O20</f>
        <v>3731499.9</v>
      </c>
      <c r="AB16" s="101"/>
      <c r="AC16" s="62">
        <f t="shared" si="0"/>
        <v>7266265</v>
      </c>
      <c r="AD16" s="63">
        <f t="shared" si="1"/>
        <v>1.2500000000000001E-2</v>
      </c>
      <c r="AE16" s="106">
        <f t="shared" si="6"/>
        <v>90828</v>
      </c>
      <c r="AF16" s="106">
        <f>'[10]Feb''24'!AE16</f>
        <v>0</v>
      </c>
      <c r="AG16" s="106">
        <f t="shared" si="7"/>
        <v>90828</v>
      </c>
      <c r="AH16" s="206">
        <v>3357749.91</v>
      </c>
      <c r="AI16" s="207">
        <f t="shared" si="4"/>
        <v>7266265.8100000005</v>
      </c>
      <c r="AJ16" s="151">
        <f t="shared" si="2"/>
        <v>0.81000000052154064</v>
      </c>
    </row>
    <row r="17" spans="2:36" s="27" customFormat="1" ht="30.75" customHeight="1">
      <c r="B17" s="97">
        <v>12</v>
      </c>
      <c r="C17" s="98" t="s">
        <v>254</v>
      </c>
      <c r="D17" s="208" t="s">
        <v>255</v>
      </c>
      <c r="E17" s="209" t="s">
        <v>349</v>
      </c>
      <c r="F17" s="98" t="s">
        <v>256</v>
      </c>
      <c r="G17" s="107" t="s">
        <v>88</v>
      </c>
      <c r="H17" s="99" t="s">
        <v>38</v>
      </c>
      <c r="I17" s="100" t="s">
        <v>7</v>
      </c>
      <c r="J17" s="58" t="str">
        <f t="shared" si="3"/>
        <v>TER A</v>
      </c>
      <c r="K17" s="210">
        <v>3518666.57</v>
      </c>
      <c r="L17" s="101">
        <f t="shared" si="5"/>
        <v>30575.999999999996</v>
      </c>
      <c r="M17" s="46">
        <f>'[7]MAINTENANCE-2'!$AP22</f>
        <v>146800</v>
      </c>
      <c r="N17" s="101"/>
      <c r="O17" s="101"/>
      <c r="P17" s="101"/>
      <c r="Q17" s="101">
        <f>'[8]MAINTENANCE-2'!$X22</f>
        <v>65250</v>
      </c>
      <c r="R17" s="101"/>
      <c r="S17" s="101">
        <v>0</v>
      </c>
      <c r="T17" s="101"/>
      <c r="U17" s="101">
        <v>30000</v>
      </c>
      <c r="V17" s="101"/>
      <c r="W17" s="101"/>
      <c r="X17" s="101"/>
      <c r="Y17" s="101"/>
      <c r="Z17" s="101">
        <v>0</v>
      </c>
      <c r="AA17" s="101">
        <f>[9]MAINTENANCE!O21</f>
        <v>3737499.9</v>
      </c>
      <c r="AB17" s="101"/>
      <c r="AC17" s="62">
        <f t="shared" si="0"/>
        <v>7528792</v>
      </c>
      <c r="AD17" s="63">
        <f t="shared" si="1"/>
        <v>1.5000000000000001E-2</v>
      </c>
      <c r="AE17" s="106">
        <f t="shared" si="6"/>
        <v>112931</v>
      </c>
      <c r="AF17" s="106">
        <f>'[10]Feb''24'!AE17</f>
        <v>0</v>
      </c>
      <c r="AG17" s="106">
        <f t="shared" si="7"/>
        <v>112931</v>
      </c>
      <c r="AH17" s="206">
        <v>3613916.5700000003</v>
      </c>
      <c r="AI17" s="207">
        <f t="shared" si="4"/>
        <v>7528792.4700000007</v>
      </c>
      <c r="AJ17" s="151">
        <f t="shared" si="2"/>
        <v>0.47000000067055225</v>
      </c>
    </row>
    <row r="18" spans="2:36" s="27" customFormat="1" ht="30.75" customHeight="1">
      <c r="B18" s="97">
        <v>13</v>
      </c>
      <c r="C18" s="98" t="s">
        <v>257</v>
      </c>
      <c r="D18" s="208" t="s">
        <v>258</v>
      </c>
      <c r="E18" s="209" t="s">
        <v>350</v>
      </c>
      <c r="F18" s="98" t="s">
        <v>259</v>
      </c>
      <c r="G18" s="107" t="s">
        <v>88</v>
      </c>
      <c r="H18" s="99" t="s">
        <v>39</v>
      </c>
      <c r="I18" s="100" t="s">
        <v>9</v>
      </c>
      <c r="J18" s="58" t="str">
        <f t="shared" si="3"/>
        <v>TER B</v>
      </c>
      <c r="K18" s="210">
        <v>3518666.57</v>
      </c>
      <c r="L18" s="101">
        <f t="shared" si="5"/>
        <v>30575.999999999996</v>
      </c>
      <c r="M18" s="46">
        <f>'[7]MAINTENANCE-2'!$AP23</f>
        <v>146800</v>
      </c>
      <c r="N18" s="101">
        <v>33900</v>
      </c>
      <c r="O18" s="101"/>
      <c r="P18" s="101"/>
      <c r="Q18" s="101">
        <f>'[8]MAINTENANCE-2'!$X23</f>
        <v>126000</v>
      </c>
      <c r="R18" s="101"/>
      <c r="S18" s="101">
        <v>147283.22</v>
      </c>
      <c r="T18" s="101"/>
      <c r="U18" s="101">
        <v>30000</v>
      </c>
      <c r="V18" s="101"/>
      <c r="W18" s="101"/>
      <c r="X18" s="101"/>
      <c r="Y18" s="101"/>
      <c r="Z18" s="101">
        <v>-121333.33</v>
      </c>
      <c r="AA18" s="101">
        <f>[9]MAINTENANCE!O22</f>
        <v>3804999.9</v>
      </c>
      <c r="AB18" s="101"/>
      <c r="AC18" s="62">
        <f t="shared" si="0"/>
        <v>7716892</v>
      </c>
      <c r="AD18" s="63">
        <f t="shared" si="1"/>
        <v>0.01</v>
      </c>
      <c r="AE18" s="106">
        <f t="shared" si="6"/>
        <v>77168</v>
      </c>
      <c r="AF18" s="106">
        <f>'[10]Feb''24'!AE18</f>
        <v>0</v>
      </c>
      <c r="AG18" s="106">
        <f t="shared" si="7"/>
        <v>77168</v>
      </c>
      <c r="AH18" s="206">
        <v>3734516.4600000004</v>
      </c>
      <c r="AI18" s="207">
        <f t="shared" si="4"/>
        <v>7716892.3600000003</v>
      </c>
      <c r="AJ18" s="151">
        <f t="shared" si="2"/>
        <v>0.36000000033527613</v>
      </c>
    </row>
    <row r="19" spans="2:36" s="27" customFormat="1" ht="30.75" customHeight="1">
      <c r="B19" s="97">
        <v>14</v>
      </c>
      <c r="C19" s="98" t="s">
        <v>260</v>
      </c>
      <c r="D19" s="208" t="s">
        <v>261</v>
      </c>
      <c r="E19" s="209" t="s">
        <v>73</v>
      </c>
      <c r="F19" s="98" t="s">
        <v>262</v>
      </c>
      <c r="G19" s="107" t="s">
        <v>88</v>
      </c>
      <c r="H19" s="99" t="s">
        <v>39</v>
      </c>
      <c r="I19" s="100" t="s">
        <v>11</v>
      </c>
      <c r="J19" s="58" t="str">
        <f t="shared" si="3"/>
        <v>TER B</v>
      </c>
      <c r="K19" s="210">
        <v>3518666.57</v>
      </c>
      <c r="L19" s="101">
        <f t="shared" si="5"/>
        <v>30575.999999999996</v>
      </c>
      <c r="M19" s="46">
        <f>'[7]MAINTENANCE-2'!$AP24</f>
        <v>146440</v>
      </c>
      <c r="N19" s="101"/>
      <c r="O19" s="101"/>
      <c r="P19" s="101"/>
      <c r="Q19" s="101">
        <f>'[8]MAINTENANCE-2'!$X24</f>
        <v>151200</v>
      </c>
      <c r="R19" s="101"/>
      <c r="S19" s="101">
        <v>0</v>
      </c>
      <c r="T19" s="101"/>
      <c r="U19" s="101">
        <v>21000</v>
      </c>
      <c r="V19" s="101"/>
      <c r="W19" s="101"/>
      <c r="X19" s="101"/>
      <c r="Y19" s="101"/>
      <c r="Z19" s="101">
        <v>-121333.33</v>
      </c>
      <c r="AA19" s="101">
        <f>[9]MAINTENANCE!O23</f>
        <v>3822999.9</v>
      </c>
      <c r="AB19" s="101"/>
      <c r="AC19" s="62">
        <f t="shared" si="0"/>
        <v>7569549</v>
      </c>
      <c r="AD19" s="63">
        <f t="shared" si="1"/>
        <v>0.01</v>
      </c>
      <c r="AE19" s="106">
        <f t="shared" si="6"/>
        <v>75695</v>
      </c>
      <c r="AF19" s="106">
        <f>'[10]Feb''24'!AE19</f>
        <v>0</v>
      </c>
      <c r="AG19" s="106">
        <f t="shared" si="7"/>
        <v>75695</v>
      </c>
      <c r="AH19" s="206">
        <v>3569533.24</v>
      </c>
      <c r="AI19" s="207">
        <f t="shared" si="4"/>
        <v>7569549.1400000006</v>
      </c>
      <c r="AJ19" s="151">
        <f t="shared" si="2"/>
        <v>0.14000000059604645</v>
      </c>
    </row>
    <row r="20" spans="2:36" s="27" customFormat="1" ht="30.75" customHeight="1">
      <c r="B20" s="97">
        <v>15</v>
      </c>
      <c r="C20" s="98" t="s">
        <v>263</v>
      </c>
      <c r="D20" s="208" t="s">
        <v>264</v>
      </c>
      <c r="E20" s="209" t="s">
        <v>73</v>
      </c>
      <c r="F20" s="98" t="s">
        <v>265</v>
      </c>
      <c r="G20" s="107" t="s">
        <v>88</v>
      </c>
      <c r="H20" s="99" t="s">
        <v>39</v>
      </c>
      <c r="I20" s="100" t="s">
        <v>9</v>
      </c>
      <c r="J20" s="58" t="str">
        <f t="shared" si="3"/>
        <v>TER B</v>
      </c>
      <c r="K20" s="210">
        <v>3518666.57</v>
      </c>
      <c r="L20" s="101">
        <f t="shared" si="5"/>
        <v>30575.999999999996</v>
      </c>
      <c r="M20" s="46">
        <f>'[7]MAINTENANCE-2'!$AP25</f>
        <v>145900</v>
      </c>
      <c r="N20" s="101"/>
      <c r="O20" s="101"/>
      <c r="P20" s="101"/>
      <c r="Q20" s="101">
        <f>'[8]MAINTENANCE-2'!$X25</f>
        <v>130500</v>
      </c>
      <c r="R20" s="101"/>
      <c r="S20" s="101">
        <v>0</v>
      </c>
      <c r="T20" s="101"/>
      <c r="U20" s="101">
        <v>7500</v>
      </c>
      <c r="V20" s="101"/>
      <c r="W20" s="101"/>
      <c r="X20" s="101"/>
      <c r="Y20" s="101"/>
      <c r="Z20" s="101">
        <v>0</v>
      </c>
      <c r="AA20" s="101">
        <f>[9]MAINTENANCE!O24</f>
        <v>3782499.9</v>
      </c>
      <c r="AB20" s="101"/>
      <c r="AC20" s="62">
        <f t="shared" si="0"/>
        <v>7615642</v>
      </c>
      <c r="AD20" s="63">
        <f t="shared" si="1"/>
        <v>0.01</v>
      </c>
      <c r="AE20" s="106">
        <f t="shared" si="6"/>
        <v>76156</v>
      </c>
      <c r="AF20" s="106">
        <f>'[10]Feb''24'!AE20</f>
        <v>0</v>
      </c>
      <c r="AG20" s="106">
        <f t="shared" si="7"/>
        <v>76156</v>
      </c>
      <c r="AH20" s="206">
        <v>3656666.5700000003</v>
      </c>
      <c r="AI20" s="207">
        <f t="shared" si="4"/>
        <v>7615642.4700000007</v>
      </c>
      <c r="AJ20" s="151">
        <f t="shared" si="2"/>
        <v>0.47000000067055225</v>
      </c>
    </row>
    <row r="21" spans="2:36" s="27" customFormat="1" ht="30.75" customHeight="1">
      <c r="B21" s="97">
        <v>16</v>
      </c>
      <c r="C21" s="98" t="s">
        <v>266</v>
      </c>
      <c r="D21" s="208" t="s">
        <v>267</v>
      </c>
      <c r="E21" s="209" t="s">
        <v>351</v>
      </c>
      <c r="F21" s="98" t="s">
        <v>268</v>
      </c>
      <c r="G21" s="107" t="s">
        <v>88</v>
      </c>
      <c r="H21" s="99" t="s">
        <v>38</v>
      </c>
      <c r="I21" s="100" t="s">
        <v>7</v>
      </c>
      <c r="J21" s="58" t="str">
        <f t="shared" si="3"/>
        <v>TER A</v>
      </c>
      <c r="K21" s="210">
        <v>3518666.57</v>
      </c>
      <c r="L21" s="101">
        <f t="shared" si="5"/>
        <v>30575.999999999996</v>
      </c>
      <c r="M21" s="46">
        <f>'[7]MAINTENANCE-2'!$AP26</f>
        <v>147340</v>
      </c>
      <c r="N21" s="101"/>
      <c r="O21" s="101"/>
      <c r="P21" s="101"/>
      <c r="Q21" s="101">
        <f>'[8]MAINTENANCE-2'!$X26</f>
        <v>65250</v>
      </c>
      <c r="R21" s="101"/>
      <c r="S21" s="101">
        <v>0</v>
      </c>
      <c r="T21" s="101"/>
      <c r="U21" s="101">
        <v>43500</v>
      </c>
      <c r="V21" s="101"/>
      <c r="W21" s="101"/>
      <c r="X21" s="101"/>
      <c r="Y21" s="101"/>
      <c r="Z21" s="101">
        <v>0</v>
      </c>
      <c r="AA21" s="101">
        <f>[9]MAINTENANCE!O25</f>
        <v>3750999.9</v>
      </c>
      <c r="AB21" s="101"/>
      <c r="AC21" s="62">
        <f t="shared" si="0"/>
        <v>7556332</v>
      </c>
      <c r="AD21" s="63">
        <f t="shared" si="1"/>
        <v>1.5000000000000001E-2</v>
      </c>
      <c r="AE21" s="106">
        <f t="shared" si="6"/>
        <v>113344</v>
      </c>
      <c r="AF21" s="106">
        <f>'[10]Feb''24'!AE21</f>
        <v>0</v>
      </c>
      <c r="AG21" s="106">
        <f t="shared" si="7"/>
        <v>113344</v>
      </c>
      <c r="AH21" s="206">
        <v>3627416.5700000003</v>
      </c>
      <c r="AI21" s="207">
        <f t="shared" si="4"/>
        <v>7556332.4700000007</v>
      </c>
      <c r="AJ21" s="151">
        <f t="shared" si="2"/>
        <v>0.47000000067055225</v>
      </c>
    </row>
    <row r="22" spans="2:36" s="27" customFormat="1" ht="30.75" customHeight="1">
      <c r="B22" s="97">
        <v>17</v>
      </c>
      <c r="C22" s="98" t="s">
        <v>269</v>
      </c>
      <c r="D22" s="208" t="s">
        <v>270</v>
      </c>
      <c r="E22" s="209" t="s">
        <v>352</v>
      </c>
      <c r="F22" s="98" t="s">
        <v>271</v>
      </c>
      <c r="G22" s="107" t="s">
        <v>88</v>
      </c>
      <c r="H22" s="99" t="s">
        <v>38</v>
      </c>
      <c r="I22" s="100" t="s">
        <v>7</v>
      </c>
      <c r="J22" s="58" t="str">
        <f t="shared" si="3"/>
        <v>TER A</v>
      </c>
      <c r="K22" s="210">
        <v>3518666.57</v>
      </c>
      <c r="L22" s="101">
        <f t="shared" si="5"/>
        <v>30575.999999999996</v>
      </c>
      <c r="M22" s="46">
        <f>'[7]MAINTENANCE-2'!$AP27</f>
        <v>147620</v>
      </c>
      <c r="N22" s="101"/>
      <c r="O22" s="101"/>
      <c r="P22" s="101"/>
      <c r="Q22" s="101">
        <f>'[8]MAINTENANCE-2'!$X27</f>
        <v>65250</v>
      </c>
      <c r="R22" s="101"/>
      <c r="S22" s="101">
        <v>0</v>
      </c>
      <c r="T22" s="101"/>
      <c r="U22" s="101">
        <v>50500</v>
      </c>
      <c r="V22" s="101"/>
      <c r="W22" s="101"/>
      <c r="X22" s="101"/>
      <c r="Y22" s="101"/>
      <c r="Z22" s="101">
        <v>0</v>
      </c>
      <c r="AA22" s="101">
        <f>[9]MAINTENANCE!O26</f>
        <v>3757999.9</v>
      </c>
      <c r="AB22" s="101"/>
      <c r="AC22" s="62">
        <f t="shared" si="0"/>
        <v>7570612</v>
      </c>
      <c r="AD22" s="63">
        <f t="shared" si="1"/>
        <v>1.5000000000000001E-2</v>
      </c>
      <c r="AE22" s="106">
        <f t="shared" si="6"/>
        <v>113559</v>
      </c>
      <c r="AF22" s="106">
        <f>'[10]Feb''24'!AE22</f>
        <v>0</v>
      </c>
      <c r="AG22" s="106">
        <f t="shared" si="7"/>
        <v>113559</v>
      </c>
      <c r="AH22" s="206">
        <v>3634416.5700000003</v>
      </c>
      <c r="AI22" s="207">
        <f t="shared" si="4"/>
        <v>7570612.4700000007</v>
      </c>
      <c r="AJ22" s="151">
        <f t="shared" si="2"/>
        <v>0.47000000067055225</v>
      </c>
    </row>
    <row r="23" spans="2:36" s="27" customFormat="1" ht="30.75" customHeight="1">
      <c r="B23" s="97">
        <v>18</v>
      </c>
      <c r="C23" s="98" t="s">
        <v>272</v>
      </c>
      <c r="D23" s="42" t="s">
        <v>273</v>
      </c>
      <c r="E23" s="43" t="s">
        <v>353</v>
      </c>
      <c r="F23" s="41" t="s">
        <v>274</v>
      </c>
      <c r="G23" s="107" t="s">
        <v>88</v>
      </c>
      <c r="H23" s="44" t="s">
        <v>38</v>
      </c>
      <c r="I23" s="45" t="s">
        <v>7</v>
      </c>
      <c r="J23" s="58" t="str">
        <f t="shared" si="3"/>
        <v>TER A</v>
      </c>
      <c r="K23" s="210">
        <v>3518666.57</v>
      </c>
      <c r="L23" s="101">
        <f t="shared" si="5"/>
        <v>30575.999999999996</v>
      </c>
      <c r="M23" s="46">
        <f>'[7]MAINTENANCE-2'!$AP28</f>
        <v>146560</v>
      </c>
      <c r="N23" s="46"/>
      <c r="O23" s="46"/>
      <c r="P23" s="46"/>
      <c r="Q23" s="101">
        <f>'[8]MAINTENANCE-2'!$X28</f>
        <v>65250</v>
      </c>
      <c r="R23" s="46"/>
      <c r="S23" s="101">
        <v>0</v>
      </c>
      <c r="T23" s="46"/>
      <c r="U23" s="46">
        <v>24000</v>
      </c>
      <c r="V23" s="46"/>
      <c r="W23" s="46"/>
      <c r="X23" s="46"/>
      <c r="Y23" s="46"/>
      <c r="Z23" s="46">
        <v>0</v>
      </c>
      <c r="AA23" s="101">
        <f>[9]MAINTENANCE!O27</f>
        <v>3731499.9</v>
      </c>
      <c r="AB23" s="46"/>
      <c r="AC23" s="62">
        <f t="shared" si="0"/>
        <v>7516552</v>
      </c>
      <c r="AD23" s="63">
        <f t="shared" si="1"/>
        <v>1.5000000000000001E-2</v>
      </c>
      <c r="AE23" s="106">
        <f t="shared" si="6"/>
        <v>112748</v>
      </c>
      <c r="AF23" s="106">
        <f>'[10]Feb''24'!AE23</f>
        <v>0</v>
      </c>
      <c r="AG23" s="106">
        <f t="shared" si="7"/>
        <v>112748</v>
      </c>
      <c r="AH23" s="206">
        <v>3607916.5700000003</v>
      </c>
      <c r="AI23" s="207">
        <f t="shared" si="4"/>
        <v>7516552.4700000007</v>
      </c>
      <c r="AJ23" s="151">
        <f t="shared" si="2"/>
        <v>0.47000000067055225</v>
      </c>
    </row>
    <row r="24" spans="2:36" s="27" customFormat="1" ht="30.75" customHeight="1">
      <c r="B24" s="97">
        <v>19</v>
      </c>
      <c r="C24" s="98" t="s">
        <v>275</v>
      </c>
      <c r="D24" s="42" t="s">
        <v>276</v>
      </c>
      <c r="E24" s="43" t="s">
        <v>354</v>
      </c>
      <c r="F24" s="41" t="s">
        <v>247</v>
      </c>
      <c r="G24" s="107" t="s">
        <v>88</v>
      </c>
      <c r="H24" s="44" t="s">
        <v>39</v>
      </c>
      <c r="I24" s="45" t="s">
        <v>11</v>
      </c>
      <c r="J24" s="58" t="str">
        <f t="shared" si="3"/>
        <v>TER B</v>
      </c>
      <c r="K24" s="210">
        <v>3518666.57</v>
      </c>
      <c r="L24" s="101">
        <f t="shared" si="5"/>
        <v>30575.999999999996</v>
      </c>
      <c r="M24" s="46">
        <f>'[7]MAINTENANCE-2'!$AP29</f>
        <v>148040</v>
      </c>
      <c r="N24" s="46"/>
      <c r="O24" s="46"/>
      <c r="P24" s="46"/>
      <c r="Q24" s="101">
        <f>'[8]MAINTENANCE-2'!$X29</f>
        <v>156600</v>
      </c>
      <c r="R24" s="46"/>
      <c r="S24" s="101">
        <v>568092.42000000004</v>
      </c>
      <c r="T24" s="46"/>
      <c r="U24" s="46">
        <v>61000</v>
      </c>
      <c r="V24" s="46"/>
      <c r="W24" s="46"/>
      <c r="X24" s="46"/>
      <c r="Y24" s="46"/>
      <c r="Z24" s="46">
        <v>0</v>
      </c>
      <c r="AA24" s="101">
        <f>[9]MAINTENANCE!O28</f>
        <v>3862999.9</v>
      </c>
      <c r="AB24" s="46"/>
      <c r="AC24" s="62">
        <f t="shared" si="0"/>
        <v>8345974</v>
      </c>
      <c r="AD24" s="63">
        <f t="shared" si="1"/>
        <v>0.01</v>
      </c>
      <c r="AE24" s="106">
        <f t="shared" si="6"/>
        <v>83459</v>
      </c>
      <c r="AF24" s="106">
        <f>'[10]Feb''24'!AE24</f>
        <v>0</v>
      </c>
      <c r="AG24" s="106">
        <f t="shared" si="7"/>
        <v>83459</v>
      </c>
      <c r="AH24" s="206">
        <v>4304358.99</v>
      </c>
      <c r="AI24" s="207">
        <f t="shared" si="4"/>
        <v>8345974.8900000006</v>
      </c>
      <c r="AJ24" s="151">
        <f t="shared" si="2"/>
        <v>0.89000000059604645</v>
      </c>
    </row>
    <row r="25" spans="2:36" s="27" customFormat="1" ht="30.75" customHeight="1">
      <c r="B25" s="97">
        <v>20</v>
      </c>
      <c r="C25" s="98" t="s">
        <v>277</v>
      </c>
      <c r="D25" s="42" t="s">
        <v>278</v>
      </c>
      <c r="E25" s="43" t="s">
        <v>355</v>
      </c>
      <c r="F25" s="41" t="s">
        <v>279</v>
      </c>
      <c r="G25" s="107" t="s">
        <v>88</v>
      </c>
      <c r="H25" s="44" t="s">
        <v>38</v>
      </c>
      <c r="I25" s="45" t="s">
        <v>7</v>
      </c>
      <c r="J25" s="58" t="str">
        <f t="shared" si="3"/>
        <v>TER A</v>
      </c>
      <c r="K25" s="210">
        <v>3518666.57</v>
      </c>
      <c r="L25" s="101">
        <f t="shared" si="5"/>
        <v>30575.999999999996</v>
      </c>
      <c r="M25" s="46">
        <f>'[7]MAINTENANCE-2'!$AP30</f>
        <v>147620</v>
      </c>
      <c r="N25" s="46"/>
      <c r="O25" s="46"/>
      <c r="P25" s="46"/>
      <c r="Q25" s="101">
        <f>'[8]MAINTENANCE-2'!$X30</f>
        <v>65250</v>
      </c>
      <c r="R25" s="46"/>
      <c r="S25" s="101">
        <v>31560.69</v>
      </c>
      <c r="T25" s="46"/>
      <c r="U25" s="46">
        <v>50500</v>
      </c>
      <c r="V25" s="46"/>
      <c r="W25" s="46"/>
      <c r="X25" s="46"/>
      <c r="Y25" s="46"/>
      <c r="Z25" s="46">
        <v>0</v>
      </c>
      <c r="AA25" s="101">
        <f>[9]MAINTENANCE!O29</f>
        <v>3757999.9</v>
      </c>
      <c r="AB25" s="46"/>
      <c r="AC25" s="62">
        <f t="shared" si="0"/>
        <v>7602173</v>
      </c>
      <c r="AD25" s="63">
        <f t="shared" si="1"/>
        <v>1.5000000000000001E-2</v>
      </c>
      <c r="AE25" s="106">
        <f t="shared" si="6"/>
        <v>114032</v>
      </c>
      <c r="AF25" s="106">
        <f>'[10]Feb''24'!AE25</f>
        <v>0</v>
      </c>
      <c r="AG25" s="106">
        <f t="shared" si="7"/>
        <v>114032</v>
      </c>
      <c r="AH25" s="206">
        <v>3665977.2600000002</v>
      </c>
      <c r="AI25" s="207">
        <f t="shared" si="4"/>
        <v>7602173.1600000001</v>
      </c>
      <c r="AJ25" s="151">
        <f t="shared" si="2"/>
        <v>0.16000000014901161</v>
      </c>
    </row>
    <row r="26" spans="2:36" s="27" customFormat="1" ht="30.75" customHeight="1">
      <c r="B26" s="97">
        <v>21</v>
      </c>
      <c r="C26" s="98" t="s">
        <v>280</v>
      </c>
      <c r="D26" s="42" t="s">
        <v>281</v>
      </c>
      <c r="E26" s="43" t="s">
        <v>356</v>
      </c>
      <c r="F26" s="41" t="s">
        <v>282</v>
      </c>
      <c r="G26" s="107" t="s">
        <v>88</v>
      </c>
      <c r="H26" s="44" t="s">
        <v>38</v>
      </c>
      <c r="I26" s="45" t="s">
        <v>7</v>
      </c>
      <c r="J26" s="58" t="str">
        <f t="shared" si="3"/>
        <v>TER A</v>
      </c>
      <c r="K26" s="210">
        <v>3518666.57</v>
      </c>
      <c r="L26" s="101">
        <f t="shared" si="5"/>
        <v>30575.999999999996</v>
      </c>
      <c r="M26" s="46">
        <f>'[7]MAINTENANCE-2'!$AP31</f>
        <v>147340</v>
      </c>
      <c r="N26" s="46"/>
      <c r="O26" s="46"/>
      <c r="P26" s="46"/>
      <c r="Q26" s="101">
        <f>'[8]MAINTENANCE-2'!$X31</f>
        <v>60750</v>
      </c>
      <c r="R26" s="46"/>
      <c r="S26" s="101">
        <v>0</v>
      </c>
      <c r="T26" s="46"/>
      <c r="U26" s="46">
        <v>43500</v>
      </c>
      <c r="V26" s="46"/>
      <c r="W26" s="46"/>
      <c r="X26" s="46"/>
      <c r="Y26" s="46"/>
      <c r="Z26" s="46">
        <v>-242666.66</v>
      </c>
      <c r="AA26" s="101">
        <f>[9]MAINTENANCE!O30</f>
        <v>3750999.9</v>
      </c>
      <c r="AB26" s="46"/>
      <c r="AC26" s="62">
        <f t="shared" si="0"/>
        <v>7309165</v>
      </c>
      <c r="AD26" s="63">
        <f t="shared" si="1"/>
        <v>1.2500000000000001E-2</v>
      </c>
      <c r="AE26" s="106">
        <f t="shared" si="6"/>
        <v>91364</v>
      </c>
      <c r="AF26" s="106">
        <f>'[10]Feb''24'!AE26</f>
        <v>0</v>
      </c>
      <c r="AG26" s="106">
        <f t="shared" si="7"/>
        <v>91364</v>
      </c>
      <c r="AH26" s="206">
        <v>3380249.91</v>
      </c>
      <c r="AI26" s="207">
        <f t="shared" si="4"/>
        <v>7309165.8100000005</v>
      </c>
      <c r="AJ26" s="151">
        <f t="shared" si="2"/>
        <v>0.81000000052154064</v>
      </c>
    </row>
    <row r="27" spans="2:36" s="27" customFormat="1" ht="30.75" customHeight="1">
      <c r="B27" s="97">
        <v>22</v>
      </c>
      <c r="C27" s="98" t="s">
        <v>357</v>
      </c>
      <c r="D27" s="42" t="s">
        <v>284</v>
      </c>
      <c r="E27" s="43" t="s">
        <v>358</v>
      </c>
      <c r="F27" s="41" t="s">
        <v>285</v>
      </c>
      <c r="G27" s="107" t="s">
        <v>88</v>
      </c>
      <c r="H27" s="44" t="s">
        <v>38</v>
      </c>
      <c r="I27" s="45" t="s">
        <v>7</v>
      </c>
      <c r="J27" s="58" t="str">
        <f t="shared" si="3"/>
        <v>TER A</v>
      </c>
      <c r="K27" s="210">
        <v>3518666.57</v>
      </c>
      <c r="L27" s="101">
        <f t="shared" si="5"/>
        <v>30575.999999999996</v>
      </c>
      <c r="M27" s="46">
        <f>'[7]MAINTENANCE-2'!$AP32</f>
        <v>146200</v>
      </c>
      <c r="N27" s="46"/>
      <c r="O27" s="46"/>
      <c r="P27" s="46"/>
      <c r="Q27" s="101">
        <f>'[8]MAINTENANCE-2'!$X32</f>
        <v>65250</v>
      </c>
      <c r="R27" s="46"/>
      <c r="S27" s="101">
        <v>0</v>
      </c>
      <c r="T27" s="46"/>
      <c r="U27" s="46">
        <v>15000</v>
      </c>
      <c r="V27" s="46"/>
      <c r="W27" s="46"/>
      <c r="X27" s="46"/>
      <c r="Y27" s="46"/>
      <c r="Z27" s="46">
        <v>0</v>
      </c>
      <c r="AA27" s="101">
        <f>[9]MAINTENANCE!O31</f>
        <v>3722499.9</v>
      </c>
      <c r="AB27" s="46"/>
      <c r="AC27" s="62">
        <f t="shared" si="0"/>
        <v>7498192</v>
      </c>
      <c r="AD27" s="63">
        <f t="shared" si="1"/>
        <v>1.2500000000000001E-2</v>
      </c>
      <c r="AE27" s="106">
        <f t="shared" si="6"/>
        <v>93727</v>
      </c>
      <c r="AF27" s="106">
        <f>'[10]Feb''24'!AE27</f>
        <v>0</v>
      </c>
      <c r="AG27" s="106">
        <f t="shared" si="7"/>
        <v>93727</v>
      </c>
      <c r="AH27" s="206">
        <v>3598916.5700000003</v>
      </c>
      <c r="AI27" s="207">
        <f t="shared" si="4"/>
        <v>7498192.4700000007</v>
      </c>
      <c r="AJ27" s="151">
        <f t="shared" si="2"/>
        <v>0.47000000067055225</v>
      </c>
    </row>
    <row r="28" spans="2:36" s="27" customFormat="1" ht="30.75" customHeight="1">
      <c r="B28" s="97">
        <v>23</v>
      </c>
      <c r="C28" s="98" t="s">
        <v>286</v>
      </c>
      <c r="D28" s="42" t="s">
        <v>287</v>
      </c>
      <c r="E28" s="209" t="s">
        <v>73</v>
      </c>
      <c r="F28" s="41" t="s">
        <v>288</v>
      </c>
      <c r="G28" s="107" t="s">
        <v>88</v>
      </c>
      <c r="H28" s="44" t="s">
        <v>38</v>
      </c>
      <c r="I28" s="45" t="s">
        <v>7</v>
      </c>
      <c r="J28" s="58" t="str">
        <f t="shared" si="3"/>
        <v>TER A</v>
      </c>
      <c r="K28" s="210">
        <v>3518666.57</v>
      </c>
      <c r="L28" s="101">
        <f t="shared" si="5"/>
        <v>30575.999999999996</v>
      </c>
      <c r="M28" s="46">
        <f>'[7]MAINTENANCE-2'!$AP33</f>
        <v>146200</v>
      </c>
      <c r="N28" s="46"/>
      <c r="O28" s="46"/>
      <c r="P28" s="46"/>
      <c r="Q28" s="101">
        <f>'[8]MAINTENANCE-2'!$X33</f>
        <v>65250</v>
      </c>
      <c r="R28" s="46"/>
      <c r="S28" s="101">
        <v>31560.69</v>
      </c>
      <c r="T28" s="46"/>
      <c r="U28" s="46">
        <v>15000</v>
      </c>
      <c r="V28" s="46"/>
      <c r="W28" s="46"/>
      <c r="X28" s="46"/>
      <c r="Y28" s="46"/>
      <c r="Z28" s="46">
        <v>0</v>
      </c>
      <c r="AA28" s="101">
        <f>[9]MAINTENANCE!O32</f>
        <v>3722499.9</v>
      </c>
      <c r="AB28" s="46"/>
      <c r="AC28" s="62">
        <f t="shared" si="0"/>
        <v>7529753</v>
      </c>
      <c r="AD28" s="63">
        <f t="shared" si="1"/>
        <v>1.5000000000000001E-2</v>
      </c>
      <c r="AE28" s="106">
        <f t="shared" si="6"/>
        <v>112946</v>
      </c>
      <c r="AF28" s="106">
        <f>'[10]Feb''24'!AE28</f>
        <v>0</v>
      </c>
      <c r="AG28" s="106">
        <f t="shared" si="7"/>
        <v>112946</v>
      </c>
      <c r="AH28" s="206">
        <v>3630477.2600000002</v>
      </c>
      <c r="AI28" s="207">
        <f t="shared" si="4"/>
        <v>7529753.1600000001</v>
      </c>
      <c r="AJ28" s="151">
        <f t="shared" si="2"/>
        <v>0.16000000014901161</v>
      </c>
    </row>
    <row r="29" spans="2:36" s="27" customFormat="1" ht="30.75" customHeight="1">
      <c r="B29" s="97">
        <v>24</v>
      </c>
      <c r="C29" s="98" t="s">
        <v>289</v>
      </c>
      <c r="D29" s="42" t="s">
        <v>290</v>
      </c>
      <c r="E29" s="209" t="s">
        <v>73</v>
      </c>
      <c r="F29" s="41" t="s">
        <v>291</v>
      </c>
      <c r="G29" s="107" t="s">
        <v>88</v>
      </c>
      <c r="H29" s="44" t="s">
        <v>38</v>
      </c>
      <c r="I29" s="45" t="s">
        <v>7</v>
      </c>
      <c r="J29" s="58" t="str">
        <f t="shared" si="3"/>
        <v>TER A</v>
      </c>
      <c r="K29" s="210">
        <v>3518666.57</v>
      </c>
      <c r="L29" s="101">
        <f t="shared" si="5"/>
        <v>30575.999999999996</v>
      </c>
      <c r="M29" s="46">
        <f>'[7]MAINTENANCE-2'!$AP34</f>
        <v>146200</v>
      </c>
      <c r="N29" s="46"/>
      <c r="O29" s="46"/>
      <c r="P29" s="46"/>
      <c r="Q29" s="101">
        <f>'[8]MAINTENANCE-2'!$X34</f>
        <v>65250</v>
      </c>
      <c r="R29" s="46"/>
      <c r="S29" s="101">
        <v>31560.69</v>
      </c>
      <c r="T29" s="46"/>
      <c r="U29" s="46">
        <v>15000</v>
      </c>
      <c r="V29" s="46"/>
      <c r="W29" s="46"/>
      <c r="X29" s="46"/>
      <c r="Y29" s="46"/>
      <c r="Z29" s="46">
        <v>0</v>
      </c>
      <c r="AA29" s="101">
        <f>[9]MAINTENANCE!O33</f>
        <v>3722499.9</v>
      </c>
      <c r="AB29" s="46"/>
      <c r="AC29" s="62">
        <f t="shared" si="0"/>
        <v>7529753</v>
      </c>
      <c r="AD29" s="63">
        <f t="shared" si="1"/>
        <v>1.5000000000000001E-2</v>
      </c>
      <c r="AE29" s="106">
        <f t="shared" si="6"/>
        <v>112946</v>
      </c>
      <c r="AF29" s="106">
        <f>'[10]Feb''24'!AE29</f>
        <v>0</v>
      </c>
      <c r="AG29" s="106">
        <f t="shared" si="7"/>
        <v>112946</v>
      </c>
      <c r="AH29" s="206">
        <v>3630477.2600000002</v>
      </c>
      <c r="AI29" s="207">
        <f t="shared" si="4"/>
        <v>7529753.1600000001</v>
      </c>
      <c r="AJ29" s="151">
        <f t="shared" si="2"/>
        <v>0.16000000014901161</v>
      </c>
    </row>
    <row r="30" spans="2:36" s="27" customFormat="1" ht="30.75" customHeight="1">
      <c r="B30" s="97">
        <v>25</v>
      </c>
      <c r="C30" s="98" t="s">
        <v>292</v>
      </c>
      <c r="D30" s="42" t="s">
        <v>293</v>
      </c>
      <c r="E30" s="43" t="s">
        <v>359</v>
      </c>
      <c r="F30" s="41" t="s">
        <v>294</v>
      </c>
      <c r="G30" s="107" t="s">
        <v>88</v>
      </c>
      <c r="H30" s="44" t="s">
        <v>38</v>
      </c>
      <c r="I30" s="45" t="s">
        <v>7</v>
      </c>
      <c r="J30" s="58" t="str">
        <f t="shared" si="3"/>
        <v>TER A</v>
      </c>
      <c r="K30" s="210">
        <v>3518666.57</v>
      </c>
      <c r="L30" s="101">
        <f t="shared" si="5"/>
        <v>30575.999999999996</v>
      </c>
      <c r="M30" s="46">
        <f>'[7]MAINTENANCE-2'!$AP35</f>
        <v>146200</v>
      </c>
      <c r="N30" s="46"/>
      <c r="O30" s="46"/>
      <c r="P30" s="46"/>
      <c r="Q30" s="101">
        <f>'[8]MAINTENANCE-2'!$X35</f>
        <v>65250</v>
      </c>
      <c r="R30" s="46"/>
      <c r="S30" s="101">
        <v>31560.69</v>
      </c>
      <c r="T30" s="46"/>
      <c r="U30" s="46">
        <v>15000</v>
      </c>
      <c r="V30" s="46"/>
      <c r="W30" s="46"/>
      <c r="X30" s="46"/>
      <c r="Y30" s="46"/>
      <c r="Z30" s="46">
        <v>0</v>
      </c>
      <c r="AA30" s="101">
        <f>[9]MAINTENANCE!O34</f>
        <v>3722499.9</v>
      </c>
      <c r="AB30" s="46"/>
      <c r="AC30" s="62">
        <f t="shared" si="0"/>
        <v>7529753</v>
      </c>
      <c r="AD30" s="63">
        <f t="shared" si="1"/>
        <v>1.5000000000000001E-2</v>
      </c>
      <c r="AE30" s="106">
        <f t="shared" si="6"/>
        <v>112946</v>
      </c>
      <c r="AF30" s="106">
        <f>'[10]Feb''24'!AE30</f>
        <v>0</v>
      </c>
      <c r="AG30" s="106">
        <f t="shared" si="7"/>
        <v>112946</v>
      </c>
      <c r="AH30" s="206">
        <v>3630477.2600000002</v>
      </c>
      <c r="AI30" s="207">
        <f t="shared" si="4"/>
        <v>7529753.1600000001</v>
      </c>
      <c r="AJ30" s="151">
        <f t="shared" si="2"/>
        <v>0.16000000014901161</v>
      </c>
    </row>
    <row r="31" spans="2:36" s="27" customFormat="1" ht="30.75" customHeight="1">
      <c r="B31" s="97">
        <v>26</v>
      </c>
      <c r="C31" s="98" t="s">
        <v>295</v>
      </c>
      <c r="D31" s="42" t="s">
        <v>296</v>
      </c>
      <c r="E31" s="43" t="s">
        <v>360</v>
      </c>
      <c r="F31" s="41" t="s">
        <v>297</v>
      </c>
      <c r="G31" s="107" t="s">
        <v>88</v>
      </c>
      <c r="H31" s="44" t="s">
        <v>39</v>
      </c>
      <c r="I31" s="45" t="s">
        <v>17</v>
      </c>
      <c r="J31" s="58" t="str">
        <f t="shared" si="3"/>
        <v>TER A</v>
      </c>
      <c r="K31" s="210">
        <v>3518666.57</v>
      </c>
      <c r="L31" s="101">
        <f t="shared" si="5"/>
        <v>30575.999999999996</v>
      </c>
      <c r="M31" s="46">
        <f>'[7]MAINTENANCE-2'!$AP36</f>
        <v>146920</v>
      </c>
      <c r="N31" s="46"/>
      <c r="O31" s="46"/>
      <c r="P31" s="46"/>
      <c r="Q31" s="101">
        <f>'[8]MAINTENANCE-2'!$X36</f>
        <v>100800</v>
      </c>
      <c r="R31" s="46"/>
      <c r="S31" s="101">
        <v>0</v>
      </c>
      <c r="T31" s="46"/>
      <c r="U31" s="46">
        <v>33000</v>
      </c>
      <c r="V31" s="46"/>
      <c r="W31" s="46"/>
      <c r="X31" s="46"/>
      <c r="Y31" s="46"/>
      <c r="Z31" s="46">
        <v>-121333.33</v>
      </c>
      <c r="AA31" s="101">
        <f>[9]MAINTENANCE!O35</f>
        <v>3780999.9</v>
      </c>
      <c r="AB31" s="46"/>
      <c r="AC31" s="62">
        <f t="shared" si="0"/>
        <v>7489629</v>
      </c>
      <c r="AD31" s="63">
        <f t="shared" si="1"/>
        <v>1.2500000000000001E-2</v>
      </c>
      <c r="AE31" s="106">
        <f t="shared" si="6"/>
        <v>93620</v>
      </c>
      <c r="AF31" s="106">
        <f>'[10]Feb''24'!AE31</f>
        <v>0</v>
      </c>
      <c r="AG31" s="106">
        <f t="shared" si="7"/>
        <v>93620</v>
      </c>
      <c r="AH31" s="206">
        <v>3531133.2399999993</v>
      </c>
      <c r="AI31" s="207">
        <f t="shared" si="4"/>
        <v>7489629.1399999987</v>
      </c>
      <c r="AJ31" s="151">
        <f t="shared" si="2"/>
        <v>0.1399999987334013</v>
      </c>
    </row>
    <row r="32" spans="2:36" s="27" customFormat="1" ht="30.75" customHeight="1">
      <c r="B32" s="97">
        <v>27</v>
      </c>
      <c r="C32" s="98" t="s">
        <v>298</v>
      </c>
      <c r="D32" s="42" t="s">
        <v>299</v>
      </c>
      <c r="E32" s="43" t="s">
        <v>361</v>
      </c>
      <c r="F32" s="41" t="s">
        <v>300</v>
      </c>
      <c r="G32" s="107" t="s">
        <v>88</v>
      </c>
      <c r="H32" s="44" t="s">
        <v>38</v>
      </c>
      <c r="I32" s="45" t="s">
        <v>7</v>
      </c>
      <c r="J32" s="58" t="str">
        <f t="shared" si="3"/>
        <v>TER A</v>
      </c>
      <c r="K32" s="210">
        <v>3518666.57</v>
      </c>
      <c r="L32" s="101">
        <f t="shared" si="5"/>
        <v>30575.999999999996</v>
      </c>
      <c r="M32" s="46">
        <f>'[7]MAINTENANCE-2'!$AP37</f>
        <v>147340</v>
      </c>
      <c r="N32" s="46"/>
      <c r="O32" s="46"/>
      <c r="P32" s="46"/>
      <c r="Q32" s="101">
        <f>'[8]MAINTENANCE-2'!$X37</f>
        <v>63000</v>
      </c>
      <c r="R32" s="46"/>
      <c r="S32" s="101">
        <v>0</v>
      </c>
      <c r="T32" s="46"/>
      <c r="U32" s="46">
        <v>43500</v>
      </c>
      <c r="V32" s="46"/>
      <c r="W32" s="46"/>
      <c r="X32" s="46"/>
      <c r="Y32" s="46"/>
      <c r="Z32" s="46">
        <v>-121333.33</v>
      </c>
      <c r="AA32" s="101">
        <f>[9]MAINTENANCE!O36</f>
        <v>3750999.9</v>
      </c>
      <c r="AB32" s="46"/>
      <c r="AC32" s="62">
        <f t="shared" si="0"/>
        <v>7432749</v>
      </c>
      <c r="AD32" s="63">
        <f t="shared" si="1"/>
        <v>1.2500000000000001E-2</v>
      </c>
      <c r="AE32" s="106">
        <f t="shared" si="6"/>
        <v>92909</v>
      </c>
      <c r="AF32" s="106">
        <f>'[10]Feb''24'!AE32</f>
        <v>0</v>
      </c>
      <c r="AG32" s="106">
        <f t="shared" si="7"/>
        <v>92909</v>
      </c>
      <c r="AH32" s="206">
        <v>3503833.24</v>
      </c>
      <c r="AI32" s="207">
        <f t="shared" si="4"/>
        <v>7432749.1400000006</v>
      </c>
      <c r="AJ32" s="151">
        <f t="shared" si="2"/>
        <v>0.14000000059604645</v>
      </c>
    </row>
    <row r="33" spans="2:36" s="27" customFormat="1" ht="30.75" customHeight="1">
      <c r="B33" s="97">
        <v>28</v>
      </c>
      <c r="C33" s="98" t="s">
        <v>301</v>
      </c>
      <c r="D33" s="42" t="s">
        <v>302</v>
      </c>
      <c r="E33" s="43" t="s">
        <v>362</v>
      </c>
      <c r="F33" s="41" t="s">
        <v>303</v>
      </c>
      <c r="G33" s="107" t="s">
        <v>88</v>
      </c>
      <c r="H33" s="44" t="s">
        <v>39</v>
      </c>
      <c r="I33" s="45" t="s">
        <v>11</v>
      </c>
      <c r="J33" s="58" t="str">
        <f t="shared" si="3"/>
        <v>TER B</v>
      </c>
      <c r="K33" s="210">
        <v>3518666.57</v>
      </c>
      <c r="L33" s="101">
        <f t="shared" si="5"/>
        <v>30575.999999999996</v>
      </c>
      <c r="M33" s="46">
        <f>'[7]MAINTENANCE-2'!$AP38</f>
        <v>147480</v>
      </c>
      <c r="N33" s="46"/>
      <c r="O33" s="46"/>
      <c r="P33" s="46"/>
      <c r="Q33" s="101">
        <f>'[8]MAINTENANCE-2'!$X38</f>
        <v>145800</v>
      </c>
      <c r="R33" s="46"/>
      <c r="S33" s="101">
        <v>0</v>
      </c>
      <c r="T33" s="46"/>
      <c r="U33" s="46">
        <v>47000</v>
      </c>
      <c r="V33" s="46"/>
      <c r="W33" s="46"/>
      <c r="X33" s="46"/>
      <c r="Y33" s="46"/>
      <c r="Z33" s="46">
        <v>-242666.66</v>
      </c>
      <c r="AA33" s="101">
        <f>[9]MAINTENANCE!O37</f>
        <v>3848999.9</v>
      </c>
      <c r="AB33" s="46"/>
      <c r="AC33" s="62">
        <f t="shared" si="0"/>
        <v>7495855</v>
      </c>
      <c r="AD33" s="63">
        <f t="shared" si="1"/>
        <v>0.01</v>
      </c>
      <c r="AE33" s="106">
        <f t="shared" si="6"/>
        <v>74958</v>
      </c>
      <c r="AF33" s="106">
        <f>'[10]Feb''24'!AE33</f>
        <v>0</v>
      </c>
      <c r="AG33" s="106">
        <f t="shared" si="7"/>
        <v>74958</v>
      </c>
      <c r="AH33" s="206">
        <v>3468799.91</v>
      </c>
      <c r="AI33" s="207">
        <f t="shared" si="4"/>
        <v>7495855.8100000005</v>
      </c>
      <c r="AJ33" s="151">
        <f t="shared" si="2"/>
        <v>0.81000000052154064</v>
      </c>
    </row>
    <row r="34" spans="2:36" s="27" customFormat="1" ht="30.75" customHeight="1">
      <c r="B34" s="97">
        <v>29</v>
      </c>
      <c r="C34" s="98" t="s">
        <v>304</v>
      </c>
      <c r="D34" s="42" t="s">
        <v>305</v>
      </c>
      <c r="E34" s="209" t="s">
        <v>73</v>
      </c>
      <c r="F34" s="41" t="s">
        <v>306</v>
      </c>
      <c r="G34" s="107" t="s">
        <v>88</v>
      </c>
      <c r="H34" s="44" t="s">
        <v>39</v>
      </c>
      <c r="I34" s="45" t="s">
        <v>11</v>
      </c>
      <c r="J34" s="58" t="str">
        <f t="shared" si="3"/>
        <v>TER B</v>
      </c>
      <c r="K34" s="210">
        <v>3518666.57</v>
      </c>
      <c r="L34" s="101">
        <f t="shared" si="5"/>
        <v>30575.999999999996</v>
      </c>
      <c r="M34" s="46">
        <f>'[7]MAINTENANCE-2'!$AP39</f>
        <v>146440</v>
      </c>
      <c r="N34" s="46"/>
      <c r="O34" s="46"/>
      <c r="P34" s="46"/>
      <c r="Q34" s="101">
        <f>'[8]MAINTENANCE-2'!$X39</f>
        <v>145800</v>
      </c>
      <c r="R34" s="46"/>
      <c r="S34" s="101">
        <v>0</v>
      </c>
      <c r="T34" s="46"/>
      <c r="U34" s="46">
        <v>21000</v>
      </c>
      <c r="V34" s="46"/>
      <c r="W34" s="46"/>
      <c r="X34" s="46"/>
      <c r="Y34" s="46"/>
      <c r="Z34" s="46">
        <v>-242666.66</v>
      </c>
      <c r="AA34" s="101">
        <f>[9]MAINTENANCE!O38</f>
        <v>3822999.9</v>
      </c>
      <c r="AB34" s="46"/>
      <c r="AC34" s="62">
        <f t="shared" si="0"/>
        <v>7442815</v>
      </c>
      <c r="AD34" s="63">
        <f t="shared" si="1"/>
        <v>0.01</v>
      </c>
      <c r="AE34" s="106">
        <f t="shared" si="6"/>
        <v>74428</v>
      </c>
      <c r="AF34" s="106">
        <f>'[10]Feb''24'!AE34</f>
        <v>0</v>
      </c>
      <c r="AG34" s="106">
        <f t="shared" si="7"/>
        <v>74428</v>
      </c>
      <c r="AH34" s="206">
        <v>3442799.91</v>
      </c>
      <c r="AI34" s="207">
        <f t="shared" si="4"/>
        <v>7442815.8100000005</v>
      </c>
      <c r="AJ34" s="151">
        <f t="shared" si="2"/>
        <v>0.81000000052154064</v>
      </c>
    </row>
    <row r="35" spans="2:36" s="27" customFormat="1" ht="30.75" customHeight="1">
      <c r="B35" s="97">
        <v>30</v>
      </c>
      <c r="C35" s="98" t="s">
        <v>307</v>
      </c>
      <c r="D35" s="42" t="s">
        <v>308</v>
      </c>
      <c r="E35" s="43" t="s">
        <v>363</v>
      </c>
      <c r="F35" s="41" t="s">
        <v>309</v>
      </c>
      <c r="G35" s="107" t="s">
        <v>88</v>
      </c>
      <c r="H35" s="44" t="s">
        <v>38</v>
      </c>
      <c r="I35" s="45" t="s">
        <v>7</v>
      </c>
      <c r="J35" s="58" t="str">
        <f t="shared" si="3"/>
        <v>TER A</v>
      </c>
      <c r="K35" s="210">
        <v>3518666.57</v>
      </c>
      <c r="L35" s="101">
        <f t="shared" si="5"/>
        <v>30575.999999999996</v>
      </c>
      <c r="M35" s="46">
        <f>'[7]MAINTENANCE-2'!$AP40</f>
        <v>146200</v>
      </c>
      <c r="N35" s="46"/>
      <c r="O35" s="46"/>
      <c r="P35" s="46"/>
      <c r="Q35" s="101">
        <f>'[8]MAINTENANCE-2'!$X40</f>
        <v>63000</v>
      </c>
      <c r="R35" s="46"/>
      <c r="S35" s="101">
        <v>0</v>
      </c>
      <c r="T35" s="46"/>
      <c r="U35" s="46">
        <v>15000</v>
      </c>
      <c r="V35" s="46"/>
      <c r="W35" s="46"/>
      <c r="X35" s="46"/>
      <c r="Y35" s="46"/>
      <c r="Z35" s="46">
        <v>-121333.33</v>
      </c>
      <c r="AA35" s="101">
        <f>[9]MAINTENANCE!O39</f>
        <v>3722499.9</v>
      </c>
      <c r="AB35" s="46"/>
      <c r="AC35" s="62">
        <f t="shared" si="0"/>
        <v>7374609</v>
      </c>
      <c r="AD35" s="63">
        <f t="shared" si="1"/>
        <v>1.2500000000000001E-2</v>
      </c>
      <c r="AE35" s="106">
        <f t="shared" si="6"/>
        <v>92182</v>
      </c>
      <c r="AF35" s="106">
        <f>'[10]Feb''24'!AE35</f>
        <v>0</v>
      </c>
      <c r="AG35" s="106">
        <f t="shared" si="7"/>
        <v>92182</v>
      </c>
      <c r="AH35" s="206">
        <v>3475333.24</v>
      </c>
      <c r="AI35" s="207">
        <f t="shared" si="4"/>
        <v>7374609.1400000006</v>
      </c>
      <c r="AJ35" s="151">
        <f t="shared" si="2"/>
        <v>0.14000000059604645</v>
      </c>
    </row>
    <row r="36" spans="2:36" s="27" customFormat="1" ht="30.75" customHeight="1">
      <c r="B36" s="97">
        <v>31</v>
      </c>
      <c r="C36" s="98" t="s">
        <v>313</v>
      </c>
      <c r="D36" s="42" t="s">
        <v>314</v>
      </c>
      <c r="E36" s="43" t="s">
        <v>364</v>
      </c>
      <c r="F36" s="41" t="s">
        <v>315</v>
      </c>
      <c r="G36" s="107" t="s">
        <v>88</v>
      </c>
      <c r="H36" s="44" t="s">
        <v>38</v>
      </c>
      <c r="I36" s="45" t="s">
        <v>7</v>
      </c>
      <c r="J36" s="58" t="str">
        <f t="shared" si="3"/>
        <v>TER A</v>
      </c>
      <c r="K36" s="210">
        <v>3518666.57</v>
      </c>
      <c r="L36" s="101">
        <f t="shared" si="5"/>
        <v>30575.999999999996</v>
      </c>
      <c r="M36" s="46">
        <f>'[7]MAINTENANCE-2'!$AP41</f>
        <v>147480</v>
      </c>
      <c r="N36" s="46"/>
      <c r="O36" s="46"/>
      <c r="P36" s="46"/>
      <c r="Q36" s="101">
        <f>'[8]MAINTENANCE-2'!$X41</f>
        <v>65250</v>
      </c>
      <c r="R36" s="46"/>
      <c r="S36" s="101">
        <v>0</v>
      </c>
      <c r="T36" s="46"/>
      <c r="U36" s="46">
        <v>47000</v>
      </c>
      <c r="V36" s="46"/>
      <c r="W36" s="46"/>
      <c r="X36" s="46"/>
      <c r="Y36" s="46"/>
      <c r="Z36" s="46"/>
      <c r="AA36" s="101">
        <f>[9]MAINTENANCE!O40</f>
        <v>3754499.9</v>
      </c>
      <c r="AB36" s="46"/>
      <c r="AC36" s="62">
        <f t="shared" si="0"/>
        <v>7563472</v>
      </c>
      <c r="AD36" s="63">
        <f t="shared" si="1"/>
        <v>1.5000000000000001E-2</v>
      </c>
      <c r="AE36" s="106">
        <f t="shared" si="6"/>
        <v>113452</v>
      </c>
      <c r="AF36" s="106">
        <f>'[10]Feb''24'!AE36</f>
        <v>0</v>
      </c>
      <c r="AG36" s="106">
        <f t="shared" si="7"/>
        <v>113452</v>
      </c>
      <c r="AH36" s="206">
        <v>3630916.57</v>
      </c>
      <c r="AI36" s="207">
        <f t="shared" si="4"/>
        <v>7563472.4699999997</v>
      </c>
      <c r="AJ36" s="151">
        <f t="shared" si="2"/>
        <v>0.46999999973922968</v>
      </c>
    </row>
    <row r="37" spans="2:36" s="27" customFormat="1" ht="30.75" customHeight="1">
      <c r="B37" s="97">
        <v>32</v>
      </c>
      <c r="C37" s="98" t="s">
        <v>365</v>
      </c>
      <c r="D37" s="42" t="s">
        <v>366</v>
      </c>
      <c r="E37" s="43" t="s">
        <v>367</v>
      </c>
      <c r="F37" s="41" t="s">
        <v>368</v>
      </c>
      <c r="G37" s="107" t="s">
        <v>88</v>
      </c>
      <c r="H37" s="44" t="s">
        <v>369</v>
      </c>
      <c r="I37" s="45" t="s">
        <v>11</v>
      </c>
      <c r="J37" s="58" t="str">
        <f t="shared" si="3"/>
        <v>TER B</v>
      </c>
      <c r="K37" s="60">
        <v>3591166.57</v>
      </c>
      <c r="L37" s="101">
        <f>3715000*0.84%</f>
        <v>31205.999999999996</v>
      </c>
      <c r="M37" s="101">
        <f>'[7]MAINTENANCE-2'!$AP42</f>
        <v>150340</v>
      </c>
      <c r="N37" s="46"/>
      <c r="O37" s="101"/>
      <c r="P37" s="101"/>
      <c r="Q37" s="101">
        <f>'[8]MAINTENANCE-2'!$X42</f>
        <v>151200</v>
      </c>
      <c r="R37" s="46"/>
      <c r="S37" s="101">
        <v>257787.86</v>
      </c>
      <c r="T37" s="46"/>
      <c r="U37" s="46">
        <v>43500</v>
      </c>
      <c r="V37" s="46"/>
      <c r="W37" s="46"/>
      <c r="X37" s="46"/>
      <c r="Y37" s="46"/>
      <c r="Z37" s="46">
        <v>-123833.33</v>
      </c>
      <c r="AA37" s="101">
        <f>[9]MAINTENANCE!O41</f>
        <v>3920499.9</v>
      </c>
      <c r="AB37" s="46"/>
      <c r="AC37" s="62">
        <f t="shared" si="0"/>
        <v>8021867</v>
      </c>
      <c r="AD37" s="63">
        <f t="shared" si="1"/>
        <v>0.01</v>
      </c>
      <c r="AE37" s="106">
        <f t="shared" si="6"/>
        <v>80218</v>
      </c>
      <c r="AF37" s="106">
        <f>'[10]Feb''24'!AE37</f>
        <v>0</v>
      </c>
      <c r="AG37" s="106">
        <f t="shared" si="7"/>
        <v>80218</v>
      </c>
      <c r="AH37" s="206">
        <v>3919821.1</v>
      </c>
      <c r="AI37" s="207">
        <f t="shared" si="4"/>
        <v>8021867</v>
      </c>
      <c r="AJ37" s="151">
        <f t="shared" si="2"/>
        <v>0</v>
      </c>
    </row>
    <row r="38" spans="2:36" s="27" customFormat="1" ht="30.75" customHeight="1">
      <c r="B38" s="97">
        <v>33</v>
      </c>
      <c r="C38" s="98" t="s">
        <v>316</v>
      </c>
      <c r="D38" s="42" t="s">
        <v>317</v>
      </c>
      <c r="E38" s="43" t="s">
        <v>370</v>
      </c>
      <c r="F38" s="41" t="s">
        <v>318</v>
      </c>
      <c r="G38" s="107" t="s">
        <v>87</v>
      </c>
      <c r="H38" s="44" t="s">
        <v>39</v>
      </c>
      <c r="I38" s="45" t="s">
        <v>9</v>
      </c>
      <c r="J38" s="58" t="str">
        <f t="shared" si="3"/>
        <v>TER B</v>
      </c>
      <c r="K38" s="210">
        <v>3518666.57</v>
      </c>
      <c r="L38" s="46">
        <f>3640000*0.84%</f>
        <v>30575.999999999996</v>
      </c>
      <c r="M38" s="46">
        <f>[7]TRANSPORT!$AJ11</f>
        <v>147340</v>
      </c>
      <c r="N38" s="46">
        <v>1367270</v>
      </c>
      <c r="O38" s="46"/>
      <c r="P38" s="46"/>
      <c r="Q38" s="46">
        <f>[8]TRANSPORT!$T11</f>
        <v>130500</v>
      </c>
      <c r="R38" s="46">
        <v>63000</v>
      </c>
      <c r="S38" s="101">
        <v>915260.01</v>
      </c>
      <c r="T38" s="46"/>
      <c r="U38" s="46">
        <v>43500</v>
      </c>
      <c r="V38" s="46"/>
      <c r="W38" s="46"/>
      <c r="X38" s="46"/>
      <c r="Y38" s="46"/>
      <c r="Z38" s="46"/>
      <c r="AA38" s="101">
        <v>3821999.9</v>
      </c>
      <c r="AB38" s="46"/>
      <c r="AC38" s="62">
        <f t="shared" si="0"/>
        <v>10038112</v>
      </c>
      <c r="AD38" s="63">
        <f t="shared" ref="AD38:AD43" si="8">IF(J38="TER A",VLOOKUP(AC38,Ter_A,4,TRUE),IF(J38="TER B",VLOOKUP(AC38,Ter_B,4,TRUE),VLOOKUP(AC38,Ter_C,4,TRUE)))</f>
        <v>1.4999999999999999E-2</v>
      </c>
      <c r="AE38" s="106">
        <f t="shared" si="6"/>
        <v>150571</v>
      </c>
      <c r="AF38" s="106">
        <f>'[10]Feb''24'!AE38</f>
        <v>15540</v>
      </c>
      <c r="AG38" s="106">
        <f t="shared" si="7"/>
        <v>135031</v>
      </c>
      <c r="AH38" s="92">
        <v>6038196.5800000001</v>
      </c>
      <c r="AI38" s="207">
        <f t="shared" si="4"/>
        <v>10038112.48</v>
      </c>
      <c r="AJ38" s="151">
        <f t="shared" si="2"/>
        <v>0.48000000044703484</v>
      </c>
    </row>
    <row r="39" spans="2:36" s="27" customFormat="1" ht="30.75" customHeight="1">
      <c r="B39" s="97">
        <v>34</v>
      </c>
      <c r="C39" s="98" t="s">
        <v>319</v>
      </c>
      <c r="D39" s="42" t="s">
        <v>320</v>
      </c>
      <c r="E39" s="43" t="s">
        <v>371</v>
      </c>
      <c r="F39" s="41" t="s">
        <v>321</v>
      </c>
      <c r="G39" s="107" t="s">
        <v>372</v>
      </c>
      <c r="H39" s="44" t="s">
        <v>39</v>
      </c>
      <c r="I39" s="45" t="s">
        <v>9</v>
      </c>
      <c r="J39" s="58" t="str">
        <f t="shared" si="3"/>
        <v>TER B</v>
      </c>
      <c r="K39" s="210">
        <v>3518666.57</v>
      </c>
      <c r="L39" s="46">
        <f t="shared" ref="L39:L43" si="9">3640000*0.84%</f>
        <v>30575.999999999996</v>
      </c>
      <c r="M39" s="46">
        <f>[7]TRANSPORT!$AJ12</f>
        <v>146800</v>
      </c>
      <c r="N39" s="46">
        <v>1155090</v>
      </c>
      <c r="O39" s="46"/>
      <c r="P39" s="46"/>
      <c r="Q39" s="46">
        <f>[8]TRANSPORT!$T12</f>
        <v>130500</v>
      </c>
      <c r="R39" s="46">
        <v>40000</v>
      </c>
      <c r="S39" s="46">
        <v>925780.24</v>
      </c>
      <c r="T39" s="46"/>
      <c r="U39" s="46">
        <v>30000</v>
      </c>
      <c r="V39" s="46"/>
      <c r="W39" s="46"/>
      <c r="X39" s="46"/>
      <c r="Y39" s="46"/>
      <c r="Z39" s="46"/>
      <c r="AA39" s="101">
        <v>3804999.9</v>
      </c>
      <c r="AB39" s="46"/>
      <c r="AC39" s="62">
        <f t="shared" si="0"/>
        <v>9782412</v>
      </c>
      <c r="AD39" s="63">
        <f t="shared" si="8"/>
        <v>1.4999999999999999E-2</v>
      </c>
      <c r="AE39" s="106">
        <f t="shared" si="6"/>
        <v>146736</v>
      </c>
      <c r="AF39" s="106">
        <f>'[10]Feb''24'!AE39</f>
        <v>0</v>
      </c>
      <c r="AG39" s="106">
        <f t="shared" si="7"/>
        <v>146736</v>
      </c>
      <c r="AH39" s="92">
        <v>5800036.8100000005</v>
      </c>
      <c r="AI39" s="207">
        <f t="shared" si="4"/>
        <v>9782412.7100000009</v>
      </c>
      <c r="AJ39" s="151">
        <f t="shared" si="2"/>
        <v>0.71000000089406967</v>
      </c>
    </row>
    <row r="40" spans="2:36" s="27" customFormat="1" ht="30.75" customHeight="1">
      <c r="B40" s="97">
        <v>35</v>
      </c>
      <c r="C40" s="98" t="s">
        <v>322</v>
      </c>
      <c r="D40" s="42" t="s">
        <v>323</v>
      </c>
      <c r="E40" s="43" t="s">
        <v>373</v>
      </c>
      <c r="F40" s="41" t="s">
        <v>223</v>
      </c>
      <c r="G40" s="107" t="s">
        <v>87</v>
      </c>
      <c r="H40" s="44" t="s">
        <v>39</v>
      </c>
      <c r="I40" s="45" t="s">
        <v>11</v>
      </c>
      <c r="J40" s="58" t="str">
        <f t="shared" si="3"/>
        <v>TER B</v>
      </c>
      <c r="K40" s="210">
        <v>3518666.57</v>
      </c>
      <c r="L40" s="46">
        <f t="shared" si="9"/>
        <v>30575.999999999996</v>
      </c>
      <c r="M40" s="46">
        <f>[7]TRANSPORT!$AJ13</f>
        <v>148040</v>
      </c>
      <c r="N40" s="46">
        <v>1406825</v>
      </c>
      <c r="O40" s="46"/>
      <c r="P40" s="46"/>
      <c r="Q40" s="46">
        <f>[8]TRANSPORT!$T13</f>
        <v>156600</v>
      </c>
      <c r="R40" s="46">
        <v>66000</v>
      </c>
      <c r="S40" s="46">
        <v>1031422.54</v>
      </c>
      <c r="T40" s="46"/>
      <c r="U40" s="46">
        <v>61000</v>
      </c>
      <c r="V40" s="46"/>
      <c r="W40" s="46"/>
      <c r="X40" s="46"/>
      <c r="Y40" s="46"/>
      <c r="Z40" s="46"/>
      <c r="AA40" s="101">
        <v>3862999.9</v>
      </c>
      <c r="AB40" s="46"/>
      <c r="AC40" s="62">
        <f t="shared" si="0"/>
        <v>10282130</v>
      </c>
      <c r="AD40" s="63">
        <f t="shared" si="8"/>
        <v>1.4999999999999999E-2</v>
      </c>
      <c r="AE40" s="106">
        <f t="shared" si="6"/>
        <v>154231</v>
      </c>
      <c r="AF40" s="106">
        <f>'[10]Feb''24'!AE40</f>
        <v>16047</v>
      </c>
      <c r="AG40" s="106">
        <f t="shared" si="7"/>
        <v>138184</v>
      </c>
      <c r="AH40" s="92">
        <v>6240514.1100000003</v>
      </c>
      <c r="AI40" s="207">
        <f t="shared" si="4"/>
        <v>10282130.01</v>
      </c>
      <c r="AJ40" s="151">
        <f t="shared" si="2"/>
        <v>9.9999997764825821E-3</v>
      </c>
    </row>
    <row r="41" spans="2:36" s="27" customFormat="1" ht="30.75" customHeight="1">
      <c r="B41" s="97">
        <v>36</v>
      </c>
      <c r="C41" s="98" t="s">
        <v>324</v>
      </c>
      <c r="D41" s="42" t="s">
        <v>325</v>
      </c>
      <c r="E41" s="43" t="s">
        <v>374</v>
      </c>
      <c r="F41" s="41" t="s">
        <v>223</v>
      </c>
      <c r="G41" s="107" t="s">
        <v>372</v>
      </c>
      <c r="H41" s="44" t="s">
        <v>39</v>
      </c>
      <c r="I41" s="45" t="s">
        <v>11</v>
      </c>
      <c r="J41" s="58" t="str">
        <f t="shared" si="3"/>
        <v>TER B</v>
      </c>
      <c r="K41" s="210">
        <v>3518666.57</v>
      </c>
      <c r="L41" s="46">
        <f t="shared" si="9"/>
        <v>30575.999999999996</v>
      </c>
      <c r="M41" s="46">
        <f>[7]TRANSPORT!$AJ14</f>
        <v>148040</v>
      </c>
      <c r="N41" s="46">
        <v>1238825</v>
      </c>
      <c r="O41" s="46"/>
      <c r="P41" s="46"/>
      <c r="Q41" s="46">
        <f>[8]TRANSPORT!$T14</f>
        <v>156600</v>
      </c>
      <c r="R41" s="46">
        <v>42000</v>
      </c>
      <c r="S41" s="46">
        <v>957340.93</v>
      </c>
      <c r="T41" s="46"/>
      <c r="U41" s="46">
        <v>61000</v>
      </c>
      <c r="V41" s="46"/>
      <c r="W41" s="46"/>
      <c r="X41" s="46"/>
      <c r="Y41" s="46"/>
      <c r="Z41" s="46"/>
      <c r="AA41" s="101">
        <v>3862999.9</v>
      </c>
      <c r="AB41" s="46"/>
      <c r="AC41" s="62">
        <f t="shared" si="0"/>
        <v>10016048</v>
      </c>
      <c r="AD41" s="63">
        <f t="shared" si="8"/>
        <v>1.4999999999999999E-2</v>
      </c>
      <c r="AE41" s="106">
        <f t="shared" si="6"/>
        <v>150240</v>
      </c>
      <c r="AF41" s="106">
        <f>'[10]Feb''24'!AE41</f>
        <v>0</v>
      </c>
      <c r="AG41" s="106">
        <f t="shared" si="7"/>
        <v>150240</v>
      </c>
      <c r="AH41" s="92">
        <v>5974432.5</v>
      </c>
      <c r="AI41" s="207">
        <f t="shared" si="4"/>
        <v>10016048.4</v>
      </c>
      <c r="AJ41" s="151">
        <f t="shared" si="2"/>
        <v>0.40000000037252903</v>
      </c>
    </row>
    <row r="42" spans="2:36" s="27" customFormat="1" ht="30.75" customHeight="1">
      <c r="B42" s="97">
        <v>37</v>
      </c>
      <c r="C42" s="98" t="s">
        <v>209</v>
      </c>
      <c r="D42" s="42" t="s">
        <v>210</v>
      </c>
      <c r="E42" s="209" t="s">
        <v>73</v>
      </c>
      <c r="F42" s="41" t="s">
        <v>211</v>
      </c>
      <c r="G42" s="107" t="s">
        <v>375</v>
      </c>
      <c r="H42" s="44" t="s">
        <v>39</v>
      </c>
      <c r="I42" s="45" t="s">
        <v>9</v>
      </c>
      <c r="J42" s="58" t="str">
        <f t="shared" si="3"/>
        <v>TER B</v>
      </c>
      <c r="K42" s="210">
        <v>3518666.57</v>
      </c>
      <c r="L42" s="46">
        <f t="shared" si="9"/>
        <v>30575.999999999996</v>
      </c>
      <c r="M42" s="46">
        <f>[7]HARVESTING!$AS11</f>
        <v>146100</v>
      </c>
      <c r="N42" s="46"/>
      <c r="O42" s="46"/>
      <c r="P42" s="46">
        <v>147000</v>
      </c>
      <c r="Q42" s="46">
        <f>[8]HARVESTING!$X11</f>
        <v>130500</v>
      </c>
      <c r="R42" s="46"/>
      <c r="S42" s="46"/>
      <c r="T42" s="46"/>
      <c r="U42" s="46">
        <v>12500</v>
      </c>
      <c r="V42" s="46">
        <v>94290</v>
      </c>
      <c r="W42" s="46"/>
      <c r="X42" s="46"/>
      <c r="Y42" s="46"/>
      <c r="Z42" s="46"/>
      <c r="AA42" s="46">
        <v>3787499.9</v>
      </c>
      <c r="AB42" s="46"/>
      <c r="AC42" s="62">
        <f t="shared" si="0"/>
        <v>7867132</v>
      </c>
      <c r="AD42" s="63">
        <f t="shared" si="8"/>
        <v>0.01</v>
      </c>
      <c r="AE42" s="106">
        <f t="shared" si="6"/>
        <v>78671</v>
      </c>
      <c r="AF42" s="106">
        <f>'[10]Feb''24'!AE42</f>
        <v>0</v>
      </c>
      <c r="AG42" s="106">
        <f t="shared" si="7"/>
        <v>78671</v>
      </c>
      <c r="AH42" s="92">
        <v>3902956.5700000003</v>
      </c>
      <c r="AI42" s="207">
        <f t="shared" si="4"/>
        <v>7867132.4700000007</v>
      </c>
      <c r="AJ42" s="151">
        <f t="shared" si="2"/>
        <v>0.47000000067055225</v>
      </c>
    </row>
    <row r="43" spans="2:36" s="27" customFormat="1" ht="30.75" customHeight="1">
      <c r="B43" s="97">
        <v>38</v>
      </c>
      <c r="C43" s="98" t="s">
        <v>212</v>
      </c>
      <c r="D43" s="42" t="s">
        <v>213</v>
      </c>
      <c r="E43" s="209" t="s">
        <v>73</v>
      </c>
      <c r="F43" s="41" t="s">
        <v>214</v>
      </c>
      <c r="G43" s="107" t="s">
        <v>375</v>
      </c>
      <c r="H43" s="44" t="s">
        <v>39</v>
      </c>
      <c r="I43" s="45" t="s">
        <v>9</v>
      </c>
      <c r="J43" s="58" t="str">
        <f t="shared" si="3"/>
        <v>TER B</v>
      </c>
      <c r="K43" s="210">
        <v>3518666.57</v>
      </c>
      <c r="L43" s="46">
        <f t="shared" si="9"/>
        <v>30575.999999999996</v>
      </c>
      <c r="M43" s="46">
        <f>[7]HARVESTING!$AS12</f>
        <v>146100</v>
      </c>
      <c r="N43" s="46"/>
      <c r="O43" s="46">
        <v>305747</v>
      </c>
      <c r="P43" s="46">
        <v>152250</v>
      </c>
      <c r="Q43" s="46">
        <f>[8]HARVESTING!$X12</f>
        <v>130500</v>
      </c>
      <c r="R43" s="46"/>
      <c r="S43" s="46"/>
      <c r="T43" s="46"/>
      <c r="U43" s="46">
        <v>12500</v>
      </c>
      <c r="V43" s="46">
        <v>347550</v>
      </c>
      <c r="W43" s="46"/>
      <c r="X43" s="46"/>
      <c r="Y43" s="46"/>
      <c r="Z43" s="46"/>
      <c r="AA43" s="46">
        <v>3787499.9</v>
      </c>
      <c r="AB43" s="46"/>
      <c r="AC43" s="62">
        <f t="shared" si="0"/>
        <v>8431389</v>
      </c>
      <c r="AD43" s="63">
        <f t="shared" si="8"/>
        <v>0.01</v>
      </c>
      <c r="AE43" s="106">
        <f t="shared" si="6"/>
        <v>84313</v>
      </c>
      <c r="AF43" s="106">
        <f>'[10]Feb''24'!AE43</f>
        <v>0</v>
      </c>
      <c r="AG43" s="106">
        <f t="shared" si="7"/>
        <v>84313</v>
      </c>
      <c r="AH43" s="92">
        <v>4467213.57</v>
      </c>
      <c r="AI43" s="207">
        <f t="shared" si="4"/>
        <v>8431389.4700000007</v>
      </c>
      <c r="AJ43" s="151">
        <f t="shared" si="2"/>
        <v>0.47000000067055225</v>
      </c>
    </row>
    <row r="44" spans="2:36" s="27" customFormat="1" ht="13.5" thickBot="1">
      <c r="B44" s="97"/>
      <c r="C44" s="98"/>
      <c r="D44" s="42"/>
      <c r="E44" s="43"/>
      <c r="F44" s="41"/>
      <c r="G44" s="107"/>
      <c r="H44" s="44"/>
      <c r="I44" s="45"/>
      <c r="J44" s="58"/>
      <c r="K44" s="60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62"/>
      <c r="AD44" s="63"/>
      <c r="AE44" s="108"/>
      <c r="AF44" s="202">
        <f>'[10]Feb''24'!AE90</f>
        <v>0</v>
      </c>
      <c r="AG44" s="202">
        <f t="shared" ref="AG44" si="10">AE44-AF44</f>
        <v>0</v>
      </c>
      <c r="AI44" s="207">
        <f t="shared" ref="AI44" si="11">AH44+L44+M44</f>
        <v>0</v>
      </c>
    </row>
    <row r="45" spans="2:36" s="52" customFormat="1" ht="13.5" thickBot="1">
      <c r="B45" s="82"/>
      <c r="C45" s="83"/>
      <c r="D45" s="83"/>
      <c r="E45" s="83"/>
      <c r="F45" s="83"/>
      <c r="G45" s="83"/>
      <c r="H45" s="83"/>
      <c r="I45" s="83"/>
      <c r="J45" s="83"/>
      <c r="K45" s="84">
        <f t="shared" ref="K45:AC45" si="12">SUM(K6:K44)</f>
        <v>133810829.65999986</v>
      </c>
      <c r="L45" s="84">
        <f t="shared" si="12"/>
        <v>1162769.9999999998</v>
      </c>
      <c r="M45" s="84">
        <f t="shared" si="12"/>
        <v>5591360</v>
      </c>
      <c r="N45" s="84">
        <f t="shared" si="12"/>
        <v>5201910</v>
      </c>
      <c r="O45" s="84">
        <f t="shared" si="12"/>
        <v>305747</v>
      </c>
      <c r="P45" s="84">
        <f t="shared" si="12"/>
        <v>299250</v>
      </c>
      <c r="Q45" s="84">
        <f t="shared" si="12"/>
        <v>3579750</v>
      </c>
      <c r="R45" s="84">
        <f t="shared" si="12"/>
        <v>309000</v>
      </c>
      <c r="S45" s="84">
        <f t="shared" si="12"/>
        <v>6349441.0299999993</v>
      </c>
      <c r="T45" s="84">
        <f t="shared" si="12"/>
        <v>0</v>
      </c>
      <c r="U45" s="84">
        <f t="shared" si="12"/>
        <v>1359000</v>
      </c>
      <c r="V45" s="84">
        <f t="shared" si="12"/>
        <v>441840</v>
      </c>
      <c r="W45" s="84">
        <f t="shared" si="12"/>
        <v>0</v>
      </c>
      <c r="X45" s="84">
        <f t="shared" si="12"/>
        <v>0</v>
      </c>
      <c r="Y45" s="84">
        <f t="shared" si="12"/>
        <v>0</v>
      </c>
      <c r="Z45" s="84">
        <f t="shared" si="12"/>
        <v>-2552499.9300000002</v>
      </c>
      <c r="AA45" s="84">
        <f t="shared" si="12"/>
        <v>143570496.20000011</v>
      </c>
      <c r="AB45" s="84">
        <f t="shared" si="12"/>
        <v>0</v>
      </c>
      <c r="AC45" s="84">
        <f t="shared" si="12"/>
        <v>299428877</v>
      </c>
      <c r="AD45" s="84"/>
      <c r="AE45" s="84">
        <f>SUM(AE6:AE44)</f>
        <v>3976156</v>
      </c>
      <c r="AF45" s="84">
        <f>SUM(AF6:AF44)</f>
        <v>31587</v>
      </c>
      <c r="AG45" s="84">
        <f>SUM(AG6:AG44)</f>
        <v>3944569</v>
      </c>
      <c r="AH45" s="211">
        <f>SUM(AH6:AH44)</f>
        <v>149104267.75999996</v>
      </c>
      <c r="AI45" s="211">
        <f>SUM(AI6:AI44)</f>
        <v>299428893.96000004</v>
      </c>
      <c r="AJ45" s="211"/>
    </row>
    <row r="46" spans="2:36">
      <c r="K46" s="28">
        <v>133810829.65999991</v>
      </c>
      <c r="M46" s="28">
        <v>5591360</v>
      </c>
      <c r="N46" s="28">
        <v>5201910</v>
      </c>
      <c r="O46" s="28">
        <v>305747</v>
      </c>
      <c r="P46" s="28">
        <v>299250</v>
      </c>
      <c r="Q46" s="28">
        <v>3579750</v>
      </c>
      <c r="R46" s="28">
        <f>[8]HARVESTING!$AA28</f>
        <v>309000</v>
      </c>
      <c r="S46" s="28">
        <f>[8]HARVESTING!$AH$27</f>
        <v>6349441.0299999993</v>
      </c>
      <c r="U46" s="28">
        <v>1359000</v>
      </c>
      <c r="AC46" s="28">
        <f>+'[11]PPH21-STAFF'!$S$81</f>
        <v>146559230.55268797</v>
      </c>
    </row>
    <row r="47" spans="2:36">
      <c r="B47" s="51" t="s">
        <v>48</v>
      </c>
      <c r="M47" s="54"/>
      <c r="N47" s="54"/>
      <c r="O47" s="54"/>
      <c r="P47" s="54"/>
      <c r="Q47" s="54"/>
      <c r="R47" s="54"/>
      <c r="S47" s="54"/>
    </row>
    <row r="48" spans="2:36">
      <c r="B48" s="27" t="s">
        <v>49</v>
      </c>
      <c r="M48" s="54"/>
      <c r="N48" s="54"/>
      <c r="O48" s="54"/>
      <c r="P48" s="54"/>
      <c r="Q48" s="54"/>
      <c r="R48" s="54"/>
      <c r="S48" s="54"/>
    </row>
    <row r="49" spans="2:55">
      <c r="B49" s="27" t="s">
        <v>57</v>
      </c>
      <c r="M49" s="54"/>
      <c r="N49" s="54"/>
      <c r="O49" s="54"/>
      <c r="P49" s="54"/>
      <c r="Q49" s="54"/>
      <c r="R49" s="54"/>
      <c r="S49" s="54"/>
    </row>
    <row r="50" spans="2:55">
      <c r="B50" s="27" t="s">
        <v>50</v>
      </c>
      <c r="M50" s="54"/>
      <c r="N50" s="54"/>
      <c r="O50" s="54"/>
      <c r="P50" s="54"/>
      <c r="Q50" s="54"/>
      <c r="R50" s="54"/>
      <c r="S50" s="54"/>
    </row>
    <row r="51" spans="2:55" s="31" customFormat="1">
      <c r="B51" s="27" t="s">
        <v>58</v>
      </c>
      <c r="C51" s="28"/>
      <c r="D51" s="194"/>
      <c r="E51" s="29"/>
      <c r="F51" s="28"/>
      <c r="G51" s="30"/>
      <c r="H51" s="195"/>
      <c r="I51" s="195"/>
      <c r="J51" s="195"/>
      <c r="K51" s="28"/>
      <c r="L51" s="28"/>
      <c r="M51" s="54"/>
      <c r="N51" s="54"/>
      <c r="O51" s="54"/>
      <c r="P51" s="54"/>
      <c r="Q51" s="54"/>
      <c r="R51" s="54"/>
      <c r="S51" s="54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57"/>
      <c r="AE51" s="28"/>
      <c r="AF51" s="28"/>
      <c r="AG51" s="28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</row>
    <row r="52" spans="2:55" s="31" customFormat="1">
      <c r="B52" s="27" t="s">
        <v>51</v>
      </c>
      <c r="C52" s="28"/>
      <c r="D52" s="194"/>
      <c r="E52" s="29"/>
      <c r="F52" s="28"/>
      <c r="G52" s="30"/>
      <c r="H52" s="195"/>
      <c r="I52" s="195"/>
      <c r="J52" s="195"/>
      <c r="K52" s="28"/>
      <c r="L52" s="28"/>
      <c r="M52" s="54"/>
      <c r="N52" s="54"/>
      <c r="O52" s="54"/>
      <c r="P52" s="54"/>
      <c r="Q52" s="54"/>
      <c r="R52" s="54"/>
      <c r="S52" s="54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57"/>
      <c r="AE52" s="28"/>
      <c r="AF52" s="28"/>
      <c r="AG52" s="28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</row>
    <row r="53" spans="2:55" s="31" customFormat="1">
      <c r="B53" s="27" t="s">
        <v>52</v>
      </c>
      <c r="C53" s="28"/>
      <c r="D53" s="194"/>
      <c r="E53" s="29"/>
      <c r="F53" s="28"/>
      <c r="G53" s="30"/>
      <c r="H53" s="195"/>
      <c r="I53" s="195"/>
      <c r="J53" s="195"/>
      <c r="K53" s="28"/>
      <c r="L53" s="28"/>
      <c r="M53" s="54"/>
      <c r="N53" s="54"/>
      <c r="O53" s="54"/>
      <c r="P53" s="54"/>
      <c r="Q53" s="54"/>
      <c r="R53" s="54"/>
      <c r="S53" s="54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57"/>
      <c r="AE53" s="28"/>
      <c r="AF53" s="28"/>
      <c r="AG53" s="28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</row>
    <row r="54" spans="2:55" s="31" customFormat="1">
      <c r="B54" s="27" t="s">
        <v>53</v>
      </c>
      <c r="C54" s="28"/>
      <c r="D54" s="194"/>
      <c r="E54" s="29"/>
      <c r="F54" s="28"/>
      <c r="G54" s="30"/>
      <c r="H54" s="195"/>
      <c r="I54" s="195"/>
      <c r="J54" s="195"/>
      <c r="K54" s="28"/>
      <c r="L54" s="28"/>
      <c r="M54" s="54"/>
      <c r="N54" s="54"/>
      <c r="O54" s="54"/>
      <c r="P54" s="54"/>
      <c r="Q54" s="54"/>
      <c r="R54" s="54"/>
      <c r="S54" s="54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57"/>
      <c r="AE54" s="28"/>
      <c r="AF54" s="28"/>
      <c r="AG54" s="28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</row>
    <row r="55" spans="2:55" s="31" customFormat="1">
      <c r="B55" s="27" t="s">
        <v>59</v>
      </c>
      <c r="C55" s="28"/>
      <c r="D55" s="194"/>
      <c r="E55" s="29"/>
      <c r="F55" s="28"/>
      <c r="G55" s="30"/>
      <c r="H55" s="195"/>
      <c r="I55" s="195"/>
      <c r="J55" s="195"/>
      <c r="K55" s="28"/>
      <c r="L55" s="28"/>
      <c r="M55" s="54"/>
      <c r="N55" s="54"/>
      <c r="O55" s="54"/>
      <c r="P55" s="54"/>
      <c r="Q55" s="54"/>
      <c r="R55" s="54"/>
      <c r="S55" s="54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57"/>
      <c r="AE55" s="28"/>
      <c r="AF55" s="28"/>
      <c r="AG55" s="28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</row>
    <row r="56" spans="2:55" s="31" customFormat="1">
      <c r="B56" s="27" t="s">
        <v>60</v>
      </c>
      <c r="C56" s="28"/>
      <c r="D56" s="194"/>
      <c r="E56" s="29"/>
      <c r="F56" s="28"/>
      <c r="G56" s="30"/>
      <c r="H56" s="195"/>
      <c r="I56" s="195"/>
      <c r="J56" s="195"/>
      <c r="K56" s="28"/>
      <c r="L56" s="28"/>
      <c r="M56" s="54"/>
      <c r="N56" s="54"/>
      <c r="O56" s="54"/>
      <c r="P56" s="54"/>
      <c r="Q56" s="54"/>
      <c r="R56" s="54"/>
      <c r="S56" s="54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57"/>
      <c r="AE56" s="28"/>
      <c r="AF56" s="28"/>
      <c r="AG56" s="28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</row>
    <row r="57" spans="2:55" s="31" customFormat="1">
      <c r="B57" s="27" t="s">
        <v>65</v>
      </c>
      <c r="C57" s="28"/>
      <c r="D57" s="194"/>
      <c r="E57" s="29"/>
      <c r="F57" s="28"/>
      <c r="G57" s="30"/>
      <c r="H57" s="195"/>
      <c r="I57" s="195"/>
      <c r="J57" s="195"/>
      <c r="K57" s="28"/>
      <c r="L57" s="28"/>
      <c r="M57" s="54"/>
      <c r="N57" s="54"/>
      <c r="O57" s="54"/>
      <c r="P57" s="54"/>
      <c r="Q57" s="54"/>
      <c r="R57" s="54"/>
      <c r="S57" s="54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57"/>
      <c r="AE57" s="28"/>
      <c r="AF57" s="28"/>
      <c r="AG57" s="28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</row>
    <row r="58" spans="2:55" s="31" customFormat="1">
      <c r="B58" s="27"/>
      <c r="C58" s="28"/>
      <c r="D58" s="194"/>
      <c r="E58" s="29"/>
      <c r="F58" s="28"/>
      <c r="G58" s="30"/>
      <c r="H58" s="195"/>
      <c r="I58" s="195"/>
      <c r="J58" s="195"/>
      <c r="K58" s="28"/>
      <c r="L58" s="28"/>
      <c r="M58" s="54"/>
      <c r="N58" s="54"/>
      <c r="O58" s="54"/>
      <c r="P58" s="54"/>
      <c r="Q58" s="54"/>
      <c r="R58" s="54"/>
      <c r="S58" s="54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57"/>
      <c r="AE58" s="28"/>
      <c r="AF58" s="28"/>
      <c r="AG58" s="28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</row>
    <row r="59" spans="2:55" s="31" customFormat="1">
      <c r="B59" s="27"/>
      <c r="C59" s="28"/>
      <c r="D59" s="194"/>
      <c r="E59" s="29"/>
      <c r="F59" s="28"/>
      <c r="G59" s="30"/>
      <c r="H59" s="195"/>
      <c r="I59" s="195"/>
      <c r="J59" s="195"/>
      <c r="K59" s="28"/>
      <c r="L59" s="28"/>
      <c r="M59" s="54"/>
      <c r="N59" s="54"/>
      <c r="O59" s="54"/>
      <c r="P59" s="54"/>
      <c r="Q59" s="54"/>
      <c r="R59" s="54"/>
      <c r="S59" s="54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57"/>
      <c r="AE59" s="28"/>
      <c r="AF59" s="28"/>
      <c r="AG59" s="28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</row>
    <row r="60" spans="2:55" s="31" customFormat="1">
      <c r="B60" s="27"/>
      <c r="C60" s="28"/>
      <c r="D60" s="194"/>
      <c r="E60" s="29"/>
      <c r="F60" s="28"/>
      <c r="G60" s="30"/>
      <c r="H60" s="195"/>
      <c r="I60" s="195"/>
      <c r="J60" s="195"/>
      <c r="K60" s="28"/>
      <c r="L60" s="28"/>
      <c r="M60" s="54"/>
      <c r="N60" s="54"/>
      <c r="O60" s="54"/>
      <c r="P60" s="54"/>
      <c r="Q60" s="54"/>
      <c r="R60" s="54"/>
      <c r="S60" s="54"/>
      <c r="T60" s="28"/>
      <c r="U60" s="28"/>
      <c r="V60" s="28"/>
      <c r="W60" s="28"/>
      <c r="X60" s="28"/>
      <c r="Y60" s="28"/>
      <c r="Z60" s="28"/>
      <c r="AA60" s="28">
        <f>[9]MAINTENANCE!$O$42+[9]OPERATOR!$O$14+[9]HARVESTING!$O$12</f>
        <v>143570496.20000008</v>
      </c>
      <c r="AB60" s="28"/>
      <c r="AC60" s="213">
        <f>AC45-AA45</f>
        <v>155858380.79999989</v>
      </c>
      <c r="AD60" s="57"/>
      <c r="AE60" s="28"/>
      <c r="AF60" s="28"/>
      <c r="AG60" s="28">
        <f>[9]MAINTENANCE!$P$42+[9]OPERATOR!$P$14+[9]HARVESTING!$P$12</f>
        <v>3944569</v>
      </c>
      <c r="AH60" s="53"/>
      <c r="AI60" s="212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</row>
    <row r="62" spans="2:55" ht="18">
      <c r="C62" s="214" t="s">
        <v>378</v>
      </c>
      <c r="W62" s="215"/>
      <c r="X62" s="215"/>
      <c r="Y62" s="215"/>
      <c r="Z62" s="601" t="s">
        <v>379</v>
      </c>
      <c r="AA62" s="601"/>
      <c r="AB62" s="601"/>
    </row>
    <row r="63" spans="2:55" ht="18">
      <c r="C63" s="214"/>
      <c r="W63" s="215"/>
      <c r="X63" s="215"/>
      <c r="Y63" s="215"/>
      <c r="Z63" s="216"/>
      <c r="AA63" s="216"/>
      <c r="AB63" s="216"/>
    </row>
    <row r="64" spans="2:55" ht="18">
      <c r="C64" s="214"/>
      <c r="W64" s="215"/>
      <c r="X64" s="215"/>
      <c r="Y64" s="215"/>
      <c r="Z64" s="216"/>
      <c r="AA64" s="216"/>
      <c r="AB64" s="216"/>
    </row>
    <row r="65" spans="2:33" ht="18">
      <c r="C65" s="214"/>
      <c r="W65" s="215"/>
      <c r="X65" s="215"/>
      <c r="Y65" s="215"/>
      <c r="Z65" s="216"/>
      <c r="AA65" s="216"/>
      <c r="AB65" s="216"/>
    </row>
    <row r="66" spans="2:33" ht="18">
      <c r="C66" s="214"/>
      <c r="W66" s="215"/>
      <c r="X66" s="215"/>
      <c r="Y66" s="215"/>
      <c r="Z66" s="216"/>
      <c r="AA66" s="216"/>
      <c r="AB66" s="216"/>
    </row>
    <row r="67" spans="2:33" ht="18">
      <c r="B67" s="53"/>
      <c r="C67" s="214"/>
      <c r="W67" s="215"/>
      <c r="X67" s="215"/>
      <c r="Y67" s="215"/>
      <c r="Z67" s="216"/>
      <c r="AA67" s="216"/>
      <c r="AB67" s="216"/>
      <c r="AC67" s="53"/>
      <c r="AD67" s="53"/>
      <c r="AE67" s="53"/>
      <c r="AF67" s="53"/>
      <c r="AG67" s="53"/>
    </row>
    <row r="68" spans="2:33" ht="20.25">
      <c r="B68" s="53"/>
      <c r="C68" s="217" t="s">
        <v>380</v>
      </c>
      <c r="X68" s="218"/>
      <c r="Y68" s="218"/>
      <c r="Z68" s="602" t="s">
        <v>381</v>
      </c>
      <c r="AA68" s="602"/>
      <c r="AB68" s="602"/>
      <c r="AC68" s="53"/>
      <c r="AD68" s="53"/>
      <c r="AE68" s="53"/>
      <c r="AF68" s="53"/>
      <c r="AG68" s="53"/>
    </row>
    <row r="69" spans="2:33" ht="18">
      <c r="B69" s="53"/>
      <c r="C69" s="214" t="s">
        <v>382</v>
      </c>
      <c r="X69" s="215"/>
      <c r="Y69" s="215"/>
      <c r="Z69" s="601" t="s">
        <v>383</v>
      </c>
      <c r="AA69" s="601"/>
      <c r="AB69" s="601"/>
      <c r="AC69" s="53"/>
      <c r="AD69" s="53"/>
      <c r="AE69" s="53"/>
      <c r="AF69" s="53"/>
      <c r="AG69" s="53"/>
    </row>
  </sheetData>
  <mergeCells count="3">
    <mergeCell ref="Z62:AB62"/>
    <mergeCell ref="Z68:AB68"/>
    <mergeCell ref="Z69:AB69"/>
  </mergeCells>
  <dataValidations disablePrompts="1" count="2">
    <dataValidation type="list" allowBlank="1" showInputMessage="1" showErrorMessage="1" sqref="H6:H44">
      <formula1>"L,P"</formula1>
    </dataValidation>
    <dataValidation type="list" allowBlank="1" showInputMessage="1" showErrorMessage="1" sqref="I6:I44">
      <formula1>"TK/0,TK/1,TK/2,TK/3,K/0,K/1,K/2,K/3"</formula1>
    </dataValidation>
  </dataValidations>
  <pageMargins left="0.19685039370078741" right="0" top="0.35433070866141736" bottom="0.35433070866141736" header="0.31496062992125984" footer="0.31496062992125984"/>
  <pageSetup paperSize="9" scale="39" orientation="landscape" horizontalDpi="120" verticalDpi="72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H117"/>
  <sheetViews>
    <sheetView topLeftCell="L2" zoomScale="76" zoomScaleNormal="76" workbookViewId="0">
      <selection activeCell="AS10" sqref="AS10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" style="28" customWidth="1"/>
    <col min="4" max="4" width="18.5703125" style="194" customWidth="1" outlineLevel="1"/>
    <col min="5" max="5" width="19.42578125" style="29" customWidth="1" outlineLevel="1"/>
    <col min="6" max="6" width="48.28515625" style="28" customWidth="1" outlineLevel="1"/>
    <col min="7" max="7" width="25.140625" style="30" customWidth="1" outlineLevel="1"/>
    <col min="8" max="8" width="6" style="195" customWidth="1" outlineLevel="1"/>
    <col min="9" max="9" width="6.7109375" style="195" customWidth="1" outlineLevel="1"/>
    <col min="10" max="10" width="10.85546875" style="195" customWidth="1" outlineLevel="1"/>
    <col min="11" max="11" width="14.140625" style="28" customWidth="1"/>
    <col min="12" max="12" width="11.7109375" style="28" customWidth="1"/>
    <col min="13" max="13" width="12.7109375" style="28" customWidth="1"/>
    <col min="14" max="17" width="11.5703125" style="28" customWidth="1"/>
    <col min="18" max="18" width="10.5703125" style="28" customWidth="1"/>
    <col min="19" max="19" width="11.5703125" style="28" customWidth="1"/>
    <col min="20" max="20" width="12.7109375" style="28" customWidth="1"/>
    <col min="21" max="21" width="11.140625" style="28" customWidth="1"/>
    <col min="22" max="22" width="11.85546875" style="28" customWidth="1"/>
    <col min="23" max="23" width="10.7109375" style="28" customWidth="1"/>
    <col min="24" max="24" width="12.7109375" style="28" customWidth="1"/>
    <col min="25" max="25" width="11.42578125" style="28" hidden="1" customWidth="1"/>
    <col min="26" max="26" width="9.5703125" style="28" customWidth="1"/>
    <col min="27" max="28" width="12.7109375" style="28" hidden="1" customWidth="1"/>
    <col min="29" max="29" width="16.42578125" style="28" customWidth="1"/>
    <col min="30" max="30" width="15" style="28" customWidth="1"/>
    <col min="31" max="31" width="9" style="28" hidden="1" customWidth="1"/>
    <col min="32" max="32" width="13.5703125" style="28" customWidth="1" collapsed="1"/>
    <col min="33" max="33" width="7.7109375" style="57" customWidth="1"/>
    <col min="34" max="34" width="14.7109375" style="28" customWidth="1"/>
    <col min="35" max="37" width="12.7109375" style="28" customWidth="1"/>
    <col min="38" max="38" width="12.7109375" style="28" hidden="1" customWidth="1"/>
    <col min="39" max="39" width="13.85546875" style="53" hidden="1" customWidth="1"/>
    <col min="40" max="40" width="14" style="53" hidden="1" customWidth="1"/>
    <col min="41" max="41" width="11.5703125" style="53" hidden="1" customWidth="1"/>
    <col min="42" max="42" width="13.5703125" style="53" hidden="1" customWidth="1"/>
    <col min="43" max="43" width="11" style="53" hidden="1" customWidth="1"/>
    <col min="44" max="44" width="12.85546875" style="53" customWidth="1"/>
    <col min="45" max="16384" width="9.28515625" style="53"/>
  </cols>
  <sheetData>
    <row r="1" spans="2:45">
      <c r="B1" s="27" t="s">
        <v>71</v>
      </c>
    </row>
    <row r="2" spans="2:45">
      <c r="B2" s="27" t="s">
        <v>384</v>
      </c>
    </row>
    <row r="3" spans="2:45">
      <c r="B3" s="27" t="s">
        <v>326</v>
      </c>
    </row>
    <row r="4" spans="2:45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/>
      <c r="R4" s="28"/>
      <c r="S4" s="28"/>
      <c r="T4" s="28" t="s">
        <v>327</v>
      </c>
      <c r="U4" s="28" t="s">
        <v>328</v>
      </c>
      <c r="V4" s="28" t="s">
        <v>329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57"/>
      <c r="AH4" s="28"/>
      <c r="AI4" s="28"/>
      <c r="AJ4" s="28"/>
      <c r="AK4" s="28"/>
      <c r="AL4" s="28"/>
    </row>
    <row r="5" spans="2:45" s="27" customFormat="1" ht="51.75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89" t="s">
        <v>67</v>
      </c>
      <c r="M5" s="189" t="s">
        <v>68</v>
      </c>
      <c r="N5" s="189" t="s">
        <v>385</v>
      </c>
      <c r="O5" s="188" t="s">
        <v>386</v>
      </c>
      <c r="P5" s="188" t="s">
        <v>387</v>
      </c>
      <c r="Q5" s="188" t="s">
        <v>388</v>
      </c>
      <c r="R5" s="188" t="s">
        <v>331</v>
      </c>
      <c r="S5" s="188" t="s">
        <v>332</v>
      </c>
      <c r="T5" s="189" t="s">
        <v>76</v>
      </c>
      <c r="U5" s="189" t="s">
        <v>77</v>
      </c>
      <c r="V5" s="189" t="s">
        <v>81</v>
      </c>
      <c r="W5" s="189" t="s">
        <v>333</v>
      </c>
      <c r="X5" s="188" t="s">
        <v>82</v>
      </c>
      <c r="Y5" s="188" t="s">
        <v>334</v>
      </c>
      <c r="Z5" s="188" t="s">
        <v>335</v>
      </c>
      <c r="AA5" s="188" t="s">
        <v>84</v>
      </c>
      <c r="AB5" s="188" t="s">
        <v>85</v>
      </c>
      <c r="AC5" s="188" t="s">
        <v>336</v>
      </c>
      <c r="AD5" s="188" t="s">
        <v>79</v>
      </c>
      <c r="AE5" s="188" t="s">
        <v>80</v>
      </c>
      <c r="AF5" s="188" t="s">
        <v>41</v>
      </c>
      <c r="AG5" s="102" t="s">
        <v>42</v>
      </c>
      <c r="AH5" s="188" t="s">
        <v>389</v>
      </c>
      <c r="AI5" s="188" t="s">
        <v>377</v>
      </c>
      <c r="AJ5" s="188" t="s">
        <v>173</v>
      </c>
      <c r="AK5" s="188" t="s">
        <v>390</v>
      </c>
      <c r="AL5" s="219"/>
    </row>
    <row r="6" spans="2:45" s="27" customFormat="1">
      <c r="B6" s="34">
        <v>1</v>
      </c>
      <c r="C6" s="35" t="s">
        <v>221</v>
      </c>
      <c r="D6" s="204" t="s">
        <v>222</v>
      </c>
      <c r="E6" s="36" t="s">
        <v>338</v>
      </c>
      <c r="F6" s="35" t="s">
        <v>223</v>
      </c>
      <c r="G6" s="205" t="s">
        <v>391</v>
      </c>
      <c r="H6" s="37" t="s">
        <v>39</v>
      </c>
      <c r="I6" s="38" t="s">
        <v>7</v>
      </c>
      <c r="J6" s="55" t="str">
        <f>IF(ISBLANK(I6),"",IF(OR(I6="TK/0",I6="TK/1",I6="K/0"),"TER A",IF(I6="K/3","TER C","TER B")))</f>
        <v>TER A</v>
      </c>
      <c r="K6" s="59">
        <v>3792333.23</v>
      </c>
      <c r="L6" s="39">
        <f>3670000*0.84%</f>
        <v>30827.999999999996</v>
      </c>
      <c r="M6" s="119">
        <f>'[12]MAINTENANCE-2'!AP11</f>
        <v>148540</v>
      </c>
      <c r="N6" s="39"/>
      <c r="O6" s="101"/>
      <c r="P6" s="101"/>
      <c r="Q6" s="101"/>
      <c r="R6" s="101"/>
      <c r="S6" s="101"/>
      <c r="T6" s="119">
        <f>'[12]MAINTENANCE-2'!X11</f>
        <v>65250</v>
      </c>
      <c r="U6" s="39">
        <f>'[12]MAINTENANCE-2'!AA11</f>
        <v>63000</v>
      </c>
      <c r="V6" s="39"/>
      <c r="W6" s="39"/>
      <c r="X6" s="39">
        <f>'[12]MAINTENANCE-2'!AC11</f>
        <v>43500</v>
      </c>
      <c r="Y6" s="101"/>
      <c r="Z6" s="101"/>
      <c r="AA6" s="101"/>
      <c r="AB6" s="101"/>
      <c r="AC6" s="39">
        <v>-244666.66</v>
      </c>
      <c r="AD6" s="39">
        <f>[13]MAINTENANCE!O10</f>
        <v>3780999.9</v>
      </c>
      <c r="AE6" s="39"/>
      <c r="AF6" s="104">
        <f>ROUNDDOWN(SUM(K6:AE6),0)</f>
        <v>7679784</v>
      </c>
      <c r="AG6" s="105">
        <f t="shared" ref="AG6:AG37" si="0">IF(J6="TER A",VLOOKUP(AF6,Ter_A,4,TRUE),IF(J6="TER B",VLOOKUP(AF6,Ter_B,4,TRUE),VLOOKUP(AF6,Ter_C,4,TRUE)))</f>
        <v>1.5000000000000001E-2</v>
      </c>
      <c r="AH6" s="106">
        <f>ROUNDDOWN(IF(E6=0,AF6*AG6*120%,AF6*AG6),0)</f>
        <v>115196</v>
      </c>
      <c r="AI6" s="106">
        <v>92845</v>
      </c>
      <c r="AJ6" s="106">
        <f>AH6-AI6</f>
        <v>22351</v>
      </c>
      <c r="AK6" s="220"/>
      <c r="AL6" s="221">
        <f>AH6-AI6</f>
        <v>22351</v>
      </c>
      <c r="AM6" s="206">
        <v>3719416.5700000003</v>
      </c>
      <c r="AN6" s="207">
        <f>AM6+L6+M6+AD6</f>
        <v>7679784.4700000007</v>
      </c>
      <c r="AO6" s="151">
        <f t="shared" ref="AO6:AO42" si="1">AN6-AF6</f>
        <v>0.47000000067055225</v>
      </c>
      <c r="AP6" s="93">
        <f>AF6-AD6</f>
        <v>3898784.1</v>
      </c>
      <c r="AQ6" s="93">
        <f>AF6-AD6-L6-M6</f>
        <v>3719416.1</v>
      </c>
      <c r="AR6" s="93">
        <f>SUM(N6:AC6)</f>
        <v>-72916.66</v>
      </c>
      <c r="AS6" s="93">
        <f>AF6-AD6-L6-M6-K6</f>
        <v>-72917.129999999888</v>
      </c>
    </row>
    <row r="7" spans="2:45" s="27" customFormat="1">
      <c r="B7" s="97">
        <v>2</v>
      </c>
      <c r="C7" s="98" t="s">
        <v>224</v>
      </c>
      <c r="D7" s="208" t="s">
        <v>225</v>
      </c>
      <c r="E7" s="209" t="s">
        <v>73</v>
      </c>
      <c r="F7" s="98" t="s">
        <v>226</v>
      </c>
      <c r="G7" s="107" t="s">
        <v>340</v>
      </c>
      <c r="H7" s="99" t="s">
        <v>38</v>
      </c>
      <c r="I7" s="100" t="s">
        <v>7</v>
      </c>
      <c r="J7" s="58" t="str">
        <f t="shared" ref="J7:J70" si="2">IF(ISBLANK(I7),"",IF(OR(I7="TK/0",I7="TK/1",I7="K/0"),"TER A",IF(I7="K/3","TER C","TER B")))</f>
        <v>TER A</v>
      </c>
      <c r="K7" s="210">
        <v>3761333.23</v>
      </c>
      <c r="L7" s="101">
        <f>3640000*0.84%</f>
        <v>30575.999999999996</v>
      </c>
      <c r="M7" s="46">
        <f>'[12]MAINTENANCE-2'!AP12</f>
        <v>146200</v>
      </c>
      <c r="N7" s="101"/>
      <c r="O7" s="101"/>
      <c r="P7" s="101"/>
      <c r="Q7" s="101"/>
      <c r="R7" s="101"/>
      <c r="S7" s="101"/>
      <c r="T7" s="46">
        <f>'[12]MAINTENANCE-2'!X12</f>
        <v>69750</v>
      </c>
      <c r="U7" s="101">
        <f>'[12]MAINTENANCE-2'!AA12</f>
        <v>40000</v>
      </c>
      <c r="V7" s="101">
        <v>1462311.97</v>
      </c>
      <c r="W7" s="101"/>
      <c r="X7" s="101">
        <f>'[12]MAINTENANCE-2'!AC12</f>
        <v>15000</v>
      </c>
      <c r="Y7" s="101"/>
      <c r="Z7" s="101"/>
      <c r="AA7" s="101"/>
      <c r="AB7" s="101"/>
      <c r="AC7" s="101">
        <v>0</v>
      </c>
      <c r="AD7" s="101">
        <f>[13]MAINTENANCE!O11</f>
        <v>3722499.9</v>
      </c>
      <c r="AE7" s="101"/>
      <c r="AF7" s="62">
        <f t="shared" ref="AF7:AF69" si="3">ROUNDDOWN(SUM(K7:AE7),0)</f>
        <v>9247671</v>
      </c>
      <c r="AG7" s="63">
        <f t="shared" si="0"/>
        <v>1.7500000000000002E-2</v>
      </c>
      <c r="AH7" s="106">
        <f t="shared" ref="AH7:AH43" si="4">ROUNDDOWN(IF(E7=0,AF7*AG7*120%,AF7*AG7),0)</f>
        <v>161834</v>
      </c>
      <c r="AI7" s="106">
        <v>154574</v>
      </c>
      <c r="AJ7" s="106">
        <f t="shared" ref="AJ7:AJ70" si="5">AH7-AI7</f>
        <v>7260</v>
      </c>
      <c r="AK7" s="222"/>
      <c r="AL7" s="221">
        <f t="shared" ref="AL7:AL70" si="6">AH7-AI7</f>
        <v>7260</v>
      </c>
      <c r="AM7" s="206">
        <v>5348395.2</v>
      </c>
      <c r="AN7" s="207">
        <f t="shared" ref="AN7:AN43" si="7">AM7+L7+M7+AD7</f>
        <v>9247671.0999999996</v>
      </c>
      <c r="AO7" s="151">
        <f t="shared" si="1"/>
        <v>9.999999962747097E-2</v>
      </c>
      <c r="AP7" s="93">
        <f t="shared" ref="AP7:AP43" si="8">AF7-AD7</f>
        <v>5525171.0999999996</v>
      </c>
      <c r="AQ7" s="93">
        <f t="shared" ref="AQ7:AQ43" si="9">AF7-AD7-L7-M7</f>
        <v>5348395.0999999996</v>
      </c>
      <c r="AR7" s="93">
        <f t="shared" ref="AR7:AR43" si="10">SUM(N7:AC7)</f>
        <v>1587061.97</v>
      </c>
    </row>
    <row r="8" spans="2:45" s="27" customFormat="1">
      <c r="B8" s="97">
        <v>3</v>
      </c>
      <c r="C8" s="98" t="s">
        <v>227</v>
      </c>
      <c r="D8" s="208" t="s">
        <v>228</v>
      </c>
      <c r="E8" s="209" t="s">
        <v>341</v>
      </c>
      <c r="F8" s="98" t="s">
        <v>229</v>
      </c>
      <c r="G8" s="107" t="s">
        <v>88</v>
      </c>
      <c r="H8" s="99" t="s">
        <v>39</v>
      </c>
      <c r="I8" s="100" t="s">
        <v>7</v>
      </c>
      <c r="J8" s="58" t="str">
        <f t="shared" si="2"/>
        <v>TER A</v>
      </c>
      <c r="K8" s="210">
        <v>3761333.23</v>
      </c>
      <c r="L8" s="101">
        <f t="shared" ref="L8:L36" si="11">3640000*0.84%</f>
        <v>30575.999999999996</v>
      </c>
      <c r="M8" s="101">
        <f>'[12]MAINTENANCE-2'!AP13</f>
        <v>147480</v>
      </c>
      <c r="N8" s="101"/>
      <c r="O8" s="101"/>
      <c r="P8" s="101"/>
      <c r="Q8" s="101"/>
      <c r="R8" s="101"/>
      <c r="S8" s="101"/>
      <c r="T8" s="46">
        <f>'[12]MAINTENANCE-2'!X13</f>
        <v>58500</v>
      </c>
      <c r="U8" s="101"/>
      <c r="V8" s="101"/>
      <c r="W8" s="101"/>
      <c r="X8" s="101">
        <f>'[12]MAINTENANCE-2'!AC13</f>
        <v>47000</v>
      </c>
      <c r="Y8" s="101"/>
      <c r="Z8" s="101"/>
      <c r="AA8" s="101"/>
      <c r="AB8" s="101"/>
      <c r="AC8" s="101">
        <v>-606666.65</v>
      </c>
      <c r="AD8" s="101">
        <f>[13]MAINTENANCE!O12</f>
        <v>3754499.9</v>
      </c>
      <c r="AE8" s="101"/>
      <c r="AF8" s="62">
        <f t="shared" si="3"/>
        <v>7192722</v>
      </c>
      <c r="AG8" s="63">
        <f t="shared" si="0"/>
        <v>1.2500000000000001E-2</v>
      </c>
      <c r="AH8" s="106">
        <f t="shared" si="4"/>
        <v>89909</v>
      </c>
      <c r="AI8" s="106">
        <v>91453</v>
      </c>
      <c r="AJ8" s="106">
        <v>0</v>
      </c>
      <c r="AK8" s="222">
        <v>-1544</v>
      </c>
      <c r="AL8" s="221">
        <f t="shared" si="6"/>
        <v>-1544</v>
      </c>
      <c r="AM8" s="206">
        <v>3260166.58</v>
      </c>
      <c r="AN8" s="207">
        <f t="shared" si="7"/>
        <v>7192722.4800000004</v>
      </c>
      <c r="AO8" s="151">
        <f t="shared" si="1"/>
        <v>0.48000000044703484</v>
      </c>
      <c r="AP8" s="93">
        <f t="shared" si="8"/>
        <v>3438222.1</v>
      </c>
      <c r="AQ8" s="93">
        <f t="shared" si="9"/>
        <v>3260166.1</v>
      </c>
      <c r="AR8" s="93">
        <f t="shared" si="10"/>
        <v>-501166.65</v>
      </c>
    </row>
    <row r="9" spans="2:45" s="27" customFormat="1">
      <c r="B9" s="97">
        <v>4</v>
      </c>
      <c r="C9" s="98" t="s">
        <v>230</v>
      </c>
      <c r="D9" s="208" t="s">
        <v>231</v>
      </c>
      <c r="E9" s="209" t="s">
        <v>73</v>
      </c>
      <c r="F9" s="98" t="s">
        <v>232</v>
      </c>
      <c r="G9" s="107" t="s">
        <v>88</v>
      </c>
      <c r="H9" s="99" t="s">
        <v>39</v>
      </c>
      <c r="I9" s="100" t="s">
        <v>9</v>
      </c>
      <c r="J9" s="58" t="str">
        <f t="shared" si="2"/>
        <v>TER B</v>
      </c>
      <c r="K9" s="210">
        <v>3761333.23</v>
      </c>
      <c r="L9" s="101">
        <f t="shared" si="11"/>
        <v>30575.999999999996</v>
      </c>
      <c r="M9" s="101">
        <f>'[12]MAINTENANCE-2'!AP14</f>
        <v>146680</v>
      </c>
      <c r="N9" s="101"/>
      <c r="O9" s="101"/>
      <c r="P9" s="101"/>
      <c r="Q9" s="101"/>
      <c r="R9" s="101"/>
      <c r="S9" s="101"/>
      <c r="T9" s="46">
        <f>'[12]MAINTENANCE-2'!X14</f>
        <v>135000</v>
      </c>
      <c r="U9" s="101"/>
      <c r="V9" s="101"/>
      <c r="W9" s="101"/>
      <c r="X9" s="101">
        <f>'[12]MAINTENANCE-2'!AC14</f>
        <v>27000</v>
      </c>
      <c r="Y9" s="101"/>
      <c r="Z9" s="101"/>
      <c r="AA9" s="101"/>
      <c r="AB9" s="101"/>
      <c r="AC9" s="101">
        <v>-121333.33</v>
      </c>
      <c r="AD9" s="101">
        <f>[13]MAINTENANCE!O13</f>
        <v>3801999.9</v>
      </c>
      <c r="AE9" s="101"/>
      <c r="AF9" s="62">
        <f t="shared" si="3"/>
        <v>7781255</v>
      </c>
      <c r="AG9" s="63">
        <f t="shared" si="0"/>
        <v>0.01</v>
      </c>
      <c r="AH9" s="106">
        <f t="shared" si="4"/>
        <v>77812</v>
      </c>
      <c r="AI9" s="106">
        <v>74037</v>
      </c>
      <c r="AJ9" s="106">
        <f t="shared" si="5"/>
        <v>3775</v>
      </c>
      <c r="AK9" s="222"/>
      <c r="AL9" s="221">
        <f t="shared" si="6"/>
        <v>3775</v>
      </c>
      <c r="AM9" s="206">
        <v>3801999.9000000004</v>
      </c>
      <c r="AN9" s="207">
        <f t="shared" si="7"/>
        <v>7781255.8000000007</v>
      </c>
      <c r="AO9" s="151">
        <f t="shared" si="1"/>
        <v>0.80000000074505806</v>
      </c>
      <c r="AP9" s="93">
        <f t="shared" si="8"/>
        <v>3979255.1</v>
      </c>
      <c r="AQ9" s="93">
        <f t="shared" si="9"/>
        <v>3801999.1</v>
      </c>
      <c r="AR9" s="93">
        <f t="shared" si="10"/>
        <v>40666.67</v>
      </c>
    </row>
    <row r="10" spans="2:45" s="27" customFormat="1">
      <c r="B10" s="97">
        <v>5</v>
      </c>
      <c r="C10" s="98" t="s">
        <v>233</v>
      </c>
      <c r="D10" s="208" t="s">
        <v>234</v>
      </c>
      <c r="E10" s="209" t="s">
        <v>342</v>
      </c>
      <c r="F10" s="98" t="s">
        <v>235</v>
      </c>
      <c r="G10" s="107" t="s">
        <v>88</v>
      </c>
      <c r="H10" s="99" t="s">
        <v>38</v>
      </c>
      <c r="I10" s="100" t="s">
        <v>7</v>
      </c>
      <c r="J10" s="58" t="str">
        <f t="shared" si="2"/>
        <v>TER A</v>
      </c>
      <c r="K10" s="210">
        <v>3761333.23</v>
      </c>
      <c r="L10" s="101">
        <f t="shared" si="11"/>
        <v>30575.999999999996</v>
      </c>
      <c r="M10" s="101">
        <f>'[12]MAINTENANCE-2'!AP15</f>
        <v>147620</v>
      </c>
      <c r="N10" s="101"/>
      <c r="O10" s="101"/>
      <c r="P10" s="101"/>
      <c r="Q10" s="101"/>
      <c r="R10" s="101"/>
      <c r="S10" s="101"/>
      <c r="T10" s="46">
        <f>'[12]MAINTENANCE-2'!X15</f>
        <v>67500</v>
      </c>
      <c r="U10" s="101"/>
      <c r="V10" s="101"/>
      <c r="W10" s="101"/>
      <c r="X10" s="101">
        <f>'[12]MAINTENANCE-2'!AC15</f>
        <v>50500</v>
      </c>
      <c r="Y10" s="101"/>
      <c r="Z10" s="101"/>
      <c r="AA10" s="101"/>
      <c r="AB10" s="101"/>
      <c r="AC10" s="101">
        <v>-121333.33</v>
      </c>
      <c r="AD10" s="101">
        <f>[13]MAINTENANCE!O14</f>
        <v>3757999.9</v>
      </c>
      <c r="AE10" s="101"/>
      <c r="AF10" s="62">
        <f t="shared" si="3"/>
        <v>7694195</v>
      </c>
      <c r="AG10" s="63">
        <f t="shared" si="0"/>
        <v>1.5000000000000001E-2</v>
      </c>
      <c r="AH10" s="106">
        <f t="shared" si="4"/>
        <v>115412</v>
      </c>
      <c r="AI10" s="106">
        <v>113559</v>
      </c>
      <c r="AJ10" s="106">
        <f t="shared" si="5"/>
        <v>1853</v>
      </c>
      <c r="AK10" s="222"/>
      <c r="AL10" s="221">
        <f t="shared" si="6"/>
        <v>1853</v>
      </c>
      <c r="AM10" s="206">
        <v>3757999.9000000004</v>
      </c>
      <c r="AN10" s="207">
        <f t="shared" si="7"/>
        <v>7694195.8000000007</v>
      </c>
      <c r="AO10" s="151">
        <f t="shared" si="1"/>
        <v>0.80000000074505806</v>
      </c>
      <c r="AP10" s="93">
        <f t="shared" si="8"/>
        <v>3936195.1</v>
      </c>
      <c r="AQ10" s="93">
        <f t="shared" si="9"/>
        <v>3757999.1</v>
      </c>
      <c r="AR10" s="93">
        <f t="shared" si="10"/>
        <v>-3333.3300000000017</v>
      </c>
    </row>
    <row r="11" spans="2:45" s="27" customFormat="1">
      <c r="B11" s="97">
        <v>6</v>
      </c>
      <c r="C11" s="98" t="s">
        <v>236</v>
      </c>
      <c r="D11" s="208" t="s">
        <v>237</v>
      </c>
      <c r="E11" s="209" t="s">
        <v>343</v>
      </c>
      <c r="F11" s="98" t="s">
        <v>238</v>
      </c>
      <c r="G11" s="107" t="s">
        <v>88</v>
      </c>
      <c r="H11" s="99" t="s">
        <v>38</v>
      </c>
      <c r="I11" s="100" t="s">
        <v>7</v>
      </c>
      <c r="J11" s="58" t="str">
        <f t="shared" si="2"/>
        <v>TER A</v>
      </c>
      <c r="K11" s="210">
        <v>3761333.23</v>
      </c>
      <c r="L11" s="101">
        <f t="shared" si="11"/>
        <v>30575.999999999996</v>
      </c>
      <c r="M11" s="101">
        <f>'[12]MAINTENANCE-2'!AP16</f>
        <v>147620</v>
      </c>
      <c r="N11" s="101"/>
      <c r="O11" s="101"/>
      <c r="P11" s="101"/>
      <c r="Q11" s="101"/>
      <c r="R11" s="101"/>
      <c r="S11" s="101"/>
      <c r="T11" s="46">
        <f>'[12]MAINTENANCE-2'!X16</f>
        <v>56250</v>
      </c>
      <c r="U11" s="101"/>
      <c r="V11" s="101"/>
      <c r="W11" s="101"/>
      <c r="X11" s="101">
        <f>'[12]MAINTENANCE-2'!AC16</f>
        <v>50500</v>
      </c>
      <c r="Y11" s="101"/>
      <c r="Z11" s="101"/>
      <c r="AA11" s="101"/>
      <c r="AB11" s="101"/>
      <c r="AC11" s="101">
        <v>-727999.98</v>
      </c>
      <c r="AD11" s="101">
        <f>[13]MAINTENANCE!O15</f>
        <v>3757999.9</v>
      </c>
      <c r="AE11" s="101"/>
      <c r="AF11" s="62">
        <f t="shared" si="3"/>
        <v>7076279</v>
      </c>
      <c r="AG11" s="63">
        <f t="shared" si="0"/>
        <v>1.2500000000000001E-2</v>
      </c>
      <c r="AH11" s="106">
        <f t="shared" si="4"/>
        <v>88453</v>
      </c>
      <c r="AI11" s="106">
        <v>113559</v>
      </c>
      <c r="AJ11" s="106">
        <v>0</v>
      </c>
      <c r="AK11" s="222">
        <v>-25106</v>
      </c>
      <c r="AL11" s="221">
        <f t="shared" si="6"/>
        <v>-25106</v>
      </c>
      <c r="AM11" s="206">
        <v>3140083.2500000005</v>
      </c>
      <c r="AN11" s="207">
        <f t="shared" si="7"/>
        <v>7076279.1500000004</v>
      </c>
      <c r="AO11" s="151">
        <f t="shared" si="1"/>
        <v>0.15000000037252903</v>
      </c>
      <c r="AP11" s="93">
        <f t="shared" si="8"/>
        <v>3318279.1</v>
      </c>
      <c r="AQ11" s="93">
        <f t="shared" si="9"/>
        <v>3140083.1</v>
      </c>
      <c r="AR11" s="93">
        <f t="shared" si="10"/>
        <v>-621249.98</v>
      </c>
    </row>
    <row r="12" spans="2:45" s="27" customFormat="1">
      <c r="B12" s="97">
        <v>7</v>
      </c>
      <c r="C12" s="98" t="s">
        <v>239</v>
      </c>
      <c r="D12" s="208" t="s">
        <v>240</v>
      </c>
      <c r="E12" s="209" t="s">
        <v>344</v>
      </c>
      <c r="F12" s="98" t="s">
        <v>241</v>
      </c>
      <c r="G12" s="107" t="s">
        <v>88</v>
      </c>
      <c r="H12" s="99" t="s">
        <v>38</v>
      </c>
      <c r="I12" s="100" t="s">
        <v>7</v>
      </c>
      <c r="J12" s="58" t="str">
        <f t="shared" si="2"/>
        <v>TER A</v>
      </c>
      <c r="K12" s="210">
        <v>3761333.23</v>
      </c>
      <c r="L12" s="101">
        <f t="shared" si="11"/>
        <v>30575.999999999996</v>
      </c>
      <c r="M12" s="101">
        <f>'[12]MAINTENANCE-2'!AP17</f>
        <v>147480</v>
      </c>
      <c r="N12" s="101"/>
      <c r="O12" s="101"/>
      <c r="P12" s="101"/>
      <c r="Q12" s="101"/>
      <c r="R12" s="101"/>
      <c r="S12" s="101"/>
      <c r="T12" s="46">
        <f>'[12]MAINTENANCE-2'!X17</f>
        <v>67500</v>
      </c>
      <c r="U12" s="101"/>
      <c r="V12" s="101"/>
      <c r="W12" s="101"/>
      <c r="X12" s="101">
        <f>'[12]MAINTENANCE-2'!AC17</f>
        <v>47000</v>
      </c>
      <c r="Y12" s="101"/>
      <c r="Z12" s="101"/>
      <c r="AA12" s="101"/>
      <c r="AB12" s="101"/>
      <c r="AC12" s="101">
        <v>-121333.33</v>
      </c>
      <c r="AD12" s="101">
        <f>[13]MAINTENANCE!O16</f>
        <v>3754499.9</v>
      </c>
      <c r="AE12" s="101"/>
      <c r="AF12" s="62">
        <f t="shared" si="3"/>
        <v>7687055</v>
      </c>
      <c r="AG12" s="63">
        <f t="shared" si="0"/>
        <v>1.5000000000000001E-2</v>
      </c>
      <c r="AH12" s="106">
        <f t="shared" si="4"/>
        <v>115305</v>
      </c>
      <c r="AI12" s="106">
        <v>113452</v>
      </c>
      <c r="AJ12" s="106">
        <f t="shared" si="5"/>
        <v>1853</v>
      </c>
      <c r="AK12" s="222"/>
      <c r="AL12" s="221">
        <f t="shared" si="6"/>
        <v>1853</v>
      </c>
      <c r="AM12" s="206">
        <v>3754499.9000000004</v>
      </c>
      <c r="AN12" s="207">
        <f t="shared" si="7"/>
        <v>7687055.8000000007</v>
      </c>
      <c r="AO12" s="151">
        <f t="shared" si="1"/>
        <v>0.80000000074505806</v>
      </c>
      <c r="AP12" s="93">
        <f t="shared" si="8"/>
        <v>3932555.1</v>
      </c>
      <c r="AQ12" s="93">
        <f t="shared" si="9"/>
        <v>3754499.1</v>
      </c>
      <c r="AR12" s="93">
        <f t="shared" si="10"/>
        <v>-6833.3300000000017</v>
      </c>
    </row>
    <row r="13" spans="2:45" s="27" customFormat="1">
      <c r="B13" s="97">
        <v>8</v>
      </c>
      <c r="C13" s="98" t="s">
        <v>242</v>
      </c>
      <c r="D13" s="208" t="s">
        <v>243</v>
      </c>
      <c r="E13" s="209" t="s">
        <v>345</v>
      </c>
      <c r="F13" s="98" t="s">
        <v>244</v>
      </c>
      <c r="G13" s="107" t="s">
        <v>88</v>
      </c>
      <c r="H13" s="99" t="s">
        <v>38</v>
      </c>
      <c r="I13" s="100" t="s">
        <v>7</v>
      </c>
      <c r="J13" s="58" t="str">
        <f t="shared" si="2"/>
        <v>TER A</v>
      </c>
      <c r="K13" s="210">
        <v>3761333.23</v>
      </c>
      <c r="L13" s="101">
        <f t="shared" si="11"/>
        <v>30575.999999999996</v>
      </c>
      <c r="M13" s="101">
        <f>'[12]MAINTENANCE-2'!AP18</f>
        <v>148040</v>
      </c>
      <c r="N13" s="101"/>
      <c r="O13" s="101"/>
      <c r="P13" s="101"/>
      <c r="Q13" s="101"/>
      <c r="R13" s="101"/>
      <c r="S13" s="101"/>
      <c r="T13" s="46">
        <f>'[12]MAINTENANCE-2'!X18</f>
        <v>69750</v>
      </c>
      <c r="U13" s="101"/>
      <c r="V13" s="101"/>
      <c r="W13" s="101"/>
      <c r="X13" s="101">
        <f>'[12]MAINTENANCE-2'!AC18</f>
        <v>61000</v>
      </c>
      <c r="Y13" s="101"/>
      <c r="Z13" s="101"/>
      <c r="AA13" s="101"/>
      <c r="AB13" s="101"/>
      <c r="AC13" s="101">
        <v>0</v>
      </c>
      <c r="AD13" s="101">
        <f>[13]MAINTENANCE!O17</f>
        <v>3768499.9</v>
      </c>
      <c r="AE13" s="101"/>
      <c r="AF13" s="62">
        <f t="shared" si="3"/>
        <v>7839199</v>
      </c>
      <c r="AG13" s="63">
        <f t="shared" si="0"/>
        <v>1.5000000000000001E-2</v>
      </c>
      <c r="AH13" s="106">
        <f t="shared" si="4"/>
        <v>117587</v>
      </c>
      <c r="AI13" s="106">
        <v>113880</v>
      </c>
      <c r="AJ13" s="106">
        <f t="shared" si="5"/>
        <v>3707</v>
      </c>
      <c r="AK13" s="222"/>
      <c r="AL13" s="221">
        <f t="shared" si="6"/>
        <v>3707</v>
      </c>
      <c r="AM13" s="206">
        <v>3892083.2300000004</v>
      </c>
      <c r="AN13" s="207">
        <f t="shared" si="7"/>
        <v>7839199.1300000008</v>
      </c>
      <c r="AO13" s="151">
        <f t="shared" si="1"/>
        <v>0.13000000081956387</v>
      </c>
      <c r="AP13" s="93">
        <f t="shared" si="8"/>
        <v>4070699.1</v>
      </c>
      <c r="AQ13" s="93">
        <f t="shared" si="9"/>
        <v>3892083.1</v>
      </c>
      <c r="AR13" s="93">
        <f t="shared" si="10"/>
        <v>130750</v>
      </c>
    </row>
    <row r="14" spans="2:45" s="27" customFormat="1">
      <c r="B14" s="97">
        <v>9</v>
      </c>
      <c r="C14" s="98" t="s">
        <v>245</v>
      </c>
      <c r="D14" s="208" t="s">
        <v>246</v>
      </c>
      <c r="E14" s="209" t="s">
        <v>346</v>
      </c>
      <c r="F14" s="98" t="s">
        <v>247</v>
      </c>
      <c r="G14" s="107" t="s">
        <v>88</v>
      </c>
      <c r="H14" s="99" t="s">
        <v>38</v>
      </c>
      <c r="I14" s="100" t="s">
        <v>7</v>
      </c>
      <c r="J14" s="58" t="str">
        <f t="shared" si="2"/>
        <v>TER A</v>
      </c>
      <c r="K14" s="210">
        <v>3761333.23</v>
      </c>
      <c r="L14" s="101">
        <f t="shared" si="11"/>
        <v>30575.999999999996</v>
      </c>
      <c r="M14" s="101">
        <f>'[12]MAINTENANCE-2'!AP19</f>
        <v>147340</v>
      </c>
      <c r="N14" s="101"/>
      <c r="O14" s="101"/>
      <c r="P14" s="101"/>
      <c r="Q14" s="101"/>
      <c r="R14" s="101"/>
      <c r="S14" s="101"/>
      <c r="T14" s="46">
        <f>'[12]MAINTENANCE-2'!X19</f>
        <v>69750</v>
      </c>
      <c r="U14" s="101"/>
      <c r="V14" s="101"/>
      <c r="W14" s="101"/>
      <c r="X14" s="101">
        <f>'[12]MAINTENANCE-2'!AC19</f>
        <v>43500</v>
      </c>
      <c r="Y14" s="101"/>
      <c r="Z14" s="101"/>
      <c r="AA14" s="101"/>
      <c r="AB14" s="101"/>
      <c r="AC14" s="101">
        <v>0</v>
      </c>
      <c r="AD14" s="101">
        <f>[13]MAINTENANCE!O18</f>
        <v>3750999.9</v>
      </c>
      <c r="AE14" s="101"/>
      <c r="AF14" s="62">
        <f t="shared" si="3"/>
        <v>7803499</v>
      </c>
      <c r="AG14" s="63">
        <f t="shared" si="0"/>
        <v>1.5000000000000001E-2</v>
      </c>
      <c r="AH14" s="106">
        <f t="shared" si="4"/>
        <v>117052</v>
      </c>
      <c r="AI14" s="106">
        <v>113344</v>
      </c>
      <c r="AJ14" s="106">
        <f t="shared" si="5"/>
        <v>3708</v>
      </c>
      <c r="AK14" s="222"/>
      <c r="AL14" s="221">
        <f t="shared" si="6"/>
        <v>3708</v>
      </c>
      <c r="AM14" s="206">
        <v>3874583.2300000004</v>
      </c>
      <c r="AN14" s="207">
        <f t="shared" si="7"/>
        <v>7803499.1300000008</v>
      </c>
      <c r="AO14" s="151">
        <f t="shared" si="1"/>
        <v>0.13000000081956387</v>
      </c>
      <c r="AP14" s="93">
        <f t="shared" si="8"/>
        <v>4052499.1</v>
      </c>
      <c r="AQ14" s="93">
        <f t="shared" si="9"/>
        <v>3874583.1</v>
      </c>
      <c r="AR14" s="93">
        <f t="shared" si="10"/>
        <v>113250</v>
      </c>
    </row>
    <row r="15" spans="2:45" s="27" customFormat="1">
      <c r="B15" s="97">
        <v>10</v>
      </c>
      <c r="C15" s="98" t="s">
        <v>248</v>
      </c>
      <c r="D15" s="208" t="s">
        <v>249</v>
      </c>
      <c r="E15" s="209" t="s">
        <v>347</v>
      </c>
      <c r="F15" s="98" t="s">
        <v>250</v>
      </c>
      <c r="G15" s="107" t="s">
        <v>88</v>
      </c>
      <c r="H15" s="99" t="s">
        <v>39</v>
      </c>
      <c r="I15" s="100" t="s">
        <v>17</v>
      </c>
      <c r="J15" s="58" t="str">
        <f t="shared" si="2"/>
        <v>TER A</v>
      </c>
      <c r="K15" s="210">
        <v>3761333.23</v>
      </c>
      <c r="L15" s="101">
        <f t="shared" si="11"/>
        <v>30575.999999999996</v>
      </c>
      <c r="M15" s="101">
        <f>'[12]MAINTENANCE-2'!AP20</f>
        <v>148040</v>
      </c>
      <c r="N15" s="101"/>
      <c r="O15" s="101"/>
      <c r="P15" s="101"/>
      <c r="Q15" s="101"/>
      <c r="R15" s="101"/>
      <c r="S15" s="101"/>
      <c r="T15" s="46">
        <f>'[12]MAINTENANCE-2'!X20</f>
        <v>104400</v>
      </c>
      <c r="U15" s="101"/>
      <c r="V15" s="101"/>
      <c r="W15" s="101"/>
      <c r="X15" s="101">
        <f>'[12]MAINTENANCE-2'!AC20</f>
        <v>61000</v>
      </c>
      <c r="Y15" s="101"/>
      <c r="Z15" s="101"/>
      <c r="AA15" s="101"/>
      <c r="AB15" s="101"/>
      <c r="AC15" s="101">
        <v>-242666.66</v>
      </c>
      <c r="AD15" s="101">
        <f>[13]MAINTENANCE!O19</f>
        <v>3808999.9</v>
      </c>
      <c r="AE15" s="101"/>
      <c r="AF15" s="62">
        <f t="shared" si="3"/>
        <v>7671682</v>
      </c>
      <c r="AG15" s="63">
        <f t="shared" si="0"/>
        <v>1.5000000000000001E-2</v>
      </c>
      <c r="AH15" s="106">
        <f t="shared" si="4"/>
        <v>115075</v>
      </c>
      <c r="AI15" s="106">
        <v>115075</v>
      </c>
      <c r="AJ15" s="106">
        <f t="shared" si="5"/>
        <v>0</v>
      </c>
      <c r="AK15" s="222"/>
      <c r="AL15" s="221">
        <f t="shared" si="6"/>
        <v>0</v>
      </c>
      <c r="AM15" s="206">
        <v>3684066.5700000003</v>
      </c>
      <c r="AN15" s="207">
        <f t="shared" si="7"/>
        <v>7671682.4700000007</v>
      </c>
      <c r="AO15" s="151">
        <f t="shared" si="1"/>
        <v>0.47000000067055225</v>
      </c>
      <c r="AP15" s="93">
        <f t="shared" si="8"/>
        <v>3862682.1</v>
      </c>
      <c r="AQ15" s="93">
        <f t="shared" si="9"/>
        <v>3684066.1</v>
      </c>
      <c r="AR15" s="93">
        <f t="shared" si="10"/>
        <v>-77266.66</v>
      </c>
    </row>
    <row r="16" spans="2:45" s="27" customFormat="1">
      <c r="B16" s="97">
        <v>11</v>
      </c>
      <c r="C16" s="98" t="s">
        <v>251</v>
      </c>
      <c r="D16" s="208" t="s">
        <v>252</v>
      </c>
      <c r="E16" s="209" t="s">
        <v>348</v>
      </c>
      <c r="F16" s="98" t="s">
        <v>253</v>
      </c>
      <c r="G16" s="107" t="s">
        <v>88</v>
      </c>
      <c r="H16" s="99" t="s">
        <v>39</v>
      </c>
      <c r="I16" s="100" t="s">
        <v>7</v>
      </c>
      <c r="J16" s="58" t="str">
        <f t="shared" si="2"/>
        <v>TER A</v>
      </c>
      <c r="K16" s="210">
        <v>3761333.23</v>
      </c>
      <c r="L16" s="101">
        <f t="shared" si="11"/>
        <v>30575.999999999996</v>
      </c>
      <c r="M16" s="101">
        <f>'[12]MAINTENANCE-2'!AP21</f>
        <v>146560</v>
      </c>
      <c r="N16" s="101"/>
      <c r="O16" s="101"/>
      <c r="P16" s="101"/>
      <c r="Q16" s="101"/>
      <c r="R16" s="101"/>
      <c r="S16" s="101"/>
      <c r="T16" s="46">
        <f>'[12]MAINTENANCE-2'!X21</f>
        <v>65250</v>
      </c>
      <c r="U16" s="101"/>
      <c r="V16" s="101">
        <v>168323.68</v>
      </c>
      <c r="W16" s="101"/>
      <c r="X16" s="101">
        <f>'[12]MAINTENANCE-2'!AC21</f>
        <v>24000</v>
      </c>
      <c r="Y16" s="101"/>
      <c r="Z16" s="101"/>
      <c r="AA16" s="101"/>
      <c r="AB16" s="101"/>
      <c r="AC16" s="101">
        <v>-242666.66</v>
      </c>
      <c r="AD16" s="101">
        <f>[13]MAINTENANCE!O20</f>
        <v>3731499.9</v>
      </c>
      <c r="AE16" s="101"/>
      <c r="AF16" s="62">
        <f t="shared" si="3"/>
        <v>7684876</v>
      </c>
      <c r="AG16" s="63">
        <f t="shared" si="0"/>
        <v>1.5000000000000001E-2</v>
      </c>
      <c r="AH16" s="106">
        <f t="shared" si="4"/>
        <v>115273</v>
      </c>
      <c r="AI16" s="106">
        <v>90828</v>
      </c>
      <c r="AJ16" s="106">
        <f t="shared" si="5"/>
        <v>24445</v>
      </c>
      <c r="AK16" s="222"/>
      <c r="AL16" s="221">
        <f t="shared" si="6"/>
        <v>24445</v>
      </c>
      <c r="AM16" s="206">
        <v>3776240.2500000005</v>
      </c>
      <c r="AN16" s="207">
        <f t="shared" si="7"/>
        <v>7684876.1500000004</v>
      </c>
      <c r="AO16" s="151">
        <f t="shared" si="1"/>
        <v>0.15000000037252903</v>
      </c>
      <c r="AP16" s="93">
        <f t="shared" si="8"/>
        <v>3953376.1</v>
      </c>
      <c r="AQ16" s="93">
        <f t="shared" si="9"/>
        <v>3776240.1</v>
      </c>
      <c r="AR16" s="93">
        <f t="shared" si="10"/>
        <v>14907.01999999999</v>
      </c>
    </row>
    <row r="17" spans="2:44" s="27" customFormat="1">
      <c r="B17" s="97">
        <v>12</v>
      </c>
      <c r="C17" s="98" t="s">
        <v>254</v>
      </c>
      <c r="D17" s="208" t="s">
        <v>255</v>
      </c>
      <c r="E17" s="209" t="s">
        <v>349</v>
      </c>
      <c r="F17" s="98" t="s">
        <v>256</v>
      </c>
      <c r="G17" s="107" t="s">
        <v>88</v>
      </c>
      <c r="H17" s="99" t="s">
        <v>38</v>
      </c>
      <c r="I17" s="100" t="s">
        <v>7</v>
      </c>
      <c r="J17" s="58" t="str">
        <f t="shared" si="2"/>
        <v>TER A</v>
      </c>
      <c r="K17" s="210">
        <v>3761333.23</v>
      </c>
      <c r="L17" s="101">
        <f t="shared" si="11"/>
        <v>30575.999999999996</v>
      </c>
      <c r="M17" s="101">
        <f>'[12]MAINTENANCE-2'!AP22</f>
        <v>146800</v>
      </c>
      <c r="N17" s="101"/>
      <c r="O17" s="101"/>
      <c r="P17" s="101"/>
      <c r="Q17" s="101"/>
      <c r="R17" s="101"/>
      <c r="S17" s="101"/>
      <c r="T17" s="46">
        <f>'[12]MAINTENANCE-2'!X22</f>
        <v>69750</v>
      </c>
      <c r="U17" s="101"/>
      <c r="V17" s="101"/>
      <c r="W17" s="101"/>
      <c r="X17" s="101">
        <f>'[12]MAINTENANCE-2'!AC22</f>
        <v>30000</v>
      </c>
      <c r="Y17" s="101"/>
      <c r="Z17" s="101"/>
      <c r="AA17" s="101"/>
      <c r="AB17" s="101"/>
      <c r="AC17" s="101">
        <v>0</v>
      </c>
      <c r="AD17" s="101">
        <f>[13]MAINTENANCE!O21</f>
        <v>3737499.9</v>
      </c>
      <c r="AE17" s="101"/>
      <c r="AF17" s="62">
        <f t="shared" si="3"/>
        <v>7775959</v>
      </c>
      <c r="AG17" s="63">
        <f t="shared" si="0"/>
        <v>1.5000000000000001E-2</v>
      </c>
      <c r="AH17" s="106">
        <f t="shared" si="4"/>
        <v>116639</v>
      </c>
      <c r="AI17" s="106">
        <v>112931</v>
      </c>
      <c r="AJ17" s="106">
        <f t="shared" si="5"/>
        <v>3708</v>
      </c>
      <c r="AK17" s="222"/>
      <c r="AL17" s="221">
        <f t="shared" si="6"/>
        <v>3708</v>
      </c>
      <c r="AM17" s="206">
        <v>3861083.23</v>
      </c>
      <c r="AN17" s="207">
        <f t="shared" si="7"/>
        <v>7775959.1299999999</v>
      </c>
      <c r="AO17" s="151">
        <f t="shared" si="1"/>
        <v>0.12999999988824129</v>
      </c>
      <c r="AP17" s="93">
        <f t="shared" si="8"/>
        <v>4038459.1</v>
      </c>
      <c r="AQ17" s="93">
        <f t="shared" si="9"/>
        <v>3861083.1</v>
      </c>
      <c r="AR17" s="93">
        <f t="shared" si="10"/>
        <v>99750</v>
      </c>
    </row>
    <row r="18" spans="2:44" s="27" customFormat="1">
      <c r="B18" s="97">
        <v>13</v>
      </c>
      <c r="C18" s="98" t="s">
        <v>257</v>
      </c>
      <c r="D18" s="208" t="s">
        <v>258</v>
      </c>
      <c r="E18" s="209" t="s">
        <v>350</v>
      </c>
      <c r="F18" s="98" t="s">
        <v>259</v>
      </c>
      <c r="G18" s="107" t="s">
        <v>88</v>
      </c>
      <c r="H18" s="99" t="s">
        <v>39</v>
      </c>
      <c r="I18" s="100" t="s">
        <v>9</v>
      </c>
      <c r="J18" s="58" t="str">
        <f t="shared" si="2"/>
        <v>TER B</v>
      </c>
      <c r="K18" s="210">
        <v>3761333.23</v>
      </c>
      <c r="L18" s="101">
        <f t="shared" si="11"/>
        <v>30575.999999999996</v>
      </c>
      <c r="M18" s="101">
        <f>'[12]MAINTENANCE-2'!AP23</f>
        <v>146800</v>
      </c>
      <c r="N18" s="101"/>
      <c r="O18" s="101">
        <v>12000</v>
      </c>
      <c r="P18" s="101">
        <v>25000</v>
      </c>
      <c r="Q18" s="101">
        <v>28920</v>
      </c>
      <c r="R18" s="101"/>
      <c r="S18" s="101"/>
      <c r="T18" s="46">
        <f>'[12]MAINTENANCE-2'!X23</f>
        <v>139500</v>
      </c>
      <c r="U18" s="101"/>
      <c r="V18" s="101">
        <v>94682.07</v>
      </c>
      <c r="W18" s="101"/>
      <c r="X18" s="101">
        <f>'[12]MAINTENANCE-2'!AC23</f>
        <v>30000</v>
      </c>
      <c r="Y18" s="101"/>
      <c r="Z18" s="101"/>
      <c r="AA18" s="101"/>
      <c r="AB18" s="101"/>
      <c r="AC18" s="101">
        <v>0</v>
      </c>
      <c r="AD18" s="101">
        <f>[13]MAINTENANCE!O22</f>
        <v>3804999.9</v>
      </c>
      <c r="AE18" s="101"/>
      <c r="AF18" s="62">
        <f>ROUNDDOWN(SUM(K18:AE18),0)</f>
        <v>8073811</v>
      </c>
      <c r="AG18" s="63">
        <f t="shared" si="0"/>
        <v>0.01</v>
      </c>
      <c r="AH18" s="106">
        <f t="shared" si="4"/>
        <v>80738</v>
      </c>
      <c r="AI18" s="106">
        <v>77168</v>
      </c>
      <c r="AJ18" s="106">
        <f t="shared" si="5"/>
        <v>3570</v>
      </c>
      <c r="AK18" s="222"/>
      <c r="AL18" s="221">
        <f t="shared" si="6"/>
        <v>3570</v>
      </c>
      <c r="AM18" s="206">
        <v>4091435.3</v>
      </c>
      <c r="AN18" s="207">
        <f t="shared" si="7"/>
        <v>8073811.1999999993</v>
      </c>
      <c r="AO18" s="151">
        <f t="shared" si="1"/>
        <v>0.19999999925494194</v>
      </c>
      <c r="AP18" s="93">
        <f t="shared" si="8"/>
        <v>4268811.0999999996</v>
      </c>
      <c r="AQ18" s="93">
        <f t="shared" si="9"/>
        <v>4091435.0999999996</v>
      </c>
      <c r="AR18" s="93">
        <f t="shared" si="10"/>
        <v>330102.07</v>
      </c>
    </row>
    <row r="19" spans="2:44" s="27" customFormat="1">
      <c r="B19" s="97">
        <v>14</v>
      </c>
      <c r="C19" s="98" t="s">
        <v>260</v>
      </c>
      <c r="D19" s="208" t="s">
        <v>261</v>
      </c>
      <c r="E19" s="209" t="s">
        <v>73</v>
      </c>
      <c r="F19" s="98" t="s">
        <v>262</v>
      </c>
      <c r="G19" s="107" t="s">
        <v>88</v>
      </c>
      <c r="H19" s="99" t="s">
        <v>39</v>
      </c>
      <c r="I19" s="100" t="s">
        <v>11</v>
      </c>
      <c r="J19" s="58" t="str">
        <f t="shared" si="2"/>
        <v>TER B</v>
      </c>
      <c r="K19" s="210">
        <v>3761333.23</v>
      </c>
      <c r="L19" s="101">
        <f t="shared" si="11"/>
        <v>30575.999999999996</v>
      </c>
      <c r="M19" s="101">
        <f>'[12]MAINTENANCE-2'!AP24</f>
        <v>146440</v>
      </c>
      <c r="N19" s="101"/>
      <c r="O19" s="101"/>
      <c r="P19" s="101"/>
      <c r="Q19" s="101"/>
      <c r="R19" s="101"/>
      <c r="S19" s="101"/>
      <c r="T19" s="46">
        <f>'[12]MAINTENANCE-2'!X24</f>
        <v>156600</v>
      </c>
      <c r="U19" s="101"/>
      <c r="V19" s="101"/>
      <c r="W19" s="101"/>
      <c r="X19" s="101">
        <f>'[12]MAINTENANCE-2'!AC24</f>
        <v>21000</v>
      </c>
      <c r="Y19" s="101"/>
      <c r="Z19" s="101"/>
      <c r="AA19" s="101"/>
      <c r="AB19" s="101"/>
      <c r="AC19" s="101">
        <v>-242666.66</v>
      </c>
      <c r="AD19" s="101">
        <f>[13]MAINTENANCE!O23</f>
        <v>3822999.9</v>
      </c>
      <c r="AE19" s="101"/>
      <c r="AF19" s="62">
        <f t="shared" si="3"/>
        <v>7696282</v>
      </c>
      <c r="AG19" s="63">
        <f t="shared" si="0"/>
        <v>0.01</v>
      </c>
      <c r="AH19" s="106">
        <f t="shared" si="4"/>
        <v>76962</v>
      </c>
      <c r="AI19" s="106">
        <v>75695</v>
      </c>
      <c r="AJ19" s="106">
        <f t="shared" si="5"/>
        <v>1267</v>
      </c>
      <c r="AK19" s="222"/>
      <c r="AL19" s="221">
        <f t="shared" si="6"/>
        <v>1267</v>
      </c>
      <c r="AM19" s="206">
        <v>3696266.5700000003</v>
      </c>
      <c r="AN19" s="207">
        <f t="shared" si="7"/>
        <v>7696282.4700000007</v>
      </c>
      <c r="AO19" s="151">
        <f t="shared" si="1"/>
        <v>0.47000000067055225</v>
      </c>
      <c r="AP19" s="93">
        <f t="shared" si="8"/>
        <v>3873282.1</v>
      </c>
      <c r="AQ19" s="93">
        <f t="shared" si="9"/>
        <v>3696266.1</v>
      </c>
      <c r="AR19" s="93">
        <f t="shared" si="10"/>
        <v>-65066.66</v>
      </c>
    </row>
    <row r="20" spans="2:44" s="27" customFormat="1">
      <c r="B20" s="97">
        <v>15</v>
      </c>
      <c r="C20" s="98" t="s">
        <v>263</v>
      </c>
      <c r="D20" s="208" t="s">
        <v>264</v>
      </c>
      <c r="E20" s="209" t="s">
        <v>73</v>
      </c>
      <c r="F20" s="98" t="s">
        <v>265</v>
      </c>
      <c r="G20" s="107" t="s">
        <v>88</v>
      </c>
      <c r="H20" s="99" t="s">
        <v>39</v>
      </c>
      <c r="I20" s="100" t="s">
        <v>9</v>
      </c>
      <c r="J20" s="58" t="str">
        <f t="shared" si="2"/>
        <v>TER B</v>
      </c>
      <c r="K20" s="210">
        <v>3761333.23</v>
      </c>
      <c r="L20" s="101">
        <f t="shared" si="11"/>
        <v>30575.999999999996</v>
      </c>
      <c r="M20" s="101">
        <f>'[12]MAINTENANCE-2'!AP25</f>
        <v>145900</v>
      </c>
      <c r="N20" s="101"/>
      <c r="O20" s="101"/>
      <c r="P20" s="101"/>
      <c r="Q20" s="101"/>
      <c r="R20" s="101"/>
      <c r="S20" s="101"/>
      <c r="T20" s="46">
        <f>'[12]MAINTENANCE-2'!X25</f>
        <v>130500</v>
      </c>
      <c r="U20" s="101"/>
      <c r="V20" s="101"/>
      <c r="W20" s="101"/>
      <c r="X20" s="101">
        <f>'[12]MAINTENANCE-2'!AC25</f>
        <v>7500</v>
      </c>
      <c r="Y20" s="101"/>
      <c r="Z20" s="101"/>
      <c r="AA20" s="101"/>
      <c r="AB20" s="101"/>
      <c r="AC20" s="101">
        <v>-242666.66</v>
      </c>
      <c r="AD20" s="101">
        <f>[13]MAINTENANCE!O24</f>
        <v>3782499.9</v>
      </c>
      <c r="AE20" s="101"/>
      <c r="AF20" s="62">
        <f t="shared" si="3"/>
        <v>7615642</v>
      </c>
      <c r="AG20" s="63">
        <f t="shared" si="0"/>
        <v>0.01</v>
      </c>
      <c r="AH20" s="106">
        <f t="shared" si="4"/>
        <v>76156</v>
      </c>
      <c r="AI20" s="106">
        <v>76156</v>
      </c>
      <c r="AJ20" s="106">
        <f t="shared" si="5"/>
        <v>0</v>
      </c>
      <c r="AK20" s="222"/>
      <c r="AL20" s="221">
        <f t="shared" si="6"/>
        <v>0</v>
      </c>
      <c r="AM20" s="206">
        <v>3656666.5700000003</v>
      </c>
      <c r="AN20" s="207">
        <f t="shared" si="7"/>
        <v>7615642.4700000007</v>
      </c>
      <c r="AO20" s="151">
        <f t="shared" si="1"/>
        <v>0.47000000067055225</v>
      </c>
      <c r="AP20" s="93">
        <f t="shared" si="8"/>
        <v>3833142.1</v>
      </c>
      <c r="AQ20" s="93">
        <f t="shared" si="9"/>
        <v>3656666.1</v>
      </c>
      <c r="AR20" s="93">
        <f t="shared" si="10"/>
        <v>-104666.66</v>
      </c>
    </row>
    <row r="21" spans="2:44" s="27" customFormat="1">
      <c r="B21" s="97">
        <v>16</v>
      </c>
      <c r="C21" s="98" t="s">
        <v>266</v>
      </c>
      <c r="D21" s="208" t="s">
        <v>267</v>
      </c>
      <c r="E21" s="209" t="s">
        <v>351</v>
      </c>
      <c r="F21" s="98" t="s">
        <v>268</v>
      </c>
      <c r="G21" s="107" t="s">
        <v>88</v>
      </c>
      <c r="H21" s="99" t="s">
        <v>38</v>
      </c>
      <c r="I21" s="100" t="s">
        <v>7</v>
      </c>
      <c r="J21" s="58" t="str">
        <f t="shared" si="2"/>
        <v>TER A</v>
      </c>
      <c r="K21" s="210">
        <v>3761333.23</v>
      </c>
      <c r="L21" s="101">
        <f t="shared" si="11"/>
        <v>30575.999999999996</v>
      </c>
      <c r="M21" s="101">
        <f>'[12]MAINTENANCE-2'!AP26</f>
        <v>147340</v>
      </c>
      <c r="N21" s="101"/>
      <c r="O21" s="101"/>
      <c r="P21" s="101"/>
      <c r="Q21" s="101"/>
      <c r="R21" s="101"/>
      <c r="S21" s="101"/>
      <c r="T21" s="46">
        <f>'[12]MAINTENANCE-2'!X26</f>
        <v>69750</v>
      </c>
      <c r="U21" s="101"/>
      <c r="V21" s="101"/>
      <c r="W21" s="101"/>
      <c r="X21" s="101">
        <f>'[12]MAINTENANCE-2'!AC26</f>
        <v>43500</v>
      </c>
      <c r="Y21" s="101"/>
      <c r="Z21" s="101"/>
      <c r="AA21" s="101"/>
      <c r="AB21" s="101"/>
      <c r="AC21" s="101">
        <v>0</v>
      </c>
      <c r="AD21" s="101">
        <f>[13]MAINTENANCE!O25</f>
        <v>3750999.9</v>
      </c>
      <c r="AE21" s="101"/>
      <c r="AF21" s="62">
        <f t="shared" si="3"/>
        <v>7803499</v>
      </c>
      <c r="AG21" s="63">
        <f t="shared" si="0"/>
        <v>1.5000000000000001E-2</v>
      </c>
      <c r="AH21" s="106">
        <f t="shared" si="4"/>
        <v>117052</v>
      </c>
      <c r="AI21" s="106">
        <v>113344</v>
      </c>
      <c r="AJ21" s="106">
        <f t="shared" si="5"/>
        <v>3708</v>
      </c>
      <c r="AK21" s="222"/>
      <c r="AL21" s="221">
        <f t="shared" si="6"/>
        <v>3708</v>
      </c>
      <c r="AM21" s="206">
        <v>3874583.2300000004</v>
      </c>
      <c r="AN21" s="207">
        <f t="shared" si="7"/>
        <v>7803499.1300000008</v>
      </c>
      <c r="AO21" s="151">
        <f t="shared" si="1"/>
        <v>0.13000000081956387</v>
      </c>
      <c r="AP21" s="93">
        <f t="shared" si="8"/>
        <v>4052499.1</v>
      </c>
      <c r="AQ21" s="93">
        <f t="shared" si="9"/>
        <v>3874583.1</v>
      </c>
      <c r="AR21" s="93">
        <f t="shared" si="10"/>
        <v>113250</v>
      </c>
    </row>
    <row r="22" spans="2:44" s="27" customFormat="1">
      <c r="B22" s="97">
        <v>17</v>
      </c>
      <c r="C22" s="98" t="s">
        <v>269</v>
      </c>
      <c r="D22" s="208" t="s">
        <v>270</v>
      </c>
      <c r="E22" s="209" t="s">
        <v>352</v>
      </c>
      <c r="F22" s="98" t="s">
        <v>271</v>
      </c>
      <c r="G22" s="107" t="s">
        <v>88</v>
      </c>
      <c r="H22" s="99" t="s">
        <v>38</v>
      </c>
      <c r="I22" s="100" t="s">
        <v>7</v>
      </c>
      <c r="J22" s="58" t="str">
        <f t="shared" si="2"/>
        <v>TER A</v>
      </c>
      <c r="K22" s="210">
        <v>3761333.23</v>
      </c>
      <c r="L22" s="101">
        <f t="shared" si="11"/>
        <v>30575.999999999996</v>
      </c>
      <c r="M22" s="101">
        <f>'[12]MAINTENANCE-2'!AP27</f>
        <v>147620</v>
      </c>
      <c r="N22" s="101"/>
      <c r="O22" s="101"/>
      <c r="P22" s="101"/>
      <c r="Q22" s="101"/>
      <c r="R22" s="101"/>
      <c r="S22" s="101"/>
      <c r="T22" s="46">
        <f>'[12]MAINTENANCE-2'!X27</f>
        <v>67500</v>
      </c>
      <c r="U22" s="101"/>
      <c r="V22" s="101"/>
      <c r="W22" s="101"/>
      <c r="X22" s="101">
        <f>'[12]MAINTENANCE-2'!AC27</f>
        <v>50500</v>
      </c>
      <c r="Y22" s="101"/>
      <c r="Z22" s="101"/>
      <c r="AA22" s="101"/>
      <c r="AB22" s="101"/>
      <c r="AC22" s="101">
        <v>-121333.33</v>
      </c>
      <c r="AD22" s="101">
        <f>[13]MAINTENANCE!O26</f>
        <v>3757999.9</v>
      </c>
      <c r="AE22" s="101"/>
      <c r="AF22" s="62">
        <f t="shared" si="3"/>
        <v>7694195</v>
      </c>
      <c r="AG22" s="63">
        <f t="shared" si="0"/>
        <v>1.5000000000000001E-2</v>
      </c>
      <c r="AH22" s="106">
        <f t="shared" si="4"/>
        <v>115412</v>
      </c>
      <c r="AI22" s="106">
        <v>113559</v>
      </c>
      <c r="AJ22" s="106">
        <f t="shared" si="5"/>
        <v>1853</v>
      </c>
      <c r="AK22" s="222"/>
      <c r="AL22" s="221">
        <f t="shared" si="6"/>
        <v>1853</v>
      </c>
      <c r="AM22" s="206">
        <v>3757999.9</v>
      </c>
      <c r="AN22" s="207">
        <f t="shared" si="7"/>
        <v>7694195.7999999998</v>
      </c>
      <c r="AO22" s="151">
        <f t="shared" si="1"/>
        <v>0.79999999981373549</v>
      </c>
      <c r="AP22" s="93">
        <f t="shared" si="8"/>
        <v>3936195.1</v>
      </c>
      <c r="AQ22" s="93">
        <f t="shared" si="9"/>
        <v>3757999.1</v>
      </c>
      <c r="AR22" s="93">
        <f t="shared" si="10"/>
        <v>-3333.3300000000017</v>
      </c>
    </row>
    <row r="23" spans="2:44" s="27" customFormat="1">
      <c r="B23" s="97">
        <v>18</v>
      </c>
      <c r="C23" s="98" t="s">
        <v>272</v>
      </c>
      <c r="D23" s="42" t="s">
        <v>273</v>
      </c>
      <c r="E23" s="43" t="s">
        <v>353</v>
      </c>
      <c r="F23" s="41" t="s">
        <v>274</v>
      </c>
      <c r="G23" s="107" t="s">
        <v>88</v>
      </c>
      <c r="H23" s="44" t="s">
        <v>38</v>
      </c>
      <c r="I23" s="45" t="s">
        <v>7</v>
      </c>
      <c r="J23" s="58" t="str">
        <f t="shared" si="2"/>
        <v>TER A</v>
      </c>
      <c r="K23" s="210">
        <v>3761333.23</v>
      </c>
      <c r="L23" s="101">
        <f t="shared" si="11"/>
        <v>30575.999999999996</v>
      </c>
      <c r="M23" s="101">
        <f>'[12]MAINTENANCE-2'!AP28</f>
        <v>146560</v>
      </c>
      <c r="N23" s="46"/>
      <c r="O23" s="46"/>
      <c r="P23" s="46"/>
      <c r="Q23" s="46"/>
      <c r="R23" s="46"/>
      <c r="S23" s="46"/>
      <c r="T23" s="46">
        <f>'[12]MAINTENANCE-2'!X28</f>
        <v>65250</v>
      </c>
      <c r="U23" s="101"/>
      <c r="V23" s="101"/>
      <c r="W23" s="46"/>
      <c r="X23" s="101">
        <f>'[12]MAINTENANCE-2'!AC28</f>
        <v>24000</v>
      </c>
      <c r="Y23" s="46"/>
      <c r="Z23" s="46"/>
      <c r="AA23" s="46"/>
      <c r="AB23" s="46"/>
      <c r="AC23" s="46">
        <v>-242666.66</v>
      </c>
      <c r="AD23" s="101">
        <f>[13]MAINTENANCE!O27</f>
        <v>3731499.9</v>
      </c>
      <c r="AE23" s="46"/>
      <c r="AF23" s="62">
        <f t="shared" si="3"/>
        <v>7516552</v>
      </c>
      <c r="AG23" s="63">
        <f t="shared" si="0"/>
        <v>1.5000000000000001E-2</v>
      </c>
      <c r="AH23" s="106">
        <f t="shared" si="4"/>
        <v>112748</v>
      </c>
      <c r="AI23" s="106">
        <v>112748</v>
      </c>
      <c r="AJ23" s="106">
        <f t="shared" si="5"/>
        <v>0</v>
      </c>
      <c r="AK23" s="222"/>
      <c r="AL23" s="221">
        <f t="shared" si="6"/>
        <v>0</v>
      </c>
      <c r="AM23" s="206">
        <v>3607916.5700000003</v>
      </c>
      <c r="AN23" s="207">
        <f t="shared" si="7"/>
        <v>7516552.4700000007</v>
      </c>
      <c r="AO23" s="151">
        <f t="shared" si="1"/>
        <v>0.47000000067055225</v>
      </c>
      <c r="AP23" s="93">
        <f t="shared" si="8"/>
        <v>3785052.1</v>
      </c>
      <c r="AQ23" s="93">
        <f t="shared" si="9"/>
        <v>3607916.1</v>
      </c>
      <c r="AR23" s="93">
        <f t="shared" si="10"/>
        <v>-153416.66</v>
      </c>
    </row>
    <row r="24" spans="2:44" s="27" customFormat="1">
      <c r="B24" s="97">
        <v>19</v>
      </c>
      <c r="C24" s="98" t="s">
        <v>275</v>
      </c>
      <c r="D24" s="42" t="s">
        <v>276</v>
      </c>
      <c r="E24" s="43" t="s">
        <v>354</v>
      </c>
      <c r="F24" s="41" t="s">
        <v>247</v>
      </c>
      <c r="G24" s="107" t="s">
        <v>88</v>
      </c>
      <c r="H24" s="44" t="s">
        <v>39</v>
      </c>
      <c r="I24" s="45" t="s">
        <v>11</v>
      </c>
      <c r="J24" s="58" t="str">
        <f t="shared" si="2"/>
        <v>TER B</v>
      </c>
      <c r="K24" s="210">
        <v>3761333.23</v>
      </c>
      <c r="L24" s="101">
        <f t="shared" si="11"/>
        <v>30575.999999999996</v>
      </c>
      <c r="M24" s="101">
        <f>'[12]MAINTENANCE-2'!AP29</f>
        <v>148040</v>
      </c>
      <c r="N24" s="46"/>
      <c r="O24" s="46"/>
      <c r="P24" s="46"/>
      <c r="Q24" s="46"/>
      <c r="R24" s="46"/>
      <c r="S24" s="46"/>
      <c r="T24" s="46">
        <f>'[12]MAINTENANCE-2'!X29</f>
        <v>162000</v>
      </c>
      <c r="U24" s="101"/>
      <c r="V24" s="101">
        <v>662774.49</v>
      </c>
      <c r="W24" s="46"/>
      <c r="X24" s="101">
        <f>'[12]MAINTENANCE-2'!AC29</f>
        <v>61000</v>
      </c>
      <c r="Y24" s="46"/>
      <c r="Z24" s="46"/>
      <c r="AA24" s="46"/>
      <c r="AB24" s="46"/>
      <c r="AC24" s="46">
        <v>-121333.33</v>
      </c>
      <c r="AD24" s="101">
        <f>[13]MAINTENANCE!O28</f>
        <v>3862999.9</v>
      </c>
      <c r="AE24" s="46"/>
      <c r="AF24" s="62">
        <f t="shared" si="3"/>
        <v>8567390</v>
      </c>
      <c r="AG24" s="63">
        <f t="shared" si="0"/>
        <v>0.01</v>
      </c>
      <c r="AH24" s="106">
        <f t="shared" si="4"/>
        <v>85673</v>
      </c>
      <c r="AI24" s="106">
        <v>83459</v>
      </c>
      <c r="AJ24" s="106">
        <f t="shared" si="5"/>
        <v>2214</v>
      </c>
      <c r="AK24" s="222"/>
      <c r="AL24" s="221">
        <f t="shared" si="6"/>
        <v>2214</v>
      </c>
      <c r="AM24" s="206">
        <v>4525774.3900000006</v>
      </c>
      <c r="AN24" s="207">
        <f t="shared" si="7"/>
        <v>8567390.290000001</v>
      </c>
      <c r="AO24" s="151">
        <f t="shared" si="1"/>
        <v>0.29000000096857548</v>
      </c>
      <c r="AP24" s="93">
        <f t="shared" si="8"/>
        <v>4704390.0999999996</v>
      </c>
      <c r="AQ24" s="93">
        <f t="shared" si="9"/>
        <v>4525774.0999999996</v>
      </c>
      <c r="AR24" s="93">
        <f t="shared" si="10"/>
        <v>764441.16</v>
      </c>
    </row>
    <row r="25" spans="2:44" s="27" customFormat="1">
      <c r="B25" s="97">
        <v>20</v>
      </c>
      <c r="C25" s="98" t="s">
        <v>277</v>
      </c>
      <c r="D25" s="42" t="s">
        <v>278</v>
      </c>
      <c r="E25" s="43" t="s">
        <v>355</v>
      </c>
      <c r="F25" s="41" t="s">
        <v>279</v>
      </c>
      <c r="G25" s="107" t="s">
        <v>88</v>
      </c>
      <c r="H25" s="44" t="s">
        <v>38</v>
      </c>
      <c r="I25" s="45" t="s">
        <v>7</v>
      </c>
      <c r="J25" s="58" t="str">
        <f t="shared" si="2"/>
        <v>TER A</v>
      </c>
      <c r="K25" s="210">
        <v>3761333.23</v>
      </c>
      <c r="L25" s="101">
        <f t="shared" si="11"/>
        <v>30575.999999999996</v>
      </c>
      <c r="M25" s="101">
        <f>'[12]MAINTENANCE-2'!AP30</f>
        <v>147620</v>
      </c>
      <c r="N25" s="46"/>
      <c r="O25" s="46"/>
      <c r="P25" s="46"/>
      <c r="Q25" s="46"/>
      <c r="R25" s="46"/>
      <c r="S25" s="46"/>
      <c r="T25" s="46">
        <f>'[12]MAINTENANCE-2'!X30</f>
        <v>65250</v>
      </c>
      <c r="U25" s="101"/>
      <c r="V25" s="101"/>
      <c r="W25" s="46"/>
      <c r="X25" s="101">
        <f>'[12]MAINTENANCE-2'!AC30</f>
        <v>50500</v>
      </c>
      <c r="Y25" s="46"/>
      <c r="Z25" s="46"/>
      <c r="AA25" s="46"/>
      <c r="AB25" s="46"/>
      <c r="AC25" s="46">
        <v>-242666.66</v>
      </c>
      <c r="AD25" s="101">
        <f>[13]MAINTENANCE!O29</f>
        <v>3757999.9</v>
      </c>
      <c r="AE25" s="46"/>
      <c r="AF25" s="62">
        <f t="shared" si="3"/>
        <v>7570612</v>
      </c>
      <c r="AG25" s="63">
        <f t="shared" si="0"/>
        <v>1.5000000000000001E-2</v>
      </c>
      <c r="AH25" s="106">
        <f t="shared" si="4"/>
        <v>113559</v>
      </c>
      <c r="AI25" s="106">
        <v>114032</v>
      </c>
      <c r="AJ25" s="106">
        <v>0</v>
      </c>
      <c r="AK25" s="222">
        <v>-473</v>
      </c>
      <c r="AL25" s="221">
        <f t="shared" si="6"/>
        <v>-473</v>
      </c>
      <c r="AM25" s="206">
        <v>3634416.5700000003</v>
      </c>
      <c r="AN25" s="207">
        <f t="shared" si="7"/>
        <v>7570612.4700000007</v>
      </c>
      <c r="AO25" s="151">
        <f t="shared" si="1"/>
        <v>0.47000000067055225</v>
      </c>
      <c r="AP25" s="93">
        <f t="shared" si="8"/>
        <v>3812612.1</v>
      </c>
      <c r="AQ25" s="93">
        <f t="shared" si="9"/>
        <v>3634416.1</v>
      </c>
      <c r="AR25" s="93">
        <f t="shared" si="10"/>
        <v>-126916.66</v>
      </c>
    </row>
    <row r="26" spans="2:44" s="27" customFormat="1">
      <c r="B26" s="97">
        <v>21</v>
      </c>
      <c r="C26" s="98" t="s">
        <v>280</v>
      </c>
      <c r="D26" s="42" t="s">
        <v>281</v>
      </c>
      <c r="E26" s="43" t="s">
        <v>356</v>
      </c>
      <c r="F26" s="41" t="s">
        <v>282</v>
      </c>
      <c r="G26" s="107" t="s">
        <v>88</v>
      </c>
      <c r="H26" s="44" t="s">
        <v>38</v>
      </c>
      <c r="I26" s="45" t="s">
        <v>7</v>
      </c>
      <c r="J26" s="58" t="str">
        <f t="shared" si="2"/>
        <v>TER A</v>
      </c>
      <c r="K26" s="210">
        <v>3761333.23</v>
      </c>
      <c r="L26" s="101">
        <f t="shared" si="11"/>
        <v>30575.999999999996</v>
      </c>
      <c r="M26" s="101">
        <f>'[12]MAINTENANCE-2'!AP31</f>
        <v>147340</v>
      </c>
      <c r="N26" s="46"/>
      <c r="O26" s="46"/>
      <c r="P26" s="46"/>
      <c r="Q26" s="46"/>
      <c r="R26" s="46"/>
      <c r="S26" s="46"/>
      <c r="T26" s="46">
        <f>'[12]MAINTENANCE-2'!X31</f>
        <v>69750</v>
      </c>
      <c r="U26" s="101"/>
      <c r="V26" s="101"/>
      <c r="W26" s="46"/>
      <c r="X26" s="101">
        <f>'[12]MAINTENANCE-2'!AC31</f>
        <v>43500</v>
      </c>
      <c r="Y26" s="46"/>
      <c r="Z26" s="46"/>
      <c r="AA26" s="46"/>
      <c r="AB26" s="46"/>
      <c r="AC26" s="46">
        <v>0</v>
      </c>
      <c r="AD26" s="101">
        <f>[13]MAINTENANCE!O30</f>
        <v>3750999.9</v>
      </c>
      <c r="AE26" s="46"/>
      <c r="AF26" s="62">
        <f t="shared" si="3"/>
        <v>7803499</v>
      </c>
      <c r="AG26" s="63">
        <f t="shared" si="0"/>
        <v>1.5000000000000001E-2</v>
      </c>
      <c r="AH26" s="106">
        <f t="shared" si="4"/>
        <v>117052</v>
      </c>
      <c r="AI26" s="106">
        <v>91364</v>
      </c>
      <c r="AJ26" s="106">
        <f t="shared" si="5"/>
        <v>25688</v>
      </c>
      <c r="AK26" s="222"/>
      <c r="AL26" s="221">
        <f t="shared" si="6"/>
        <v>25688</v>
      </c>
      <c r="AM26" s="206">
        <v>3874583.23</v>
      </c>
      <c r="AN26" s="207">
        <f t="shared" si="7"/>
        <v>7803499.1299999999</v>
      </c>
      <c r="AO26" s="151">
        <f t="shared" si="1"/>
        <v>0.12999999988824129</v>
      </c>
      <c r="AP26" s="93">
        <f t="shared" si="8"/>
        <v>4052499.1</v>
      </c>
      <c r="AQ26" s="93">
        <f t="shared" si="9"/>
        <v>3874583.1</v>
      </c>
      <c r="AR26" s="93">
        <f t="shared" si="10"/>
        <v>113250</v>
      </c>
    </row>
    <row r="27" spans="2:44" s="27" customFormat="1">
      <c r="B27" s="97">
        <v>22</v>
      </c>
      <c r="C27" s="98" t="s">
        <v>357</v>
      </c>
      <c r="D27" s="42" t="s">
        <v>284</v>
      </c>
      <c r="E27" s="43" t="s">
        <v>358</v>
      </c>
      <c r="F27" s="41" t="s">
        <v>285</v>
      </c>
      <c r="G27" s="107" t="s">
        <v>88</v>
      </c>
      <c r="H27" s="44" t="s">
        <v>38</v>
      </c>
      <c r="I27" s="45" t="s">
        <v>7</v>
      </c>
      <c r="J27" s="58" t="str">
        <f t="shared" si="2"/>
        <v>TER A</v>
      </c>
      <c r="K27" s="210">
        <v>3761333.23</v>
      </c>
      <c r="L27" s="101">
        <f t="shared" si="11"/>
        <v>30575.999999999996</v>
      </c>
      <c r="M27" s="101">
        <f>'[12]MAINTENANCE-2'!AP32</f>
        <v>146200</v>
      </c>
      <c r="N27" s="46"/>
      <c r="O27" s="46"/>
      <c r="P27" s="46"/>
      <c r="Q27" s="46"/>
      <c r="R27" s="46"/>
      <c r="S27" s="46"/>
      <c r="T27" s="46">
        <f>'[12]MAINTENANCE-2'!X32</f>
        <v>69750</v>
      </c>
      <c r="U27" s="101"/>
      <c r="V27" s="101"/>
      <c r="W27" s="46"/>
      <c r="X27" s="101">
        <f>'[12]MAINTENANCE-2'!AC32</f>
        <v>15000</v>
      </c>
      <c r="Y27" s="46"/>
      <c r="Z27" s="46"/>
      <c r="AA27" s="46"/>
      <c r="AB27" s="46"/>
      <c r="AC27" s="46">
        <v>0</v>
      </c>
      <c r="AD27" s="101">
        <f>[13]MAINTENANCE!O31</f>
        <v>3722499.9</v>
      </c>
      <c r="AE27" s="46"/>
      <c r="AF27" s="62">
        <f t="shared" si="3"/>
        <v>7745359</v>
      </c>
      <c r="AG27" s="63">
        <f t="shared" si="0"/>
        <v>1.5000000000000001E-2</v>
      </c>
      <c r="AH27" s="106">
        <f t="shared" si="4"/>
        <v>116180</v>
      </c>
      <c r="AI27" s="106">
        <v>93727</v>
      </c>
      <c r="AJ27" s="106">
        <f t="shared" si="5"/>
        <v>22453</v>
      </c>
      <c r="AK27" s="222"/>
      <c r="AL27" s="221">
        <f t="shared" si="6"/>
        <v>22453</v>
      </c>
      <c r="AM27" s="206">
        <v>3846083.2300000004</v>
      </c>
      <c r="AN27" s="207">
        <f t="shared" si="7"/>
        <v>7745359.1300000008</v>
      </c>
      <c r="AO27" s="151">
        <f t="shared" si="1"/>
        <v>0.13000000081956387</v>
      </c>
      <c r="AP27" s="93">
        <f t="shared" si="8"/>
        <v>4022859.1</v>
      </c>
      <c r="AQ27" s="93">
        <f t="shared" si="9"/>
        <v>3846083.1</v>
      </c>
      <c r="AR27" s="93">
        <f t="shared" si="10"/>
        <v>84750</v>
      </c>
    </row>
    <row r="28" spans="2:44" s="27" customFormat="1">
      <c r="B28" s="97">
        <v>23</v>
      </c>
      <c r="C28" s="98" t="s">
        <v>286</v>
      </c>
      <c r="D28" s="42" t="s">
        <v>287</v>
      </c>
      <c r="E28" s="209" t="s">
        <v>73</v>
      </c>
      <c r="F28" s="41" t="s">
        <v>288</v>
      </c>
      <c r="G28" s="107" t="s">
        <v>88</v>
      </c>
      <c r="H28" s="44" t="s">
        <v>38</v>
      </c>
      <c r="I28" s="45" t="s">
        <v>7</v>
      </c>
      <c r="J28" s="58" t="str">
        <f t="shared" si="2"/>
        <v>TER A</v>
      </c>
      <c r="K28" s="210">
        <v>3761333.23</v>
      </c>
      <c r="L28" s="101">
        <f t="shared" si="11"/>
        <v>30575.999999999996</v>
      </c>
      <c r="M28" s="101">
        <f>'[12]MAINTENANCE-2'!AP33</f>
        <v>146200</v>
      </c>
      <c r="N28" s="46"/>
      <c r="O28" s="46"/>
      <c r="P28" s="46"/>
      <c r="Q28" s="46"/>
      <c r="R28" s="46"/>
      <c r="S28" s="46"/>
      <c r="T28" s="46">
        <f>'[12]MAINTENANCE-2'!X33</f>
        <v>69750</v>
      </c>
      <c r="U28" s="101"/>
      <c r="V28" s="101"/>
      <c r="W28" s="46"/>
      <c r="X28" s="101">
        <f>'[12]MAINTENANCE-2'!AC33</f>
        <v>15000</v>
      </c>
      <c r="Y28" s="46"/>
      <c r="Z28" s="46"/>
      <c r="AA28" s="46"/>
      <c r="AB28" s="46"/>
      <c r="AC28" s="46">
        <v>0</v>
      </c>
      <c r="AD28" s="101">
        <f>[13]MAINTENANCE!O32</f>
        <v>3722499.9</v>
      </c>
      <c r="AE28" s="46"/>
      <c r="AF28" s="62">
        <f t="shared" si="3"/>
        <v>7745359</v>
      </c>
      <c r="AG28" s="63">
        <f t="shared" si="0"/>
        <v>1.5000000000000001E-2</v>
      </c>
      <c r="AH28" s="106">
        <f t="shared" si="4"/>
        <v>116180</v>
      </c>
      <c r="AI28" s="106">
        <v>112946</v>
      </c>
      <c r="AJ28" s="106">
        <f t="shared" si="5"/>
        <v>3234</v>
      </c>
      <c r="AK28" s="222"/>
      <c r="AL28" s="221">
        <f t="shared" si="6"/>
        <v>3234</v>
      </c>
      <c r="AM28" s="206">
        <v>3846083.2300000004</v>
      </c>
      <c r="AN28" s="207">
        <f t="shared" si="7"/>
        <v>7745359.1300000008</v>
      </c>
      <c r="AO28" s="151">
        <f t="shared" si="1"/>
        <v>0.13000000081956387</v>
      </c>
      <c r="AP28" s="93">
        <f t="shared" si="8"/>
        <v>4022859.1</v>
      </c>
      <c r="AQ28" s="93">
        <f t="shared" si="9"/>
        <v>3846083.1</v>
      </c>
      <c r="AR28" s="93">
        <f t="shared" si="10"/>
        <v>84750</v>
      </c>
    </row>
    <row r="29" spans="2:44" s="27" customFormat="1">
      <c r="B29" s="97">
        <v>24</v>
      </c>
      <c r="C29" s="98" t="s">
        <v>289</v>
      </c>
      <c r="D29" s="42" t="s">
        <v>290</v>
      </c>
      <c r="E29" s="209" t="s">
        <v>73</v>
      </c>
      <c r="F29" s="41" t="s">
        <v>291</v>
      </c>
      <c r="G29" s="107" t="s">
        <v>88</v>
      </c>
      <c r="H29" s="44" t="s">
        <v>38</v>
      </c>
      <c r="I29" s="45" t="s">
        <v>7</v>
      </c>
      <c r="J29" s="58" t="str">
        <f t="shared" si="2"/>
        <v>TER A</v>
      </c>
      <c r="K29" s="210">
        <v>3761333.23</v>
      </c>
      <c r="L29" s="101">
        <f t="shared" si="11"/>
        <v>30575.999999999996</v>
      </c>
      <c r="M29" s="101">
        <f>'[12]MAINTENANCE-2'!AP34</f>
        <v>146200</v>
      </c>
      <c r="N29" s="46"/>
      <c r="O29" s="46"/>
      <c r="P29" s="46"/>
      <c r="Q29" s="46"/>
      <c r="R29" s="46"/>
      <c r="S29" s="46"/>
      <c r="T29" s="46">
        <f>'[12]MAINTENANCE-2'!X34</f>
        <v>69750</v>
      </c>
      <c r="U29" s="101"/>
      <c r="V29" s="101"/>
      <c r="W29" s="46"/>
      <c r="X29" s="101">
        <f>'[12]MAINTENANCE-2'!AC34</f>
        <v>15000</v>
      </c>
      <c r="Y29" s="46"/>
      <c r="Z29" s="46"/>
      <c r="AA29" s="46"/>
      <c r="AB29" s="46"/>
      <c r="AC29" s="46">
        <v>0</v>
      </c>
      <c r="AD29" s="101">
        <f>[13]MAINTENANCE!O33</f>
        <v>3722499.9</v>
      </c>
      <c r="AE29" s="46"/>
      <c r="AF29" s="62">
        <f t="shared" si="3"/>
        <v>7745359</v>
      </c>
      <c r="AG29" s="63">
        <f t="shared" si="0"/>
        <v>1.5000000000000001E-2</v>
      </c>
      <c r="AH29" s="106">
        <f t="shared" si="4"/>
        <v>116180</v>
      </c>
      <c r="AI29" s="106">
        <v>112946</v>
      </c>
      <c r="AJ29" s="106">
        <f t="shared" si="5"/>
        <v>3234</v>
      </c>
      <c r="AK29" s="222"/>
      <c r="AL29" s="221">
        <f t="shared" si="6"/>
        <v>3234</v>
      </c>
      <c r="AM29" s="206">
        <v>3846083.2300000004</v>
      </c>
      <c r="AN29" s="207">
        <f t="shared" si="7"/>
        <v>7745359.1300000008</v>
      </c>
      <c r="AO29" s="151">
        <f t="shared" si="1"/>
        <v>0.13000000081956387</v>
      </c>
      <c r="AP29" s="93">
        <f t="shared" si="8"/>
        <v>4022859.1</v>
      </c>
      <c r="AQ29" s="93">
        <f t="shared" si="9"/>
        <v>3846083.1</v>
      </c>
      <c r="AR29" s="93">
        <f t="shared" si="10"/>
        <v>84750</v>
      </c>
    </row>
    <row r="30" spans="2:44" s="27" customFormat="1">
      <c r="B30" s="97">
        <v>25</v>
      </c>
      <c r="C30" s="98" t="s">
        <v>292</v>
      </c>
      <c r="D30" s="42" t="s">
        <v>293</v>
      </c>
      <c r="E30" s="43" t="s">
        <v>359</v>
      </c>
      <c r="F30" s="41" t="s">
        <v>294</v>
      </c>
      <c r="G30" s="107" t="s">
        <v>88</v>
      </c>
      <c r="H30" s="44" t="s">
        <v>38</v>
      </c>
      <c r="I30" s="45" t="s">
        <v>7</v>
      </c>
      <c r="J30" s="58" t="str">
        <f t="shared" si="2"/>
        <v>TER A</v>
      </c>
      <c r="K30" s="210">
        <v>3761333.23</v>
      </c>
      <c r="L30" s="101">
        <f t="shared" si="11"/>
        <v>30575.999999999996</v>
      </c>
      <c r="M30" s="101">
        <f>'[12]MAINTENANCE-2'!AP35</f>
        <v>146200</v>
      </c>
      <c r="N30" s="46"/>
      <c r="O30" s="46"/>
      <c r="P30" s="46"/>
      <c r="Q30" s="46"/>
      <c r="R30" s="46"/>
      <c r="S30" s="46"/>
      <c r="T30" s="46">
        <f>'[12]MAINTENANCE-2'!X35</f>
        <v>69750</v>
      </c>
      <c r="U30" s="101"/>
      <c r="V30" s="101"/>
      <c r="W30" s="46"/>
      <c r="X30" s="101">
        <f>'[12]MAINTENANCE-2'!AC35</f>
        <v>15000</v>
      </c>
      <c r="Y30" s="46"/>
      <c r="Z30" s="46"/>
      <c r="AA30" s="46"/>
      <c r="AB30" s="46"/>
      <c r="AC30" s="46">
        <v>0</v>
      </c>
      <c r="AD30" s="101">
        <f>[13]MAINTENANCE!O34</f>
        <v>3722499.9</v>
      </c>
      <c r="AE30" s="46"/>
      <c r="AF30" s="62">
        <f t="shared" si="3"/>
        <v>7745359</v>
      </c>
      <c r="AG30" s="63">
        <f t="shared" si="0"/>
        <v>1.5000000000000001E-2</v>
      </c>
      <c r="AH30" s="106">
        <f t="shared" si="4"/>
        <v>116180</v>
      </c>
      <c r="AI30" s="106">
        <v>112946</v>
      </c>
      <c r="AJ30" s="106">
        <f t="shared" si="5"/>
        <v>3234</v>
      </c>
      <c r="AK30" s="222"/>
      <c r="AL30" s="221">
        <f t="shared" si="6"/>
        <v>3234</v>
      </c>
      <c r="AM30" s="206">
        <v>3846083.2300000004</v>
      </c>
      <c r="AN30" s="207">
        <f t="shared" si="7"/>
        <v>7745359.1300000008</v>
      </c>
      <c r="AO30" s="151">
        <f t="shared" si="1"/>
        <v>0.13000000081956387</v>
      </c>
      <c r="AP30" s="93">
        <f t="shared" si="8"/>
        <v>4022859.1</v>
      </c>
      <c r="AQ30" s="93">
        <f t="shared" si="9"/>
        <v>3846083.1</v>
      </c>
      <c r="AR30" s="93">
        <f t="shared" si="10"/>
        <v>84750</v>
      </c>
    </row>
    <row r="31" spans="2:44" s="27" customFormat="1">
      <c r="B31" s="97">
        <v>26</v>
      </c>
      <c r="C31" s="98" t="s">
        <v>295</v>
      </c>
      <c r="D31" s="42" t="s">
        <v>296</v>
      </c>
      <c r="E31" s="43" t="s">
        <v>360</v>
      </c>
      <c r="F31" s="41" t="s">
        <v>297</v>
      </c>
      <c r="G31" s="107" t="s">
        <v>88</v>
      </c>
      <c r="H31" s="44" t="s">
        <v>39</v>
      </c>
      <c r="I31" s="45" t="s">
        <v>17</v>
      </c>
      <c r="J31" s="58" t="str">
        <f t="shared" si="2"/>
        <v>TER A</v>
      </c>
      <c r="K31" s="210">
        <v>3761333.23</v>
      </c>
      <c r="L31" s="101">
        <f t="shared" si="11"/>
        <v>30575.999999999996</v>
      </c>
      <c r="M31" s="101">
        <f>'[12]MAINTENANCE-2'!AP36</f>
        <v>146920</v>
      </c>
      <c r="N31" s="46"/>
      <c r="O31" s="46"/>
      <c r="P31" s="46"/>
      <c r="Q31" s="46"/>
      <c r="R31" s="46"/>
      <c r="S31" s="46"/>
      <c r="T31" s="46">
        <f>'[12]MAINTENANCE-2'!X36</f>
        <v>104400</v>
      </c>
      <c r="U31" s="101"/>
      <c r="V31" s="101"/>
      <c r="W31" s="46"/>
      <c r="X31" s="101">
        <f>'[12]MAINTENANCE-2'!AC36</f>
        <v>33000</v>
      </c>
      <c r="Y31" s="46"/>
      <c r="Z31" s="46"/>
      <c r="AA31" s="46"/>
      <c r="AB31" s="46"/>
      <c r="AC31" s="46">
        <v>-242666.66</v>
      </c>
      <c r="AD31" s="101">
        <f>[13]MAINTENANCE!O35</f>
        <v>3780999.9</v>
      </c>
      <c r="AE31" s="46"/>
      <c r="AF31" s="62">
        <f t="shared" si="3"/>
        <v>7614562</v>
      </c>
      <c r="AG31" s="63">
        <f t="shared" si="0"/>
        <v>1.5000000000000001E-2</v>
      </c>
      <c r="AH31" s="106">
        <f t="shared" si="4"/>
        <v>114218</v>
      </c>
      <c r="AI31" s="106">
        <v>93620</v>
      </c>
      <c r="AJ31" s="106">
        <f t="shared" si="5"/>
        <v>20598</v>
      </c>
      <c r="AK31" s="222"/>
      <c r="AL31" s="221">
        <f t="shared" si="6"/>
        <v>20598</v>
      </c>
      <c r="AM31" s="206">
        <v>3656066.5700000003</v>
      </c>
      <c r="AN31" s="207">
        <f t="shared" si="7"/>
        <v>7614562.4700000007</v>
      </c>
      <c r="AO31" s="151">
        <f t="shared" si="1"/>
        <v>0.47000000067055225</v>
      </c>
      <c r="AP31" s="93">
        <f t="shared" si="8"/>
        <v>3833562.1</v>
      </c>
      <c r="AQ31" s="93">
        <f t="shared" si="9"/>
        <v>3656066.1</v>
      </c>
      <c r="AR31" s="93">
        <f t="shared" si="10"/>
        <v>-105266.66</v>
      </c>
    </row>
    <row r="32" spans="2:44" s="27" customFormat="1">
      <c r="B32" s="97">
        <v>27</v>
      </c>
      <c r="C32" s="98" t="s">
        <v>298</v>
      </c>
      <c r="D32" s="42" t="s">
        <v>299</v>
      </c>
      <c r="E32" s="43" t="s">
        <v>361</v>
      </c>
      <c r="F32" s="41" t="s">
        <v>300</v>
      </c>
      <c r="G32" s="107" t="s">
        <v>88</v>
      </c>
      <c r="H32" s="44" t="s">
        <v>38</v>
      </c>
      <c r="I32" s="45" t="s">
        <v>7</v>
      </c>
      <c r="J32" s="58" t="str">
        <f t="shared" si="2"/>
        <v>TER A</v>
      </c>
      <c r="K32" s="210">
        <v>3761333.23</v>
      </c>
      <c r="L32" s="101">
        <f t="shared" si="11"/>
        <v>30575.999999999996</v>
      </c>
      <c r="M32" s="101">
        <f>'[12]MAINTENANCE-2'!AP37</f>
        <v>147340</v>
      </c>
      <c r="N32" s="46"/>
      <c r="O32" s="46"/>
      <c r="P32" s="46"/>
      <c r="Q32" s="46"/>
      <c r="R32" s="46"/>
      <c r="S32" s="46"/>
      <c r="T32" s="46">
        <f>'[12]MAINTENANCE-2'!X37</f>
        <v>67500</v>
      </c>
      <c r="U32" s="101"/>
      <c r="V32" s="101"/>
      <c r="W32" s="46"/>
      <c r="X32" s="101">
        <f>'[12]MAINTENANCE-2'!AC37</f>
        <v>43500</v>
      </c>
      <c r="Y32" s="46"/>
      <c r="Z32" s="46"/>
      <c r="AA32" s="46"/>
      <c r="AB32" s="46"/>
      <c r="AC32" s="46">
        <v>-121333.33</v>
      </c>
      <c r="AD32" s="101">
        <f>[13]MAINTENANCE!O36</f>
        <v>3750999.9</v>
      </c>
      <c r="AE32" s="46"/>
      <c r="AF32" s="62">
        <f t="shared" si="3"/>
        <v>7679915</v>
      </c>
      <c r="AG32" s="63">
        <f t="shared" si="0"/>
        <v>1.5000000000000001E-2</v>
      </c>
      <c r="AH32" s="106">
        <f t="shared" si="4"/>
        <v>115198</v>
      </c>
      <c r="AI32" s="106">
        <v>92909</v>
      </c>
      <c r="AJ32" s="106">
        <f t="shared" si="5"/>
        <v>22289</v>
      </c>
      <c r="AK32" s="222"/>
      <c r="AL32" s="221">
        <f t="shared" si="6"/>
        <v>22289</v>
      </c>
      <c r="AM32" s="206">
        <v>3750999.9000000004</v>
      </c>
      <c r="AN32" s="207">
        <f t="shared" si="7"/>
        <v>7679915.8000000007</v>
      </c>
      <c r="AO32" s="151">
        <f t="shared" si="1"/>
        <v>0.80000000074505806</v>
      </c>
      <c r="AP32" s="93">
        <f t="shared" si="8"/>
        <v>3928915.1</v>
      </c>
      <c r="AQ32" s="93">
        <f t="shared" si="9"/>
        <v>3750999.1</v>
      </c>
      <c r="AR32" s="93">
        <f t="shared" si="10"/>
        <v>-10333.330000000002</v>
      </c>
    </row>
    <row r="33" spans="2:44" s="27" customFormat="1">
      <c r="B33" s="97">
        <v>28</v>
      </c>
      <c r="C33" s="98" t="s">
        <v>301</v>
      </c>
      <c r="D33" s="42" t="s">
        <v>302</v>
      </c>
      <c r="E33" s="43" t="s">
        <v>362</v>
      </c>
      <c r="F33" s="41" t="s">
        <v>303</v>
      </c>
      <c r="G33" s="107" t="s">
        <v>88</v>
      </c>
      <c r="H33" s="44" t="s">
        <v>39</v>
      </c>
      <c r="I33" s="45" t="s">
        <v>11</v>
      </c>
      <c r="J33" s="58" t="str">
        <f t="shared" si="2"/>
        <v>TER B</v>
      </c>
      <c r="K33" s="210">
        <v>3761333.23</v>
      </c>
      <c r="L33" s="101">
        <f t="shared" si="11"/>
        <v>30575.999999999996</v>
      </c>
      <c r="M33" s="101">
        <f>'[12]MAINTENANCE-2'!AP38</f>
        <v>147480</v>
      </c>
      <c r="N33" s="46"/>
      <c r="O33" s="46"/>
      <c r="P33" s="46"/>
      <c r="Q33" s="46"/>
      <c r="R33" s="46"/>
      <c r="S33" s="46"/>
      <c r="T33" s="46">
        <f>'[12]MAINTENANCE-2'!X38</f>
        <v>145800</v>
      </c>
      <c r="U33" s="101"/>
      <c r="V33" s="101"/>
      <c r="W33" s="46"/>
      <c r="X33" s="101">
        <f>'[12]MAINTENANCE-2'!AC38</f>
        <v>47000</v>
      </c>
      <c r="Y33" s="46"/>
      <c r="Z33" s="46"/>
      <c r="AA33" s="46"/>
      <c r="AB33" s="46"/>
      <c r="AC33" s="46">
        <v>-485333.32</v>
      </c>
      <c r="AD33" s="101">
        <f>[13]MAINTENANCE!O37</f>
        <v>3848999.9</v>
      </c>
      <c r="AE33" s="46"/>
      <c r="AF33" s="62">
        <f t="shared" si="3"/>
        <v>7495855</v>
      </c>
      <c r="AG33" s="63">
        <f t="shared" si="0"/>
        <v>0.01</v>
      </c>
      <c r="AH33" s="106">
        <f t="shared" si="4"/>
        <v>74958</v>
      </c>
      <c r="AI33" s="106">
        <v>74958</v>
      </c>
      <c r="AJ33" s="106">
        <f t="shared" si="5"/>
        <v>0</v>
      </c>
      <c r="AK33" s="222"/>
      <c r="AL33" s="221">
        <f t="shared" si="6"/>
        <v>0</v>
      </c>
      <c r="AM33" s="206">
        <v>3468799.91</v>
      </c>
      <c r="AN33" s="207">
        <f t="shared" si="7"/>
        <v>7495855.8100000005</v>
      </c>
      <c r="AO33" s="151">
        <f t="shared" si="1"/>
        <v>0.81000000052154064</v>
      </c>
      <c r="AP33" s="93">
        <f t="shared" si="8"/>
        <v>3646855.1</v>
      </c>
      <c r="AQ33" s="93">
        <f t="shared" si="9"/>
        <v>3468799.1</v>
      </c>
      <c r="AR33" s="93">
        <f t="shared" si="10"/>
        <v>-292533.32</v>
      </c>
    </row>
    <row r="34" spans="2:44" s="27" customFormat="1">
      <c r="B34" s="97">
        <v>29</v>
      </c>
      <c r="C34" s="98" t="s">
        <v>304</v>
      </c>
      <c r="D34" s="42" t="s">
        <v>305</v>
      </c>
      <c r="E34" s="209" t="s">
        <v>73</v>
      </c>
      <c r="F34" s="41" t="s">
        <v>306</v>
      </c>
      <c r="G34" s="107" t="s">
        <v>88</v>
      </c>
      <c r="H34" s="44" t="s">
        <v>39</v>
      </c>
      <c r="I34" s="45" t="s">
        <v>11</v>
      </c>
      <c r="J34" s="58" t="str">
        <f t="shared" si="2"/>
        <v>TER B</v>
      </c>
      <c r="K34" s="210">
        <v>3761333.23</v>
      </c>
      <c r="L34" s="101">
        <f t="shared" si="11"/>
        <v>30575.999999999996</v>
      </c>
      <c r="M34" s="101">
        <f>'[12]MAINTENANCE-2'!AP39</f>
        <v>146440</v>
      </c>
      <c r="N34" s="46"/>
      <c r="O34" s="46"/>
      <c r="P34" s="46"/>
      <c r="Q34" s="46"/>
      <c r="R34" s="46"/>
      <c r="S34" s="46"/>
      <c r="T34" s="46">
        <f>'[12]MAINTENANCE-2'!X39</f>
        <v>162000</v>
      </c>
      <c r="U34" s="101"/>
      <c r="V34" s="101"/>
      <c r="W34" s="46"/>
      <c r="X34" s="101">
        <f>'[12]MAINTENANCE-2'!AC39</f>
        <v>21000</v>
      </c>
      <c r="Y34" s="46"/>
      <c r="Z34" s="46"/>
      <c r="AA34" s="46"/>
      <c r="AB34" s="46"/>
      <c r="AC34" s="46">
        <v>-121333.33</v>
      </c>
      <c r="AD34" s="101">
        <f>[13]MAINTENANCE!O38</f>
        <v>3822999.9</v>
      </c>
      <c r="AE34" s="46"/>
      <c r="AF34" s="62">
        <f t="shared" si="3"/>
        <v>7823015</v>
      </c>
      <c r="AG34" s="63">
        <f t="shared" si="0"/>
        <v>0.01</v>
      </c>
      <c r="AH34" s="106">
        <f t="shared" si="4"/>
        <v>78230</v>
      </c>
      <c r="AI34" s="106">
        <v>74428</v>
      </c>
      <c r="AJ34" s="106">
        <f t="shared" si="5"/>
        <v>3802</v>
      </c>
      <c r="AK34" s="222"/>
      <c r="AL34" s="221">
        <f t="shared" si="6"/>
        <v>3802</v>
      </c>
      <c r="AM34" s="206">
        <v>3822999.9000000004</v>
      </c>
      <c r="AN34" s="207">
        <f t="shared" si="7"/>
        <v>7823015.8000000007</v>
      </c>
      <c r="AO34" s="151">
        <f t="shared" si="1"/>
        <v>0.80000000074505806</v>
      </c>
      <c r="AP34" s="93">
        <f t="shared" si="8"/>
        <v>4000015.1</v>
      </c>
      <c r="AQ34" s="93">
        <f t="shared" si="9"/>
        <v>3822999.1</v>
      </c>
      <c r="AR34" s="93">
        <f t="shared" si="10"/>
        <v>61666.67</v>
      </c>
    </row>
    <row r="35" spans="2:44" s="27" customFormat="1">
      <c r="B35" s="97">
        <v>30</v>
      </c>
      <c r="C35" s="98" t="s">
        <v>307</v>
      </c>
      <c r="D35" s="42" t="s">
        <v>308</v>
      </c>
      <c r="E35" s="43" t="s">
        <v>363</v>
      </c>
      <c r="F35" s="41" t="s">
        <v>309</v>
      </c>
      <c r="G35" s="107" t="s">
        <v>88</v>
      </c>
      <c r="H35" s="44" t="s">
        <v>38</v>
      </c>
      <c r="I35" s="45" t="s">
        <v>7</v>
      </c>
      <c r="J35" s="58" t="str">
        <f t="shared" si="2"/>
        <v>TER A</v>
      </c>
      <c r="K35" s="210">
        <v>3761333.23</v>
      </c>
      <c r="L35" s="101">
        <f t="shared" si="11"/>
        <v>30575.999999999996</v>
      </c>
      <c r="M35" s="101">
        <f>'[12]MAINTENANCE-2'!AP40</f>
        <v>146200</v>
      </c>
      <c r="N35" s="46"/>
      <c r="O35" s="46"/>
      <c r="P35" s="46"/>
      <c r="Q35" s="46"/>
      <c r="R35" s="46"/>
      <c r="S35" s="46"/>
      <c r="T35" s="46">
        <f>'[12]MAINTENANCE-2'!X40</f>
        <v>69750</v>
      </c>
      <c r="U35" s="101"/>
      <c r="V35" s="101"/>
      <c r="W35" s="46"/>
      <c r="X35" s="101">
        <f>'[12]MAINTENANCE-2'!AC40</f>
        <v>15000</v>
      </c>
      <c r="Y35" s="46"/>
      <c r="Z35" s="46"/>
      <c r="AA35" s="46"/>
      <c r="AB35" s="46"/>
      <c r="AC35" s="46">
        <v>0</v>
      </c>
      <c r="AD35" s="101">
        <f>[13]MAINTENANCE!O39</f>
        <v>3722499.9</v>
      </c>
      <c r="AE35" s="46"/>
      <c r="AF35" s="62">
        <f t="shared" si="3"/>
        <v>7745359</v>
      </c>
      <c r="AG35" s="63">
        <f t="shared" si="0"/>
        <v>1.5000000000000001E-2</v>
      </c>
      <c r="AH35" s="106">
        <f t="shared" si="4"/>
        <v>116180</v>
      </c>
      <c r="AI35" s="106">
        <v>92182</v>
      </c>
      <c r="AJ35" s="106">
        <f t="shared" si="5"/>
        <v>23998</v>
      </c>
      <c r="AK35" s="222"/>
      <c r="AL35" s="221">
        <f t="shared" si="6"/>
        <v>23998</v>
      </c>
      <c r="AM35" s="206">
        <v>3846083.2300000004</v>
      </c>
      <c r="AN35" s="207">
        <f t="shared" si="7"/>
        <v>7745359.1300000008</v>
      </c>
      <c r="AO35" s="151">
        <f t="shared" si="1"/>
        <v>0.13000000081956387</v>
      </c>
      <c r="AP35" s="93">
        <f t="shared" si="8"/>
        <v>4022859.1</v>
      </c>
      <c r="AQ35" s="93">
        <f t="shared" si="9"/>
        <v>3846083.1</v>
      </c>
      <c r="AR35" s="93">
        <f t="shared" si="10"/>
        <v>84750</v>
      </c>
    </row>
    <row r="36" spans="2:44" s="27" customFormat="1">
      <c r="B36" s="97">
        <v>31</v>
      </c>
      <c r="C36" s="98" t="s">
        <v>313</v>
      </c>
      <c r="D36" s="42" t="s">
        <v>314</v>
      </c>
      <c r="E36" s="43" t="s">
        <v>364</v>
      </c>
      <c r="F36" s="41" t="s">
        <v>315</v>
      </c>
      <c r="G36" s="107" t="s">
        <v>88</v>
      </c>
      <c r="H36" s="44" t="s">
        <v>38</v>
      </c>
      <c r="I36" s="45" t="s">
        <v>7</v>
      </c>
      <c r="J36" s="58" t="str">
        <f t="shared" si="2"/>
        <v>TER A</v>
      </c>
      <c r="K36" s="210">
        <v>3761333.23</v>
      </c>
      <c r="L36" s="101">
        <f t="shared" si="11"/>
        <v>30575.999999999996</v>
      </c>
      <c r="M36" s="101">
        <f>'[12]MAINTENANCE-2'!AP41</f>
        <v>147480</v>
      </c>
      <c r="N36" s="46"/>
      <c r="O36" s="46"/>
      <c r="P36" s="46"/>
      <c r="Q36" s="46"/>
      <c r="R36" s="46"/>
      <c r="S36" s="46"/>
      <c r="T36" s="46">
        <f>'[12]MAINTENANCE-2'!X41</f>
        <v>67500</v>
      </c>
      <c r="U36" s="101"/>
      <c r="V36" s="101"/>
      <c r="W36" s="46"/>
      <c r="X36" s="101">
        <f>'[12]MAINTENANCE-2'!AC41</f>
        <v>47000</v>
      </c>
      <c r="Y36" s="46"/>
      <c r="Z36" s="46"/>
      <c r="AA36" s="46"/>
      <c r="AB36" s="46"/>
      <c r="AC36" s="46">
        <v>-121333.33</v>
      </c>
      <c r="AD36" s="101">
        <f>[13]MAINTENANCE!O40</f>
        <v>3754499.9</v>
      </c>
      <c r="AE36" s="46"/>
      <c r="AF36" s="62">
        <f t="shared" si="3"/>
        <v>7687055</v>
      </c>
      <c r="AG36" s="63">
        <f t="shared" si="0"/>
        <v>1.5000000000000001E-2</v>
      </c>
      <c r="AH36" s="106">
        <f t="shared" si="4"/>
        <v>115305</v>
      </c>
      <c r="AI36" s="106">
        <v>113452</v>
      </c>
      <c r="AJ36" s="106">
        <f t="shared" si="5"/>
        <v>1853</v>
      </c>
      <c r="AK36" s="222"/>
      <c r="AL36" s="221">
        <f t="shared" si="6"/>
        <v>1853</v>
      </c>
      <c r="AM36" s="206">
        <v>3754499.9000000004</v>
      </c>
      <c r="AN36" s="207">
        <f t="shared" si="7"/>
        <v>7687055.8000000007</v>
      </c>
      <c r="AO36" s="151">
        <f t="shared" si="1"/>
        <v>0.80000000074505806</v>
      </c>
      <c r="AP36" s="93">
        <f t="shared" si="8"/>
        <v>3932555.1</v>
      </c>
      <c r="AQ36" s="93">
        <f t="shared" si="9"/>
        <v>3754499.1</v>
      </c>
      <c r="AR36" s="93">
        <f t="shared" si="10"/>
        <v>-6833.3300000000017</v>
      </c>
    </row>
    <row r="37" spans="2:44" s="27" customFormat="1">
      <c r="B37" s="97">
        <v>32</v>
      </c>
      <c r="C37" s="98" t="s">
        <v>365</v>
      </c>
      <c r="D37" s="42" t="s">
        <v>366</v>
      </c>
      <c r="E37" s="43" t="s">
        <v>367</v>
      </c>
      <c r="F37" s="41" t="s">
        <v>368</v>
      </c>
      <c r="G37" s="107" t="s">
        <v>88</v>
      </c>
      <c r="H37" s="44" t="s">
        <v>369</v>
      </c>
      <c r="I37" s="45" t="s">
        <v>11</v>
      </c>
      <c r="J37" s="58" t="str">
        <f t="shared" si="2"/>
        <v>TER B</v>
      </c>
      <c r="K37" s="60">
        <v>3838833.23</v>
      </c>
      <c r="L37" s="101">
        <f>3715000*0.84%</f>
        <v>31205.999999999996</v>
      </c>
      <c r="M37" s="101">
        <f>'[12]MAINTENANCE-2'!AP42</f>
        <v>150340</v>
      </c>
      <c r="N37" s="46"/>
      <c r="O37" s="101"/>
      <c r="P37" s="101"/>
      <c r="Q37" s="101"/>
      <c r="R37" s="101"/>
      <c r="S37" s="101"/>
      <c r="T37" s="46">
        <f>'[12]MAINTENANCE-2'!X42</f>
        <v>162000</v>
      </c>
      <c r="U37" s="46"/>
      <c r="V37" s="46">
        <v>557572.18999999994</v>
      </c>
      <c r="W37" s="46"/>
      <c r="X37" s="101">
        <f>'[12]MAINTENANCE-2'!AC42</f>
        <v>43500</v>
      </c>
      <c r="Y37" s="46"/>
      <c r="Z37" s="46"/>
      <c r="AA37" s="46"/>
      <c r="AB37" s="46"/>
      <c r="AC37" s="46">
        <v>-123833.33</v>
      </c>
      <c r="AD37" s="101">
        <f>[13]MAINTENANCE!O41</f>
        <v>3920499.9</v>
      </c>
      <c r="AE37" s="46"/>
      <c r="AF37" s="62">
        <f t="shared" si="3"/>
        <v>8580117</v>
      </c>
      <c r="AG37" s="63">
        <f t="shared" si="0"/>
        <v>0.01</v>
      </c>
      <c r="AH37" s="106">
        <f t="shared" si="4"/>
        <v>85801</v>
      </c>
      <c r="AI37" s="106">
        <v>80218</v>
      </c>
      <c r="AJ37" s="106">
        <f t="shared" si="5"/>
        <v>5583</v>
      </c>
      <c r="AK37" s="222"/>
      <c r="AL37" s="221">
        <f t="shared" si="6"/>
        <v>5583</v>
      </c>
      <c r="AM37" s="206">
        <v>4478072.09</v>
      </c>
      <c r="AN37" s="207">
        <f t="shared" si="7"/>
        <v>8580117.9900000002</v>
      </c>
      <c r="AO37" s="151">
        <f t="shared" si="1"/>
        <v>0.99000000022351742</v>
      </c>
      <c r="AP37" s="93">
        <f t="shared" si="8"/>
        <v>4659617.0999999996</v>
      </c>
      <c r="AQ37" s="93">
        <f t="shared" si="9"/>
        <v>4478071.0999999996</v>
      </c>
      <c r="AR37" s="93">
        <f t="shared" si="10"/>
        <v>639238.86</v>
      </c>
    </row>
    <row r="38" spans="2:44" s="27" customFormat="1">
      <c r="B38" s="97">
        <v>33</v>
      </c>
      <c r="C38" s="98" t="s">
        <v>316</v>
      </c>
      <c r="D38" s="42" t="s">
        <v>317</v>
      </c>
      <c r="E38" s="43" t="s">
        <v>370</v>
      </c>
      <c r="F38" s="41" t="s">
        <v>318</v>
      </c>
      <c r="G38" s="107" t="s">
        <v>87</v>
      </c>
      <c r="H38" s="44" t="s">
        <v>39</v>
      </c>
      <c r="I38" s="45" t="s">
        <v>9</v>
      </c>
      <c r="J38" s="58" t="str">
        <f t="shared" si="2"/>
        <v>TER B</v>
      </c>
      <c r="K38" s="210">
        <v>3761333.23</v>
      </c>
      <c r="L38" s="46">
        <f>3640000*0.84%</f>
        <v>30575.999999999996</v>
      </c>
      <c r="M38" s="101">
        <f>[14]TRANSPORT!$AJ11</f>
        <v>147340</v>
      </c>
      <c r="N38" s="46">
        <v>208495</v>
      </c>
      <c r="O38" s="46">
        <v>594000</v>
      </c>
      <c r="P38" s="46">
        <v>166000</v>
      </c>
      <c r="Q38" s="46">
        <v>191880</v>
      </c>
      <c r="R38" s="46"/>
      <c r="S38" s="46"/>
      <c r="T38" s="46">
        <f>[12]TRANSPORT!T11</f>
        <v>135000</v>
      </c>
      <c r="U38" s="46">
        <f>[12]TRANSPORT!W11</f>
        <v>69000</v>
      </c>
      <c r="V38" s="101">
        <f>[12]TRANSPORT!AA11</f>
        <v>1157225.3</v>
      </c>
      <c r="W38" s="46"/>
      <c r="X38" s="46">
        <f>[12]TRANSPORT!Y11</f>
        <v>43500</v>
      </c>
      <c r="Y38" s="46"/>
      <c r="Z38" s="46"/>
      <c r="AA38" s="46"/>
      <c r="AB38" s="46"/>
      <c r="AC38" s="46">
        <v>-121333.33</v>
      </c>
      <c r="AD38" s="101">
        <v>3821999.9</v>
      </c>
      <c r="AE38" s="46"/>
      <c r="AF38" s="62">
        <f t="shared" si="3"/>
        <v>10205016</v>
      </c>
      <c r="AG38" s="63">
        <f t="shared" ref="AG38:AG69" si="12">IF(J38="TER A",VLOOKUP(AF38,Ter_A,4,TRUE),IF(J38="TER B",VLOOKUP(AF38,Ter_B,4,TRUE),VLOOKUP(AF38,Ter_C,4,TRUE)))</f>
        <v>1.4999999999999999E-2</v>
      </c>
      <c r="AH38" s="106">
        <f t="shared" si="4"/>
        <v>153075</v>
      </c>
      <c r="AI38" s="106">
        <v>135031</v>
      </c>
      <c r="AJ38" s="106">
        <f t="shared" si="5"/>
        <v>18044</v>
      </c>
      <c r="AK38" s="222"/>
      <c r="AL38" s="221">
        <f t="shared" si="6"/>
        <v>18044</v>
      </c>
      <c r="AM38" s="92">
        <v>6205100.2000000002</v>
      </c>
      <c r="AN38" s="207">
        <f t="shared" si="7"/>
        <v>10205016.1</v>
      </c>
      <c r="AO38" s="151">
        <f t="shared" si="1"/>
        <v>9.999999962747097E-2</v>
      </c>
      <c r="AP38" s="93">
        <f t="shared" si="8"/>
        <v>6383016.0999999996</v>
      </c>
      <c r="AQ38" s="93">
        <f t="shared" si="9"/>
        <v>6205100.0999999996</v>
      </c>
      <c r="AR38" s="93">
        <f t="shared" si="10"/>
        <v>2443766.9699999997</v>
      </c>
    </row>
    <row r="39" spans="2:44" s="27" customFormat="1">
      <c r="B39" s="97">
        <v>34</v>
      </c>
      <c r="C39" s="98" t="s">
        <v>319</v>
      </c>
      <c r="D39" s="42" t="s">
        <v>320</v>
      </c>
      <c r="E39" s="43" t="s">
        <v>371</v>
      </c>
      <c r="F39" s="41" t="s">
        <v>321</v>
      </c>
      <c r="G39" s="107" t="s">
        <v>372</v>
      </c>
      <c r="H39" s="44" t="s">
        <v>39</v>
      </c>
      <c r="I39" s="45" t="s">
        <v>9</v>
      </c>
      <c r="J39" s="58" t="str">
        <f t="shared" si="2"/>
        <v>TER B</v>
      </c>
      <c r="K39" s="210">
        <v>3761333.23</v>
      </c>
      <c r="L39" s="46">
        <f t="shared" ref="L39:L43" si="13">3640000*0.84%</f>
        <v>30575.999999999996</v>
      </c>
      <c r="M39" s="101">
        <f>[14]TRANSPORT!$AJ12</f>
        <v>146800</v>
      </c>
      <c r="N39" s="46">
        <v>208495</v>
      </c>
      <c r="O39" s="46">
        <v>588000</v>
      </c>
      <c r="P39" s="46">
        <v>166000</v>
      </c>
      <c r="Q39" s="46">
        <v>191880</v>
      </c>
      <c r="R39" s="46"/>
      <c r="S39" s="46"/>
      <c r="T39" s="46">
        <f>[12]TRANSPORT!T12</f>
        <v>135000</v>
      </c>
      <c r="U39" s="46">
        <f>[12]TRANSPORT!W12</f>
        <v>46000</v>
      </c>
      <c r="V39" s="101">
        <f>[12]TRANSPORT!AA12</f>
        <v>1094103.92</v>
      </c>
      <c r="W39" s="46"/>
      <c r="X39" s="46">
        <f>[12]TRANSPORT!Y12</f>
        <v>30000</v>
      </c>
      <c r="Y39" s="46"/>
      <c r="Z39" s="46"/>
      <c r="AA39" s="46"/>
      <c r="AB39" s="46"/>
      <c r="AC39" s="46">
        <v>-121333.33</v>
      </c>
      <c r="AD39" s="101">
        <v>3804999.9</v>
      </c>
      <c r="AE39" s="46"/>
      <c r="AF39" s="62">
        <f t="shared" si="3"/>
        <v>10081854</v>
      </c>
      <c r="AG39" s="63">
        <f t="shared" si="12"/>
        <v>1.4999999999999999E-2</v>
      </c>
      <c r="AH39" s="106">
        <f t="shared" si="4"/>
        <v>151227</v>
      </c>
      <c r="AI39" s="106">
        <v>146736</v>
      </c>
      <c r="AJ39" s="106">
        <f t="shared" si="5"/>
        <v>4491</v>
      </c>
      <c r="AK39" s="222"/>
      <c r="AL39" s="221">
        <f t="shared" si="6"/>
        <v>4491</v>
      </c>
      <c r="AM39" s="92">
        <v>6099478.8200000003</v>
      </c>
      <c r="AN39" s="207">
        <f t="shared" si="7"/>
        <v>10081854.720000001</v>
      </c>
      <c r="AO39" s="151">
        <f t="shared" si="1"/>
        <v>0.72000000067055225</v>
      </c>
      <c r="AP39" s="93">
        <f t="shared" si="8"/>
        <v>6276854.0999999996</v>
      </c>
      <c r="AQ39" s="93">
        <f t="shared" si="9"/>
        <v>6099478.0999999996</v>
      </c>
      <c r="AR39" s="93">
        <f t="shared" si="10"/>
        <v>2338145.59</v>
      </c>
    </row>
    <row r="40" spans="2:44" s="27" customFormat="1">
      <c r="B40" s="97">
        <v>35</v>
      </c>
      <c r="C40" s="98" t="s">
        <v>322</v>
      </c>
      <c r="D40" s="42" t="s">
        <v>323</v>
      </c>
      <c r="E40" s="43" t="s">
        <v>373</v>
      </c>
      <c r="F40" s="41" t="s">
        <v>223</v>
      </c>
      <c r="G40" s="107" t="s">
        <v>87</v>
      </c>
      <c r="H40" s="44" t="s">
        <v>39</v>
      </c>
      <c r="I40" s="45" t="s">
        <v>11</v>
      </c>
      <c r="J40" s="58" t="str">
        <f t="shared" si="2"/>
        <v>TER B</v>
      </c>
      <c r="K40" s="210">
        <v>3761333.23</v>
      </c>
      <c r="L40" s="46">
        <f t="shared" si="13"/>
        <v>30575.999999999996</v>
      </c>
      <c r="M40" s="101">
        <f>[14]TRANSPORT!$AJ13</f>
        <v>148040</v>
      </c>
      <c r="N40" s="46">
        <v>83375</v>
      </c>
      <c r="O40" s="46">
        <v>708000</v>
      </c>
      <c r="P40" s="46">
        <v>288000</v>
      </c>
      <c r="Q40" s="46">
        <v>170400</v>
      </c>
      <c r="R40" s="46"/>
      <c r="S40" s="46"/>
      <c r="T40" s="46">
        <f>[12]TRANSPORT!T13</f>
        <v>167400</v>
      </c>
      <c r="U40" s="46">
        <f>[12]TRANSPORT!W13</f>
        <v>72000</v>
      </c>
      <c r="V40" s="101">
        <f>[12]TRANSPORT!AA13</f>
        <v>1272947.83</v>
      </c>
      <c r="W40" s="46"/>
      <c r="X40" s="46">
        <f>[12]TRANSPORT!Y13</f>
        <v>61000</v>
      </c>
      <c r="Y40" s="46"/>
      <c r="Z40" s="46"/>
      <c r="AA40" s="46"/>
      <c r="AB40" s="46"/>
      <c r="AC40" s="46"/>
      <c r="AD40" s="101">
        <v>3862999.9</v>
      </c>
      <c r="AE40" s="46"/>
      <c r="AF40" s="62">
        <f t="shared" si="3"/>
        <v>10626071</v>
      </c>
      <c r="AG40" s="63">
        <f t="shared" si="12"/>
        <v>1.4999999999999999E-2</v>
      </c>
      <c r="AH40" s="106">
        <f t="shared" si="4"/>
        <v>159391</v>
      </c>
      <c r="AI40" s="106">
        <v>138184</v>
      </c>
      <c r="AJ40" s="106">
        <f t="shared" si="5"/>
        <v>21207</v>
      </c>
      <c r="AK40" s="222"/>
      <c r="AL40" s="221">
        <f t="shared" si="6"/>
        <v>21207</v>
      </c>
      <c r="AM40" s="92">
        <v>6584456.0600000005</v>
      </c>
      <c r="AN40" s="207">
        <f t="shared" si="7"/>
        <v>10626071.960000001</v>
      </c>
      <c r="AO40" s="151">
        <f t="shared" si="1"/>
        <v>0.96000000089406967</v>
      </c>
      <c r="AP40" s="93">
        <f t="shared" si="8"/>
        <v>6763071.0999999996</v>
      </c>
      <c r="AQ40" s="93">
        <f t="shared" si="9"/>
        <v>6584455.0999999996</v>
      </c>
      <c r="AR40" s="93">
        <f t="shared" si="10"/>
        <v>2823122.83</v>
      </c>
    </row>
    <row r="41" spans="2:44" s="27" customFormat="1">
      <c r="B41" s="97">
        <v>36</v>
      </c>
      <c r="C41" s="98" t="s">
        <v>324</v>
      </c>
      <c r="D41" s="42" t="s">
        <v>325</v>
      </c>
      <c r="E41" s="43" t="s">
        <v>374</v>
      </c>
      <c r="F41" s="41" t="s">
        <v>223</v>
      </c>
      <c r="G41" s="107" t="s">
        <v>372</v>
      </c>
      <c r="H41" s="44" t="s">
        <v>39</v>
      </c>
      <c r="I41" s="45" t="s">
        <v>11</v>
      </c>
      <c r="J41" s="58" t="str">
        <f t="shared" si="2"/>
        <v>TER B</v>
      </c>
      <c r="K41" s="210">
        <v>3761333.23</v>
      </c>
      <c r="L41" s="46">
        <f t="shared" si="13"/>
        <v>30575.999999999996</v>
      </c>
      <c r="M41" s="101">
        <f>[14]TRANSPORT!$AJ14</f>
        <v>148040</v>
      </c>
      <c r="N41" s="46">
        <v>83375</v>
      </c>
      <c r="O41" s="46">
        <v>708000</v>
      </c>
      <c r="P41" s="46">
        <v>287500</v>
      </c>
      <c r="Q41" s="46">
        <v>170400</v>
      </c>
      <c r="R41" s="46"/>
      <c r="S41" s="46"/>
      <c r="T41" s="46">
        <f>[12]TRANSPORT!T14</f>
        <v>162000</v>
      </c>
      <c r="U41" s="46">
        <f>[12]TRANSPORT!W14</f>
        <v>46000</v>
      </c>
      <c r="V41" s="101">
        <f>[12]TRANSPORT!AA14</f>
        <v>1241387.1399999999</v>
      </c>
      <c r="W41" s="46"/>
      <c r="X41" s="46">
        <f>[12]TRANSPORT!Y14</f>
        <v>61000</v>
      </c>
      <c r="Y41" s="46"/>
      <c r="Z41" s="46"/>
      <c r="AA41" s="46"/>
      <c r="AB41" s="46"/>
      <c r="AC41" s="46">
        <v>-121333.33</v>
      </c>
      <c r="AD41" s="101">
        <v>3862999.9</v>
      </c>
      <c r="AE41" s="46"/>
      <c r="AF41" s="62">
        <f t="shared" si="3"/>
        <v>10441277</v>
      </c>
      <c r="AG41" s="63">
        <f t="shared" si="12"/>
        <v>1.4999999999999999E-2</v>
      </c>
      <c r="AH41" s="106">
        <f t="shared" si="4"/>
        <v>156619</v>
      </c>
      <c r="AI41" s="106">
        <v>150240</v>
      </c>
      <c r="AJ41" s="106">
        <f t="shared" si="5"/>
        <v>6379</v>
      </c>
      <c r="AK41" s="222"/>
      <c r="AL41" s="221">
        <f t="shared" si="6"/>
        <v>6379</v>
      </c>
      <c r="AM41" s="92">
        <v>6399662.04</v>
      </c>
      <c r="AN41" s="207">
        <f t="shared" si="7"/>
        <v>10441277.939999999</v>
      </c>
      <c r="AO41" s="151">
        <f t="shared" si="1"/>
        <v>0.93999999947845936</v>
      </c>
      <c r="AP41" s="93">
        <f t="shared" si="8"/>
        <v>6578277.0999999996</v>
      </c>
      <c r="AQ41" s="93">
        <f t="shared" si="9"/>
        <v>6399661.0999999996</v>
      </c>
      <c r="AR41" s="93">
        <f t="shared" si="10"/>
        <v>2638328.8099999996</v>
      </c>
    </row>
    <row r="42" spans="2:44" s="27" customFormat="1">
      <c r="B42" s="97">
        <v>37</v>
      </c>
      <c r="C42" s="98" t="s">
        <v>209</v>
      </c>
      <c r="D42" s="42" t="s">
        <v>210</v>
      </c>
      <c r="E42" s="209" t="s">
        <v>73</v>
      </c>
      <c r="F42" s="41" t="s">
        <v>211</v>
      </c>
      <c r="G42" s="107" t="s">
        <v>375</v>
      </c>
      <c r="H42" s="44" t="s">
        <v>39</v>
      </c>
      <c r="I42" s="45" t="s">
        <v>9</v>
      </c>
      <c r="J42" s="58" t="str">
        <f t="shared" si="2"/>
        <v>TER B</v>
      </c>
      <c r="K42" s="210">
        <v>3761333.23</v>
      </c>
      <c r="L42" s="46">
        <f t="shared" si="13"/>
        <v>30575.999999999996</v>
      </c>
      <c r="M42" s="46">
        <f>[14]HARVESTING!$AS11</f>
        <v>146100</v>
      </c>
      <c r="N42" s="46"/>
      <c r="O42" s="46"/>
      <c r="P42" s="46"/>
      <c r="Q42" s="46"/>
      <c r="R42" s="46"/>
      <c r="S42" s="46">
        <v>223650</v>
      </c>
      <c r="T42" s="46">
        <f>[12]HARVESTING!X11</f>
        <v>139500</v>
      </c>
      <c r="U42" s="46"/>
      <c r="V42" s="46"/>
      <c r="W42" s="46"/>
      <c r="X42" s="46">
        <f>[12]HARVESTING!AC11</f>
        <v>12500</v>
      </c>
      <c r="Y42" s="46"/>
      <c r="Z42" s="46"/>
      <c r="AA42" s="46"/>
      <c r="AB42" s="46"/>
      <c r="AC42" s="46">
        <v>0</v>
      </c>
      <c r="AD42" s="46">
        <v>3787499.9</v>
      </c>
      <c r="AE42" s="46"/>
      <c r="AF42" s="62">
        <f t="shared" si="3"/>
        <v>8101159</v>
      </c>
      <c r="AG42" s="63">
        <f t="shared" si="12"/>
        <v>0.01</v>
      </c>
      <c r="AH42" s="106">
        <f t="shared" si="4"/>
        <v>81011</v>
      </c>
      <c r="AI42" s="106">
        <v>78671</v>
      </c>
      <c r="AJ42" s="106">
        <f t="shared" si="5"/>
        <v>2340</v>
      </c>
      <c r="AK42" s="222"/>
      <c r="AL42" s="221">
        <f t="shared" si="6"/>
        <v>2340</v>
      </c>
      <c r="AM42" s="92">
        <v>4136983.23</v>
      </c>
      <c r="AN42" s="207">
        <f t="shared" si="7"/>
        <v>8101159.1300000008</v>
      </c>
      <c r="AO42" s="151">
        <f t="shared" si="1"/>
        <v>0.13000000081956387</v>
      </c>
      <c r="AP42" s="93">
        <f t="shared" si="8"/>
        <v>4313659.0999999996</v>
      </c>
      <c r="AQ42" s="93">
        <f t="shared" si="9"/>
        <v>4136983.0999999996</v>
      </c>
      <c r="AR42" s="93">
        <f t="shared" si="10"/>
        <v>375650</v>
      </c>
    </row>
    <row r="43" spans="2:44" s="27" customFormat="1" ht="13.5" thickBot="1">
      <c r="B43" s="97">
        <v>38</v>
      </c>
      <c r="C43" s="98" t="s">
        <v>212</v>
      </c>
      <c r="D43" s="42" t="s">
        <v>213</v>
      </c>
      <c r="E43" s="209" t="s">
        <v>73</v>
      </c>
      <c r="F43" s="41" t="s">
        <v>214</v>
      </c>
      <c r="G43" s="107" t="s">
        <v>375</v>
      </c>
      <c r="H43" s="44" t="s">
        <v>39</v>
      </c>
      <c r="I43" s="45" t="s">
        <v>9</v>
      </c>
      <c r="J43" s="58" t="str">
        <f t="shared" si="2"/>
        <v>TER B</v>
      </c>
      <c r="K43" s="210">
        <v>3761333.23</v>
      </c>
      <c r="L43" s="46">
        <f t="shared" si="13"/>
        <v>30575.999999999996</v>
      </c>
      <c r="M43" s="46">
        <f>[14]HARVESTING!$AS12</f>
        <v>146100</v>
      </c>
      <c r="N43" s="46"/>
      <c r="O43" s="46"/>
      <c r="P43" s="46"/>
      <c r="Q43" s="46"/>
      <c r="R43" s="46"/>
      <c r="S43" s="46">
        <v>224700</v>
      </c>
      <c r="T43" s="46">
        <f>[12]HARVESTING!X12</f>
        <v>135000</v>
      </c>
      <c r="U43" s="46"/>
      <c r="V43" s="46"/>
      <c r="W43" s="46"/>
      <c r="X43" s="46">
        <f>[12]HARVESTING!AC12</f>
        <v>12500</v>
      </c>
      <c r="Y43" s="46"/>
      <c r="Z43" s="46"/>
      <c r="AA43" s="46"/>
      <c r="AB43" s="46"/>
      <c r="AC43" s="46">
        <v>-121333.33</v>
      </c>
      <c r="AD43" s="46">
        <v>3787499.9</v>
      </c>
      <c r="AE43" s="46"/>
      <c r="AF43" s="62">
        <f t="shared" si="3"/>
        <v>7976375</v>
      </c>
      <c r="AG43" s="63">
        <f t="shared" si="12"/>
        <v>0.01</v>
      </c>
      <c r="AH43" s="106">
        <f t="shared" si="4"/>
        <v>79763</v>
      </c>
      <c r="AI43" s="106">
        <v>84313</v>
      </c>
      <c r="AJ43" s="106">
        <v>0</v>
      </c>
      <c r="AK43" s="223">
        <v>-4550</v>
      </c>
      <c r="AL43" s="221">
        <f t="shared" si="6"/>
        <v>-4550</v>
      </c>
      <c r="AM43" s="92">
        <v>4012199.9000000004</v>
      </c>
      <c r="AN43" s="207">
        <f t="shared" si="7"/>
        <v>7976375.8000000007</v>
      </c>
      <c r="AO43" s="151">
        <f>AN43-AF43</f>
        <v>0.80000000074505806</v>
      </c>
      <c r="AP43" s="93">
        <f t="shared" si="8"/>
        <v>4188875.1</v>
      </c>
      <c r="AQ43" s="93">
        <f t="shared" si="9"/>
        <v>4012199.1</v>
      </c>
      <c r="AR43" s="93">
        <f t="shared" si="10"/>
        <v>250866.66999999998</v>
      </c>
    </row>
    <row r="44" spans="2:44" s="27" customFormat="1" hidden="1">
      <c r="B44" s="97">
        <v>39</v>
      </c>
      <c r="C44" s="98"/>
      <c r="D44" s="42"/>
      <c r="E44" s="43"/>
      <c r="F44" s="41"/>
      <c r="G44" s="107"/>
      <c r="H44" s="44"/>
      <c r="I44" s="45"/>
      <c r="J44" s="58" t="str">
        <f t="shared" si="2"/>
        <v/>
      </c>
      <c r="K44" s="60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62">
        <f t="shared" si="3"/>
        <v>0</v>
      </c>
      <c r="AG44" s="63">
        <f t="shared" si="12"/>
        <v>0</v>
      </c>
      <c r="AH44" s="108">
        <f t="shared" ref="AH44:AH89" si="14">ROUND(IF(E44=0,AF44*AG44*120%,AF44*AG44),0)</f>
        <v>0</v>
      </c>
      <c r="AI44" s="202">
        <f>'[15]Feb''24'!AE44</f>
        <v>0</v>
      </c>
      <c r="AJ44" s="202">
        <f t="shared" si="5"/>
        <v>0</v>
      </c>
      <c r="AK44" s="224"/>
      <c r="AL44" s="221">
        <f t="shared" si="6"/>
        <v>0</v>
      </c>
      <c r="AN44" s="207">
        <f t="shared" ref="AN44:AN90" si="15">AM44+L44+M44</f>
        <v>0</v>
      </c>
    </row>
    <row r="45" spans="2:44" s="27" customFormat="1" hidden="1">
      <c r="B45" s="97">
        <v>40</v>
      </c>
      <c r="C45" s="98"/>
      <c r="D45" s="42"/>
      <c r="E45" s="43"/>
      <c r="F45" s="41"/>
      <c r="G45" s="107"/>
      <c r="H45" s="44"/>
      <c r="I45" s="45"/>
      <c r="J45" s="58" t="str">
        <f t="shared" si="2"/>
        <v/>
      </c>
      <c r="K45" s="60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62">
        <f t="shared" si="3"/>
        <v>0</v>
      </c>
      <c r="AG45" s="63">
        <f t="shared" si="12"/>
        <v>0</v>
      </c>
      <c r="AH45" s="108">
        <f t="shared" si="14"/>
        <v>0</v>
      </c>
      <c r="AI45" s="202">
        <f>'[15]Feb''24'!AE45</f>
        <v>0</v>
      </c>
      <c r="AJ45" s="202">
        <f t="shared" si="5"/>
        <v>0</v>
      </c>
      <c r="AK45" s="224"/>
      <c r="AL45" s="221">
        <f t="shared" si="6"/>
        <v>0</v>
      </c>
      <c r="AN45" s="207">
        <f t="shared" si="15"/>
        <v>0</v>
      </c>
    </row>
    <row r="46" spans="2:44" s="27" customFormat="1" hidden="1">
      <c r="B46" s="97">
        <v>41</v>
      </c>
      <c r="C46" s="98"/>
      <c r="D46" s="42"/>
      <c r="E46" s="43"/>
      <c r="F46" s="41"/>
      <c r="G46" s="107"/>
      <c r="H46" s="44"/>
      <c r="I46" s="45"/>
      <c r="J46" s="58" t="str">
        <f t="shared" si="2"/>
        <v/>
      </c>
      <c r="K46" s="60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62">
        <f t="shared" si="3"/>
        <v>0</v>
      </c>
      <c r="AG46" s="63">
        <f t="shared" si="12"/>
        <v>0</v>
      </c>
      <c r="AH46" s="108">
        <f t="shared" si="14"/>
        <v>0</v>
      </c>
      <c r="AI46" s="202">
        <f>'[15]Feb''24'!AE46</f>
        <v>0</v>
      </c>
      <c r="AJ46" s="202">
        <f t="shared" si="5"/>
        <v>0</v>
      </c>
      <c r="AK46" s="224"/>
      <c r="AL46" s="221">
        <f t="shared" si="6"/>
        <v>0</v>
      </c>
      <c r="AN46" s="207">
        <f t="shared" si="15"/>
        <v>0</v>
      </c>
    </row>
    <row r="47" spans="2:44" s="27" customFormat="1" hidden="1">
      <c r="B47" s="97">
        <v>42</v>
      </c>
      <c r="C47" s="98"/>
      <c r="D47" s="42"/>
      <c r="E47" s="43"/>
      <c r="F47" s="41"/>
      <c r="G47" s="107"/>
      <c r="H47" s="44"/>
      <c r="I47" s="45"/>
      <c r="J47" s="58" t="str">
        <f t="shared" si="2"/>
        <v/>
      </c>
      <c r="K47" s="60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62">
        <f t="shared" si="3"/>
        <v>0</v>
      </c>
      <c r="AG47" s="63">
        <f t="shared" si="12"/>
        <v>0</v>
      </c>
      <c r="AH47" s="108">
        <f t="shared" si="14"/>
        <v>0</v>
      </c>
      <c r="AI47" s="202">
        <f>'[15]Feb''24'!AE47</f>
        <v>0</v>
      </c>
      <c r="AJ47" s="202">
        <f t="shared" si="5"/>
        <v>0</v>
      </c>
      <c r="AK47" s="224"/>
      <c r="AL47" s="221">
        <f t="shared" si="6"/>
        <v>0</v>
      </c>
      <c r="AN47" s="207">
        <f t="shared" si="15"/>
        <v>0</v>
      </c>
    </row>
    <row r="48" spans="2:44" s="27" customFormat="1" hidden="1">
      <c r="B48" s="97">
        <v>43</v>
      </c>
      <c r="C48" s="98"/>
      <c r="D48" s="42"/>
      <c r="E48" s="43"/>
      <c r="F48" s="41"/>
      <c r="G48" s="107"/>
      <c r="H48" s="44"/>
      <c r="I48" s="45"/>
      <c r="J48" s="58" t="str">
        <f t="shared" si="2"/>
        <v/>
      </c>
      <c r="K48" s="60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62">
        <f t="shared" si="3"/>
        <v>0</v>
      </c>
      <c r="AG48" s="63">
        <f t="shared" si="12"/>
        <v>0</v>
      </c>
      <c r="AH48" s="108">
        <f t="shared" si="14"/>
        <v>0</v>
      </c>
      <c r="AI48" s="202">
        <f>'[15]Feb''24'!AE48</f>
        <v>0</v>
      </c>
      <c r="AJ48" s="202">
        <f t="shared" si="5"/>
        <v>0</v>
      </c>
      <c r="AK48" s="224"/>
      <c r="AL48" s="221">
        <f t="shared" si="6"/>
        <v>0</v>
      </c>
      <c r="AN48" s="207">
        <f t="shared" si="15"/>
        <v>0</v>
      </c>
    </row>
    <row r="49" spans="2:40" s="27" customFormat="1" hidden="1">
      <c r="B49" s="97">
        <v>44</v>
      </c>
      <c r="C49" s="98"/>
      <c r="D49" s="42"/>
      <c r="E49" s="43"/>
      <c r="F49" s="41"/>
      <c r="G49" s="107"/>
      <c r="H49" s="44"/>
      <c r="I49" s="45"/>
      <c r="J49" s="58" t="str">
        <f t="shared" si="2"/>
        <v/>
      </c>
      <c r="K49" s="60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62">
        <f t="shared" si="3"/>
        <v>0</v>
      </c>
      <c r="AG49" s="63">
        <f t="shared" si="12"/>
        <v>0</v>
      </c>
      <c r="AH49" s="108">
        <f t="shared" si="14"/>
        <v>0</v>
      </c>
      <c r="AI49" s="202">
        <f>'[15]Feb''24'!AE49</f>
        <v>0</v>
      </c>
      <c r="AJ49" s="202">
        <f t="shared" si="5"/>
        <v>0</v>
      </c>
      <c r="AK49" s="224"/>
      <c r="AL49" s="221">
        <f t="shared" si="6"/>
        <v>0</v>
      </c>
      <c r="AN49" s="207">
        <f t="shared" si="15"/>
        <v>0</v>
      </c>
    </row>
    <row r="50" spans="2:40" s="27" customFormat="1" hidden="1">
      <c r="B50" s="97">
        <v>45</v>
      </c>
      <c r="C50" s="98"/>
      <c r="D50" s="42"/>
      <c r="E50" s="43"/>
      <c r="F50" s="41"/>
      <c r="G50" s="107"/>
      <c r="H50" s="44"/>
      <c r="I50" s="45"/>
      <c r="J50" s="58" t="str">
        <f t="shared" si="2"/>
        <v/>
      </c>
      <c r="K50" s="60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62">
        <f t="shared" si="3"/>
        <v>0</v>
      </c>
      <c r="AG50" s="63">
        <f t="shared" si="12"/>
        <v>0</v>
      </c>
      <c r="AH50" s="108">
        <f t="shared" si="14"/>
        <v>0</v>
      </c>
      <c r="AI50" s="202">
        <f>'[15]Feb''24'!AE50</f>
        <v>0</v>
      </c>
      <c r="AJ50" s="202">
        <f t="shared" si="5"/>
        <v>0</v>
      </c>
      <c r="AK50" s="224"/>
      <c r="AL50" s="221">
        <f t="shared" si="6"/>
        <v>0</v>
      </c>
      <c r="AN50" s="207">
        <f t="shared" si="15"/>
        <v>0</v>
      </c>
    </row>
    <row r="51" spans="2:40" s="27" customFormat="1" hidden="1">
      <c r="B51" s="97">
        <v>46</v>
      </c>
      <c r="C51" s="98"/>
      <c r="D51" s="42"/>
      <c r="E51" s="43"/>
      <c r="F51" s="41"/>
      <c r="G51" s="107"/>
      <c r="H51" s="44"/>
      <c r="I51" s="45"/>
      <c r="J51" s="58" t="str">
        <f t="shared" si="2"/>
        <v/>
      </c>
      <c r="K51" s="60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62">
        <f t="shared" si="3"/>
        <v>0</v>
      </c>
      <c r="AG51" s="63">
        <f t="shared" si="12"/>
        <v>0</v>
      </c>
      <c r="AH51" s="108">
        <f t="shared" si="14"/>
        <v>0</v>
      </c>
      <c r="AI51" s="202">
        <f>'[15]Feb''24'!AE51</f>
        <v>0</v>
      </c>
      <c r="AJ51" s="202">
        <f t="shared" si="5"/>
        <v>0</v>
      </c>
      <c r="AK51" s="224"/>
      <c r="AL51" s="221">
        <f t="shared" si="6"/>
        <v>0</v>
      </c>
      <c r="AN51" s="207">
        <f t="shared" si="15"/>
        <v>0</v>
      </c>
    </row>
    <row r="52" spans="2:40" s="27" customFormat="1" hidden="1">
      <c r="B52" s="97">
        <v>47</v>
      </c>
      <c r="C52" s="98"/>
      <c r="D52" s="42"/>
      <c r="E52" s="43"/>
      <c r="F52" s="41"/>
      <c r="G52" s="107"/>
      <c r="H52" s="44"/>
      <c r="I52" s="45"/>
      <c r="J52" s="58" t="str">
        <f t="shared" si="2"/>
        <v/>
      </c>
      <c r="K52" s="60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62">
        <f t="shared" si="3"/>
        <v>0</v>
      </c>
      <c r="AG52" s="63">
        <f t="shared" si="12"/>
        <v>0</v>
      </c>
      <c r="AH52" s="108">
        <f t="shared" si="14"/>
        <v>0</v>
      </c>
      <c r="AI52" s="202">
        <f>'[15]Feb''24'!AE52</f>
        <v>0</v>
      </c>
      <c r="AJ52" s="202">
        <f t="shared" si="5"/>
        <v>0</v>
      </c>
      <c r="AK52" s="224"/>
      <c r="AL52" s="221">
        <f t="shared" si="6"/>
        <v>0</v>
      </c>
      <c r="AN52" s="207">
        <f t="shared" si="15"/>
        <v>0</v>
      </c>
    </row>
    <row r="53" spans="2:40" s="27" customFormat="1" hidden="1">
      <c r="B53" s="97">
        <v>48</v>
      </c>
      <c r="C53" s="98"/>
      <c r="D53" s="42"/>
      <c r="E53" s="43"/>
      <c r="F53" s="41"/>
      <c r="G53" s="107"/>
      <c r="H53" s="44"/>
      <c r="I53" s="45"/>
      <c r="J53" s="58" t="str">
        <f t="shared" si="2"/>
        <v/>
      </c>
      <c r="K53" s="60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62">
        <f t="shared" si="3"/>
        <v>0</v>
      </c>
      <c r="AG53" s="63">
        <f t="shared" si="12"/>
        <v>0</v>
      </c>
      <c r="AH53" s="108">
        <f t="shared" si="14"/>
        <v>0</v>
      </c>
      <c r="AI53" s="202">
        <f>'[15]Feb''24'!AE53</f>
        <v>0</v>
      </c>
      <c r="AJ53" s="202">
        <f t="shared" si="5"/>
        <v>0</v>
      </c>
      <c r="AK53" s="224"/>
      <c r="AL53" s="221">
        <f t="shared" si="6"/>
        <v>0</v>
      </c>
      <c r="AN53" s="207">
        <f t="shared" si="15"/>
        <v>0</v>
      </c>
    </row>
    <row r="54" spans="2:40" s="27" customFormat="1" hidden="1">
      <c r="B54" s="97">
        <v>49</v>
      </c>
      <c r="C54" s="98"/>
      <c r="D54" s="42"/>
      <c r="E54" s="43"/>
      <c r="F54" s="41"/>
      <c r="G54" s="107"/>
      <c r="H54" s="44"/>
      <c r="I54" s="45"/>
      <c r="J54" s="58" t="str">
        <f t="shared" si="2"/>
        <v/>
      </c>
      <c r="K54" s="60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62">
        <f t="shared" si="3"/>
        <v>0</v>
      </c>
      <c r="AG54" s="63">
        <f t="shared" si="12"/>
        <v>0</v>
      </c>
      <c r="AH54" s="108">
        <f t="shared" si="14"/>
        <v>0</v>
      </c>
      <c r="AI54" s="202">
        <f>'[15]Feb''24'!AE54</f>
        <v>0</v>
      </c>
      <c r="AJ54" s="202">
        <f t="shared" si="5"/>
        <v>0</v>
      </c>
      <c r="AK54" s="224"/>
      <c r="AL54" s="221">
        <f t="shared" si="6"/>
        <v>0</v>
      </c>
      <c r="AN54" s="207">
        <f t="shared" si="15"/>
        <v>0</v>
      </c>
    </row>
    <row r="55" spans="2:40" s="27" customFormat="1" hidden="1">
      <c r="B55" s="97">
        <v>50</v>
      </c>
      <c r="C55" s="98"/>
      <c r="D55" s="42"/>
      <c r="E55" s="43"/>
      <c r="F55" s="41"/>
      <c r="G55" s="107"/>
      <c r="H55" s="44"/>
      <c r="I55" s="45"/>
      <c r="J55" s="58" t="str">
        <f t="shared" si="2"/>
        <v/>
      </c>
      <c r="K55" s="60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62">
        <f t="shared" si="3"/>
        <v>0</v>
      </c>
      <c r="AG55" s="63">
        <f t="shared" si="12"/>
        <v>0</v>
      </c>
      <c r="AH55" s="108">
        <f t="shared" si="14"/>
        <v>0</v>
      </c>
      <c r="AI55" s="202">
        <f>'[15]Feb''24'!AE55</f>
        <v>0</v>
      </c>
      <c r="AJ55" s="202">
        <f t="shared" si="5"/>
        <v>0</v>
      </c>
      <c r="AK55" s="224"/>
      <c r="AL55" s="221">
        <f t="shared" si="6"/>
        <v>0</v>
      </c>
      <c r="AN55" s="207">
        <f t="shared" si="15"/>
        <v>0</v>
      </c>
    </row>
    <row r="56" spans="2:40" s="27" customFormat="1" hidden="1">
      <c r="B56" s="97">
        <v>51</v>
      </c>
      <c r="C56" s="98"/>
      <c r="D56" s="42"/>
      <c r="E56" s="43"/>
      <c r="F56" s="41"/>
      <c r="G56" s="107"/>
      <c r="H56" s="44"/>
      <c r="I56" s="45"/>
      <c r="J56" s="58" t="str">
        <f t="shared" si="2"/>
        <v/>
      </c>
      <c r="K56" s="60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62">
        <f t="shared" si="3"/>
        <v>0</v>
      </c>
      <c r="AG56" s="63">
        <f t="shared" si="12"/>
        <v>0</v>
      </c>
      <c r="AH56" s="108">
        <f t="shared" si="14"/>
        <v>0</v>
      </c>
      <c r="AI56" s="202">
        <f>'[15]Feb''24'!AE56</f>
        <v>0</v>
      </c>
      <c r="AJ56" s="202">
        <f t="shared" si="5"/>
        <v>0</v>
      </c>
      <c r="AK56" s="224"/>
      <c r="AL56" s="221">
        <f t="shared" si="6"/>
        <v>0</v>
      </c>
      <c r="AN56" s="207">
        <f t="shared" si="15"/>
        <v>0</v>
      </c>
    </row>
    <row r="57" spans="2:40" s="27" customFormat="1" hidden="1">
      <c r="B57" s="97">
        <v>52</v>
      </c>
      <c r="C57" s="98"/>
      <c r="D57" s="42"/>
      <c r="E57" s="43"/>
      <c r="F57" s="41"/>
      <c r="G57" s="107"/>
      <c r="H57" s="44"/>
      <c r="I57" s="45"/>
      <c r="J57" s="58" t="str">
        <f t="shared" si="2"/>
        <v/>
      </c>
      <c r="K57" s="60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62">
        <f t="shared" si="3"/>
        <v>0</v>
      </c>
      <c r="AG57" s="63">
        <f t="shared" si="12"/>
        <v>0</v>
      </c>
      <c r="AH57" s="108">
        <f t="shared" si="14"/>
        <v>0</v>
      </c>
      <c r="AI57" s="202">
        <f>'[15]Feb''24'!AE57</f>
        <v>0</v>
      </c>
      <c r="AJ57" s="202">
        <f t="shared" si="5"/>
        <v>0</v>
      </c>
      <c r="AK57" s="224"/>
      <c r="AL57" s="221">
        <f t="shared" si="6"/>
        <v>0</v>
      </c>
      <c r="AN57" s="207">
        <f t="shared" si="15"/>
        <v>0</v>
      </c>
    </row>
    <row r="58" spans="2:40" s="27" customFormat="1" hidden="1">
      <c r="B58" s="97">
        <v>53</v>
      </c>
      <c r="C58" s="98"/>
      <c r="D58" s="42"/>
      <c r="E58" s="43"/>
      <c r="F58" s="41"/>
      <c r="G58" s="107"/>
      <c r="H58" s="44"/>
      <c r="I58" s="45"/>
      <c r="J58" s="58" t="str">
        <f t="shared" si="2"/>
        <v/>
      </c>
      <c r="K58" s="60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62">
        <f t="shared" si="3"/>
        <v>0</v>
      </c>
      <c r="AG58" s="63">
        <f t="shared" si="12"/>
        <v>0</v>
      </c>
      <c r="AH58" s="108">
        <f t="shared" si="14"/>
        <v>0</v>
      </c>
      <c r="AI58" s="202">
        <f>'[15]Feb''24'!AE58</f>
        <v>0</v>
      </c>
      <c r="AJ58" s="202">
        <f t="shared" si="5"/>
        <v>0</v>
      </c>
      <c r="AK58" s="224"/>
      <c r="AL58" s="221">
        <f t="shared" si="6"/>
        <v>0</v>
      </c>
      <c r="AN58" s="207">
        <f t="shared" si="15"/>
        <v>0</v>
      </c>
    </row>
    <row r="59" spans="2:40" s="27" customFormat="1" hidden="1">
      <c r="B59" s="97">
        <v>54</v>
      </c>
      <c r="C59" s="98"/>
      <c r="D59" s="42"/>
      <c r="E59" s="43"/>
      <c r="F59" s="41"/>
      <c r="G59" s="107"/>
      <c r="H59" s="44"/>
      <c r="I59" s="45"/>
      <c r="J59" s="58" t="str">
        <f t="shared" si="2"/>
        <v/>
      </c>
      <c r="K59" s="60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62">
        <f t="shared" si="3"/>
        <v>0</v>
      </c>
      <c r="AG59" s="63">
        <f t="shared" si="12"/>
        <v>0</v>
      </c>
      <c r="AH59" s="108">
        <f t="shared" si="14"/>
        <v>0</v>
      </c>
      <c r="AI59" s="202">
        <f>'[15]Feb''24'!AE59</f>
        <v>0</v>
      </c>
      <c r="AJ59" s="202">
        <f t="shared" si="5"/>
        <v>0</v>
      </c>
      <c r="AK59" s="224"/>
      <c r="AL59" s="221">
        <f t="shared" si="6"/>
        <v>0</v>
      </c>
      <c r="AN59" s="207">
        <f t="shared" si="15"/>
        <v>0</v>
      </c>
    </row>
    <row r="60" spans="2:40" s="27" customFormat="1" hidden="1">
      <c r="B60" s="97">
        <v>55</v>
      </c>
      <c r="C60" s="98"/>
      <c r="D60" s="42"/>
      <c r="E60" s="43"/>
      <c r="F60" s="41"/>
      <c r="G60" s="107"/>
      <c r="H60" s="44"/>
      <c r="I60" s="45"/>
      <c r="J60" s="58" t="str">
        <f t="shared" si="2"/>
        <v/>
      </c>
      <c r="K60" s="60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62">
        <f t="shared" si="3"/>
        <v>0</v>
      </c>
      <c r="AG60" s="63">
        <f t="shared" si="12"/>
        <v>0</v>
      </c>
      <c r="AH60" s="108">
        <f t="shared" si="14"/>
        <v>0</v>
      </c>
      <c r="AI60" s="202">
        <f>'[15]Feb''24'!AE60</f>
        <v>0</v>
      </c>
      <c r="AJ60" s="202">
        <f t="shared" si="5"/>
        <v>0</v>
      </c>
      <c r="AK60" s="224"/>
      <c r="AL60" s="221">
        <f t="shared" si="6"/>
        <v>0</v>
      </c>
      <c r="AN60" s="207">
        <f t="shared" si="15"/>
        <v>0</v>
      </c>
    </row>
    <row r="61" spans="2:40" s="27" customFormat="1" hidden="1">
      <c r="B61" s="97">
        <v>56</v>
      </c>
      <c r="C61" s="98"/>
      <c r="D61" s="42"/>
      <c r="E61" s="43"/>
      <c r="F61" s="41"/>
      <c r="G61" s="107"/>
      <c r="H61" s="44"/>
      <c r="I61" s="45"/>
      <c r="J61" s="58" t="str">
        <f t="shared" si="2"/>
        <v/>
      </c>
      <c r="K61" s="60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62">
        <f t="shared" si="3"/>
        <v>0</v>
      </c>
      <c r="AG61" s="63">
        <f t="shared" si="12"/>
        <v>0</v>
      </c>
      <c r="AH61" s="108">
        <f t="shared" si="14"/>
        <v>0</v>
      </c>
      <c r="AI61" s="202">
        <f>'[15]Feb''24'!AE61</f>
        <v>0</v>
      </c>
      <c r="AJ61" s="202">
        <f t="shared" si="5"/>
        <v>0</v>
      </c>
      <c r="AK61" s="224"/>
      <c r="AL61" s="221">
        <f t="shared" si="6"/>
        <v>0</v>
      </c>
      <c r="AN61" s="207">
        <f t="shared" si="15"/>
        <v>0</v>
      </c>
    </row>
    <row r="62" spans="2:40" s="27" customFormat="1" hidden="1">
      <c r="B62" s="97">
        <v>57</v>
      </c>
      <c r="C62" s="98"/>
      <c r="D62" s="42"/>
      <c r="E62" s="43"/>
      <c r="F62" s="41"/>
      <c r="G62" s="107"/>
      <c r="H62" s="44"/>
      <c r="I62" s="45"/>
      <c r="J62" s="58" t="str">
        <f t="shared" si="2"/>
        <v/>
      </c>
      <c r="K62" s="60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62">
        <f t="shared" si="3"/>
        <v>0</v>
      </c>
      <c r="AG62" s="63">
        <f t="shared" si="12"/>
        <v>0</v>
      </c>
      <c r="AH62" s="108">
        <f t="shared" si="14"/>
        <v>0</v>
      </c>
      <c r="AI62" s="202">
        <f>'[15]Feb''24'!AE62</f>
        <v>0</v>
      </c>
      <c r="AJ62" s="202">
        <f t="shared" si="5"/>
        <v>0</v>
      </c>
      <c r="AK62" s="224"/>
      <c r="AL62" s="221">
        <f t="shared" si="6"/>
        <v>0</v>
      </c>
      <c r="AN62" s="207">
        <f t="shared" si="15"/>
        <v>0</v>
      </c>
    </row>
    <row r="63" spans="2:40" s="27" customFormat="1" hidden="1">
      <c r="B63" s="97">
        <v>58</v>
      </c>
      <c r="C63" s="98"/>
      <c r="D63" s="42"/>
      <c r="E63" s="43"/>
      <c r="F63" s="41"/>
      <c r="G63" s="107"/>
      <c r="H63" s="44"/>
      <c r="I63" s="45"/>
      <c r="J63" s="58" t="str">
        <f t="shared" si="2"/>
        <v/>
      </c>
      <c r="K63" s="60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62">
        <f t="shared" si="3"/>
        <v>0</v>
      </c>
      <c r="AG63" s="63">
        <f t="shared" si="12"/>
        <v>0</v>
      </c>
      <c r="AH63" s="108">
        <f t="shared" si="14"/>
        <v>0</v>
      </c>
      <c r="AI63" s="202">
        <f>'[15]Feb''24'!AE63</f>
        <v>0</v>
      </c>
      <c r="AJ63" s="202">
        <f t="shared" si="5"/>
        <v>0</v>
      </c>
      <c r="AK63" s="224"/>
      <c r="AL63" s="221">
        <f t="shared" si="6"/>
        <v>0</v>
      </c>
      <c r="AN63" s="207">
        <f t="shared" si="15"/>
        <v>0</v>
      </c>
    </row>
    <row r="64" spans="2:40" s="27" customFormat="1" hidden="1">
      <c r="B64" s="97">
        <v>59</v>
      </c>
      <c r="C64" s="98"/>
      <c r="D64" s="42"/>
      <c r="E64" s="43"/>
      <c r="F64" s="41"/>
      <c r="G64" s="107"/>
      <c r="H64" s="44"/>
      <c r="I64" s="45"/>
      <c r="J64" s="58" t="str">
        <f t="shared" si="2"/>
        <v/>
      </c>
      <c r="K64" s="60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62">
        <f t="shared" si="3"/>
        <v>0</v>
      </c>
      <c r="AG64" s="63">
        <f t="shared" si="12"/>
        <v>0</v>
      </c>
      <c r="AH64" s="108">
        <f t="shared" si="14"/>
        <v>0</v>
      </c>
      <c r="AI64" s="202">
        <f>'[15]Feb''24'!AE64</f>
        <v>0</v>
      </c>
      <c r="AJ64" s="202">
        <f t="shared" si="5"/>
        <v>0</v>
      </c>
      <c r="AK64" s="224"/>
      <c r="AL64" s="221">
        <f t="shared" si="6"/>
        <v>0</v>
      </c>
      <c r="AN64" s="207">
        <f t="shared" si="15"/>
        <v>0</v>
      </c>
    </row>
    <row r="65" spans="2:40" s="27" customFormat="1" hidden="1">
      <c r="B65" s="97">
        <v>60</v>
      </c>
      <c r="C65" s="98"/>
      <c r="D65" s="42"/>
      <c r="E65" s="43"/>
      <c r="F65" s="41"/>
      <c r="G65" s="107"/>
      <c r="H65" s="44"/>
      <c r="I65" s="45"/>
      <c r="J65" s="58" t="str">
        <f t="shared" si="2"/>
        <v/>
      </c>
      <c r="K65" s="60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62">
        <f t="shared" si="3"/>
        <v>0</v>
      </c>
      <c r="AG65" s="63">
        <f t="shared" si="12"/>
        <v>0</v>
      </c>
      <c r="AH65" s="108">
        <f t="shared" si="14"/>
        <v>0</v>
      </c>
      <c r="AI65" s="202">
        <f>'[15]Feb''24'!AE65</f>
        <v>0</v>
      </c>
      <c r="AJ65" s="202">
        <f t="shared" si="5"/>
        <v>0</v>
      </c>
      <c r="AK65" s="224"/>
      <c r="AL65" s="221">
        <f t="shared" si="6"/>
        <v>0</v>
      </c>
      <c r="AN65" s="207">
        <f t="shared" si="15"/>
        <v>0</v>
      </c>
    </row>
    <row r="66" spans="2:40" s="27" customFormat="1" hidden="1">
      <c r="B66" s="97">
        <v>61</v>
      </c>
      <c r="C66" s="98"/>
      <c r="D66" s="42"/>
      <c r="E66" s="43"/>
      <c r="F66" s="41"/>
      <c r="G66" s="107"/>
      <c r="H66" s="44"/>
      <c r="I66" s="45"/>
      <c r="J66" s="58" t="str">
        <f t="shared" si="2"/>
        <v/>
      </c>
      <c r="K66" s="60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62">
        <f t="shared" si="3"/>
        <v>0</v>
      </c>
      <c r="AG66" s="63">
        <f t="shared" si="12"/>
        <v>0</v>
      </c>
      <c r="AH66" s="108">
        <f t="shared" si="14"/>
        <v>0</v>
      </c>
      <c r="AI66" s="202">
        <f>'[15]Feb''24'!AE66</f>
        <v>0</v>
      </c>
      <c r="AJ66" s="202">
        <f t="shared" si="5"/>
        <v>0</v>
      </c>
      <c r="AK66" s="224"/>
      <c r="AL66" s="221">
        <f t="shared" si="6"/>
        <v>0</v>
      </c>
      <c r="AN66" s="207">
        <f t="shared" si="15"/>
        <v>0</v>
      </c>
    </row>
    <row r="67" spans="2:40" s="27" customFormat="1" hidden="1">
      <c r="B67" s="97">
        <v>62</v>
      </c>
      <c r="C67" s="98"/>
      <c r="D67" s="42"/>
      <c r="E67" s="43"/>
      <c r="F67" s="41"/>
      <c r="G67" s="107"/>
      <c r="H67" s="44"/>
      <c r="I67" s="45"/>
      <c r="J67" s="58" t="str">
        <f t="shared" si="2"/>
        <v/>
      </c>
      <c r="K67" s="60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62">
        <f t="shared" si="3"/>
        <v>0</v>
      </c>
      <c r="AG67" s="63">
        <f t="shared" si="12"/>
        <v>0</v>
      </c>
      <c r="AH67" s="108">
        <f t="shared" si="14"/>
        <v>0</v>
      </c>
      <c r="AI67" s="202">
        <f>'[15]Feb''24'!AE67</f>
        <v>0</v>
      </c>
      <c r="AJ67" s="202">
        <f t="shared" si="5"/>
        <v>0</v>
      </c>
      <c r="AK67" s="224"/>
      <c r="AL67" s="221">
        <f t="shared" si="6"/>
        <v>0</v>
      </c>
      <c r="AN67" s="207">
        <f t="shared" si="15"/>
        <v>0</v>
      </c>
    </row>
    <row r="68" spans="2:40" s="27" customFormat="1" hidden="1">
      <c r="B68" s="97">
        <v>63</v>
      </c>
      <c r="C68" s="98"/>
      <c r="D68" s="42"/>
      <c r="E68" s="43"/>
      <c r="F68" s="41"/>
      <c r="G68" s="107"/>
      <c r="H68" s="44"/>
      <c r="I68" s="45"/>
      <c r="J68" s="58" t="str">
        <f t="shared" si="2"/>
        <v/>
      </c>
      <c r="K68" s="60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62">
        <f t="shared" si="3"/>
        <v>0</v>
      </c>
      <c r="AG68" s="63">
        <f t="shared" si="12"/>
        <v>0</v>
      </c>
      <c r="AH68" s="108">
        <f t="shared" si="14"/>
        <v>0</v>
      </c>
      <c r="AI68" s="202">
        <f>'[15]Feb''24'!AE68</f>
        <v>0</v>
      </c>
      <c r="AJ68" s="202">
        <f t="shared" si="5"/>
        <v>0</v>
      </c>
      <c r="AK68" s="224"/>
      <c r="AL68" s="221">
        <f t="shared" si="6"/>
        <v>0</v>
      </c>
      <c r="AN68" s="207">
        <f t="shared" si="15"/>
        <v>0</v>
      </c>
    </row>
    <row r="69" spans="2:40" s="27" customFormat="1" hidden="1">
      <c r="B69" s="97">
        <v>64</v>
      </c>
      <c r="C69" s="98"/>
      <c r="D69" s="42"/>
      <c r="E69" s="43"/>
      <c r="F69" s="41"/>
      <c r="G69" s="107"/>
      <c r="H69" s="44"/>
      <c r="I69" s="45"/>
      <c r="J69" s="58" t="str">
        <f t="shared" si="2"/>
        <v/>
      </c>
      <c r="K69" s="60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62">
        <f t="shared" si="3"/>
        <v>0</v>
      </c>
      <c r="AG69" s="63">
        <f t="shared" si="12"/>
        <v>0</v>
      </c>
      <c r="AH69" s="108">
        <f t="shared" si="14"/>
        <v>0</v>
      </c>
      <c r="AI69" s="202">
        <f>'[15]Feb''24'!AE69</f>
        <v>0</v>
      </c>
      <c r="AJ69" s="202">
        <f t="shared" si="5"/>
        <v>0</v>
      </c>
      <c r="AK69" s="224"/>
      <c r="AL69" s="221">
        <f t="shared" si="6"/>
        <v>0</v>
      </c>
      <c r="AN69" s="207">
        <f t="shared" si="15"/>
        <v>0</v>
      </c>
    </row>
    <row r="70" spans="2:40" s="27" customFormat="1" hidden="1">
      <c r="B70" s="97">
        <v>65</v>
      </c>
      <c r="C70" s="98"/>
      <c r="D70" s="42"/>
      <c r="E70" s="43"/>
      <c r="F70" s="41"/>
      <c r="G70" s="107"/>
      <c r="H70" s="44"/>
      <c r="I70" s="45"/>
      <c r="J70" s="58" t="str">
        <f t="shared" si="2"/>
        <v/>
      </c>
      <c r="K70" s="60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62">
        <f t="shared" ref="AF70:AF89" si="16">ROUNDDOWN(SUM(K70:AE70),0)</f>
        <v>0</v>
      </c>
      <c r="AG70" s="63">
        <f t="shared" ref="AG70:AG89" si="17">IF(J70="TER A",VLOOKUP(AF70,Ter_A,4,TRUE),IF(J70="TER B",VLOOKUP(AF70,Ter_B,4,TRUE),VLOOKUP(AF70,Ter_C,4,TRUE)))</f>
        <v>0</v>
      </c>
      <c r="AH70" s="108">
        <f t="shared" si="14"/>
        <v>0</v>
      </c>
      <c r="AI70" s="202">
        <f>'[15]Feb''24'!AE70</f>
        <v>0</v>
      </c>
      <c r="AJ70" s="202">
        <f t="shared" si="5"/>
        <v>0</v>
      </c>
      <c r="AK70" s="224"/>
      <c r="AL70" s="221">
        <f t="shared" si="6"/>
        <v>0</v>
      </c>
      <c r="AN70" s="207">
        <f t="shared" si="15"/>
        <v>0</v>
      </c>
    </row>
    <row r="71" spans="2:40" s="27" customFormat="1" hidden="1">
      <c r="B71" s="97">
        <v>66</v>
      </c>
      <c r="C71" s="98"/>
      <c r="D71" s="42"/>
      <c r="E71" s="43"/>
      <c r="F71" s="41"/>
      <c r="G71" s="107"/>
      <c r="H71" s="44"/>
      <c r="I71" s="45"/>
      <c r="J71" s="58" t="str">
        <f t="shared" ref="J71:J89" si="18">IF(ISBLANK(I71),"",IF(OR(I71="TK/0",I71="TK/1",I71="K/0"),"TER A",IF(I71="K/3","TER C","TER B")))</f>
        <v/>
      </c>
      <c r="K71" s="60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62">
        <f t="shared" si="16"/>
        <v>0</v>
      </c>
      <c r="AG71" s="63">
        <f t="shared" si="17"/>
        <v>0</v>
      </c>
      <c r="AH71" s="108">
        <f t="shared" si="14"/>
        <v>0</v>
      </c>
      <c r="AI71" s="202">
        <f>'[15]Feb''24'!AE71</f>
        <v>0</v>
      </c>
      <c r="AJ71" s="202">
        <f t="shared" ref="AJ71:AJ90" si="19">AH71-AI71</f>
        <v>0</v>
      </c>
      <c r="AK71" s="224"/>
      <c r="AL71" s="221">
        <f t="shared" ref="AL71:AL90" si="20">AH71-AI71</f>
        <v>0</v>
      </c>
      <c r="AN71" s="207">
        <f t="shared" si="15"/>
        <v>0</v>
      </c>
    </row>
    <row r="72" spans="2:40" s="27" customFormat="1" hidden="1">
      <c r="B72" s="97">
        <v>67</v>
      </c>
      <c r="C72" s="98"/>
      <c r="D72" s="42"/>
      <c r="E72" s="43"/>
      <c r="F72" s="41"/>
      <c r="G72" s="107"/>
      <c r="H72" s="44"/>
      <c r="I72" s="45"/>
      <c r="J72" s="58" t="str">
        <f t="shared" si="18"/>
        <v/>
      </c>
      <c r="K72" s="60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62">
        <f t="shared" si="16"/>
        <v>0</v>
      </c>
      <c r="AG72" s="63">
        <f t="shared" si="17"/>
        <v>0</v>
      </c>
      <c r="AH72" s="108">
        <f t="shared" si="14"/>
        <v>0</v>
      </c>
      <c r="AI72" s="202">
        <f>'[15]Feb''24'!AE72</f>
        <v>0</v>
      </c>
      <c r="AJ72" s="202">
        <f t="shared" si="19"/>
        <v>0</v>
      </c>
      <c r="AK72" s="224"/>
      <c r="AL72" s="221">
        <f t="shared" si="20"/>
        <v>0</v>
      </c>
      <c r="AN72" s="207">
        <f t="shared" si="15"/>
        <v>0</v>
      </c>
    </row>
    <row r="73" spans="2:40" s="27" customFormat="1" hidden="1">
      <c r="B73" s="97">
        <v>68</v>
      </c>
      <c r="C73" s="98"/>
      <c r="D73" s="42"/>
      <c r="E73" s="43"/>
      <c r="F73" s="41"/>
      <c r="G73" s="107"/>
      <c r="H73" s="44"/>
      <c r="I73" s="45"/>
      <c r="J73" s="58" t="str">
        <f t="shared" si="18"/>
        <v/>
      </c>
      <c r="K73" s="60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62">
        <f t="shared" si="16"/>
        <v>0</v>
      </c>
      <c r="AG73" s="63">
        <f t="shared" si="17"/>
        <v>0</v>
      </c>
      <c r="AH73" s="108">
        <f t="shared" si="14"/>
        <v>0</v>
      </c>
      <c r="AI73" s="202">
        <f>'[15]Feb''24'!AE73</f>
        <v>0</v>
      </c>
      <c r="AJ73" s="202">
        <f t="shared" si="19"/>
        <v>0</v>
      </c>
      <c r="AK73" s="224"/>
      <c r="AL73" s="221">
        <f t="shared" si="20"/>
        <v>0</v>
      </c>
      <c r="AN73" s="207">
        <f t="shared" si="15"/>
        <v>0</v>
      </c>
    </row>
    <row r="74" spans="2:40" s="27" customFormat="1" hidden="1">
      <c r="B74" s="97">
        <v>69</v>
      </c>
      <c r="C74" s="98"/>
      <c r="D74" s="42"/>
      <c r="E74" s="43"/>
      <c r="F74" s="41"/>
      <c r="G74" s="107"/>
      <c r="H74" s="44"/>
      <c r="I74" s="45"/>
      <c r="J74" s="58" t="str">
        <f t="shared" si="18"/>
        <v/>
      </c>
      <c r="K74" s="60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62">
        <f t="shared" si="16"/>
        <v>0</v>
      </c>
      <c r="AG74" s="63">
        <f t="shared" si="17"/>
        <v>0</v>
      </c>
      <c r="AH74" s="108">
        <f t="shared" si="14"/>
        <v>0</v>
      </c>
      <c r="AI74" s="202">
        <f>'[15]Feb''24'!AE74</f>
        <v>0</v>
      </c>
      <c r="AJ74" s="202">
        <f t="shared" si="19"/>
        <v>0</v>
      </c>
      <c r="AK74" s="224"/>
      <c r="AL74" s="221">
        <f t="shared" si="20"/>
        <v>0</v>
      </c>
      <c r="AN74" s="207">
        <f t="shared" si="15"/>
        <v>0</v>
      </c>
    </row>
    <row r="75" spans="2:40" s="27" customFormat="1" hidden="1">
      <c r="B75" s="97">
        <v>70</v>
      </c>
      <c r="C75" s="98"/>
      <c r="D75" s="42"/>
      <c r="E75" s="43"/>
      <c r="F75" s="41"/>
      <c r="G75" s="107"/>
      <c r="H75" s="44"/>
      <c r="I75" s="45"/>
      <c r="J75" s="58" t="str">
        <f t="shared" si="18"/>
        <v/>
      </c>
      <c r="K75" s="60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62">
        <f t="shared" si="16"/>
        <v>0</v>
      </c>
      <c r="AG75" s="63">
        <f t="shared" si="17"/>
        <v>0</v>
      </c>
      <c r="AH75" s="108">
        <f t="shared" si="14"/>
        <v>0</v>
      </c>
      <c r="AI75" s="202">
        <f>'[15]Feb''24'!AE75</f>
        <v>0</v>
      </c>
      <c r="AJ75" s="202">
        <f t="shared" si="19"/>
        <v>0</v>
      </c>
      <c r="AK75" s="224"/>
      <c r="AL75" s="221">
        <f t="shared" si="20"/>
        <v>0</v>
      </c>
      <c r="AN75" s="207">
        <f t="shared" si="15"/>
        <v>0</v>
      </c>
    </row>
    <row r="76" spans="2:40" s="27" customFormat="1" hidden="1">
      <c r="B76" s="97">
        <v>71</v>
      </c>
      <c r="C76" s="98"/>
      <c r="D76" s="42"/>
      <c r="E76" s="43"/>
      <c r="F76" s="41"/>
      <c r="G76" s="107"/>
      <c r="H76" s="44"/>
      <c r="I76" s="45"/>
      <c r="J76" s="58" t="str">
        <f t="shared" si="18"/>
        <v/>
      </c>
      <c r="K76" s="60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62">
        <f t="shared" si="16"/>
        <v>0</v>
      </c>
      <c r="AG76" s="63">
        <f t="shared" si="17"/>
        <v>0</v>
      </c>
      <c r="AH76" s="108">
        <f t="shared" si="14"/>
        <v>0</v>
      </c>
      <c r="AI76" s="202">
        <f>'[15]Feb''24'!AE76</f>
        <v>0</v>
      </c>
      <c r="AJ76" s="202">
        <f t="shared" si="19"/>
        <v>0</v>
      </c>
      <c r="AK76" s="224"/>
      <c r="AL76" s="221">
        <f t="shared" si="20"/>
        <v>0</v>
      </c>
      <c r="AN76" s="207">
        <f t="shared" si="15"/>
        <v>0</v>
      </c>
    </row>
    <row r="77" spans="2:40" s="27" customFormat="1" hidden="1">
      <c r="B77" s="97">
        <v>72</v>
      </c>
      <c r="C77" s="98"/>
      <c r="D77" s="42"/>
      <c r="E77" s="43"/>
      <c r="F77" s="41"/>
      <c r="G77" s="107"/>
      <c r="H77" s="44"/>
      <c r="I77" s="45"/>
      <c r="J77" s="58" t="str">
        <f t="shared" si="18"/>
        <v/>
      </c>
      <c r="K77" s="60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62">
        <f t="shared" si="16"/>
        <v>0</v>
      </c>
      <c r="AG77" s="63">
        <f t="shared" si="17"/>
        <v>0</v>
      </c>
      <c r="AH77" s="108">
        <f t="shared" si="14"/>
        <v>0</v>
      </c>
      <c r="AI77" s="202">
        <f>'[15]Feb''24'!AE77</f>
        <v>0</v>
      </c>
      <c r="AJ77" s="202">
        <f t="shared" si="19"/>
        <v>0</v>
      </c>
      <c r="AK77" s="224"/>
      <c r="AL77" s="221">
        <f t="shared" si="20"/>
        <v>0</v>
      </c>
      <c r="AN77" s="207">
        <f t="shared" si="15"/>
        <v>0</v>
      </c>
    </row>
    <row r="78" spans="2:40" s="27" customFormat="1" hidden="1">
      <c r="B78" s="97">
        <v>73</v>
      </c>
      <c r="C78" s="98"/>
      <c r="D78" s="42"/>
      <c r="E78" s="43"/>
      <c r="F78" s="41"/>
      <c r="G78" s="107"/>
      <c r="H78" s="44"/>
      <c r="I78" s="45"/>
      <c r="J78" s="58" t="str">
        <f t="shared" si="18"/>
        <v/>
      </c>
      <c r="K78" s="60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62">
        <f t="shared" si="16"/>
        <v>0</v>
      </c>
      <c r="AG78" s="63">
        <f t="shared" si="17"/>
        <v>0</v>
      </c>
      <c r="AH78" s="108">
        <f t="shared" si="14"/>
        <v>0</v>
      </c>
      <c r="AI78" s="202">
        <f>'[15]Feb''24'!AE78</f>
        <v>0</v>
      </c>
      <c r="AJ78" s="202">
        <f t="shared" si="19"/>
        <v>0</v>
      </c>
      <c r="AK78" s="224"/>
      <c r="AL78" s="221">
        <f t="shared" si="20"/>
        <v>0</v>
      </c>
      <c r="AN78" s="207">
        <f t="shared" si="15"/>
        <v>0</v>
      </c>
    </row>
    <row r="79" spans="2:40" s="27" customFormat="1" hidden="1">
      <c r="B79" s="97">
        <v>74</v>
      </c>
      <c r="C79" s="98"/>
      <c r="D79" s="42"/>
      <c r="E79" s="43"/>
      <c r="F79" s="41"/>
      <c r="G79" s="107"/>
      <c r="H79" s="44"/>
      <c r="I79" s="45"/>
      <c r="J79" s="58" t="str">
        <f t="shared" si="18"/>
        <v/>
      </c>
      <c r="K79" s="60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62">
        <f t="shared" si="16"/>
        <v>0</v>
      </c>
      <c r="AG79" s="63">
        <f t="shared" si="17"/>
        <v>0</v>
      </c>
      <c r="AH79" s="108">
        <f t="shared" si="14"/>
        <v>0</v>
      </c>
      <c r="AI79" s="202">
        <f>'[15]Feb''24'!AE79</f>
        <v>0</v>
      </c>
      <c r="AJ79" s="202">
        <f t="shared" si="19"/>
        <v>0</v>
      </c>
      <c r="AK79" s="224"/>
      <c r="AL79" s="221">
        <f t="shared" si="20"/>
        <v>0</v>
      </c>
      <c r="AN79" s="207">
        <f t="shared" si="15"/>
        <v>0</v>
      </c>
    </row>
    <row r="80" spans="2:40" s="27" customFormat="1" hidden="1">
      <c r="B80" s="97">
        <v>75</v>
      </c>
      <c r="C80" s="98"/>
      <c r="D80" s="42"/>
      <c r="E80" s="43"/>
      <c r="F80" s="41"/>
      <c r="G80" s="107"/>
      <c r="H80" s="44"/>
      <c r="I80" s="45"/>
      <c r="J80" s="58" t="str">
        <f t="shared" si="18"/>
        <v/>
      </c>
      <c r="K80" s="60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62">
        <f t="shared" si="16"/>
        <v>0</v>
      </c>
      <c r="AG80" s="63">
        <f t="shared" si="17"/>
        <v>0</v>
      </c>
      <c r="AH80" s="108">
        <f t="shared" si="14"/>
        <v>0</v>
      </c>
      <c r="AI80" s="202">
        <f>'[15]Feb''24'!AE80</f>
        <v>0</v>
      </c>
      <c r="AJ80" s="202">
        <f t="shared" si="19"/>
        <v>0</v>
      </c>
      <c r="AK80" s="224"/>
      <c r="AL80" s="221">
        <f t="shared" si="20"/>
        <v>0</v>
      </c>
      <c r="AN80" s="207">
        <f t="shared" si="15"/>
        <v>0</v>
      </c>
    </row>
    <row r="81" spans="2:42" s="27" customFormat="1" hidden="1">
      <c r="B81" s="97">
        <v>76</v>
      </c>
      <c r="C81" s="98"/>
      <c r="D81" s="42"/>
      <c r="E81" s="43"/>
      <c r="F81" s="41"/>
      <c r="G81" s="107"/>
      <c r="H81" s="44"/>
      <c r="I81" s="45"/>
      <c r="J81" s="58" t="str">
        <f t="shared" si="18"/>
        <v/>
      </c>
      <c r="K81" s="60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62">
        <f t="shared" si="16"/>
        <v>0</v>
      </c>
      <c r="AG81" s="63">
        <f t="shared" si="17"/>
        <v>0</v>
      </c>
      <c r="AH81" s="108">
        <f t="shared" si="14"/>
        <v>0</v>
      </c>
      <c r="AI81" s="202">
        <f>'[15]Feb''24'!AE81</f>
        <v>0</v>
      </c>
      <c r="AJ81" s="202">
        <f t="shared" si="19"/>
        <v>0</v>
      </c>
      <c r="AK81" s="224"/>
      <c r="AL81" s="221">
        <f t="shared" si="20"/>
        <v>0</v>
      </c>
      <c r="AN81" s="207">
        <f t="shared" si="15"/>
        <v>0</v>
      </c>
    </row>
    <row r="82" spans="2:42" s="27" customFormat="1" hidden="1">
      <c r="B82" s="97">
        <v>77</v>
      </c>
      <c r="C82" s="98"/>
      <c r="D82" s="42"/>
      <c r="E82" s="43"/>
      <c r="F82" s="41"/>
      <c r="G82" s="107"/>
      <c r="H82" s="44"/>
      <c r="I82" s="45"/>
      <c r="J82" s="58" t="str">
        <f t="shared" si="18"/>
        <v/>
      </c>
      <c r="K82" s="60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62">
        <f t="shared" si="16"/>
        <v>0</v>
      </c>
      <c r="AG82" s="63">
        <f t="shared" si="17"/>
        <v>0</v>
      </c>
      <c r="AH82" s="108">
        <f t="shared" si="14"/>
        <v>0</v>
      </c>
      <c r="AI82" s="202">
        <f>'[15]Feb''24'!AE82</f>
        <v>0</v>
      </c>
      <c r="AJ82" s="202">
        <f t="shared" si="19"/>
        <v>0</v>
      </c>
      <c r="AK82" s="224"/>
      <c r="AL82" s="221">
        <f t="shared" si="20"/>
        <v>0</v>
      </c>
      <c r="AN82" s="207">
        <f t="shared" si="15"/>
        <v>0</v>
      </c>
    </row>
    <row r="83" spans="2:42" s="27" customFormat="1" hidden="1">
      <c r="B83" s="97">
        <v>78</v>
      </c>
      <c r="C83" s="98"/>
      <c r="D83" s="42"/>
      <c r="E83" s="43"/>
      <c r="F83" s="41"/>
      <c r="G83" s="107"/>
      <c r="H83" s="44"/>
      <c r="I83" s="45"/>
      <c r="J83" s="58" t="str">
        <f t="shared" si="18"/>
        <v/>
      </c>
      <c r="K83" s="60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62">
        <f t="shared" si="16"/>
        <v>0</v>
      </c>
      <c r="AG83" s="63">
        <f t="shared" si="17"/>
        <v>0</v>
      </c>
      <c r="AH83" s="108">
        <f t="shared" si="14"/>
        <v>0</v>
      </c>
      <c r="AI83" s="202">
        <f>'[15]Feb''24'!AE83</f>
        <v>0</v>
      </c>
      <c r="AJ83" s="202">
        <f t="shared" si="19"/>
        <v>0</v>
      </c>
      <c r="AK83" s="224"/>
      <c r="AL83" s="221">
        <f t="shared" si="20"/>
        <v>0</v>
      </c>
      <c r="AN83" s="207">
        <f t="shared" si="15"/>
        <v>0</v>
      </c>
    </row>
    <row r="84" spans="2:42" s="27" customFormat="1" hidden="1">
      <c r="B84" s="97">
        <v>79</v>
      </c>
      <c r="C84" s="98"/>
      <c r="D84" s="42"/>
      <c r="E84" s="43"/>
      <c r="F84" s="41"/>
      <c r="G84" s="107"/>
      <c r="H84" s="44"/>
      <c r="I84" s="45"/>
      <c r="J84" s="58" t="str">
        <f t="shared" si="18"/>
        <v/>
      </c>
      <c r="K84" s="60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62">
        <f t="shared" si="16"/>
        <v>0</v>
      </c>
      <c r="AG84" s="63">
        <f t="shared" si="17"/>
        <v>0</v>
      </c>
      <c r="AH84" s="108">
        <f t="shared" si="14"/>
        <v>0</v>
      </c>
      <c r="AI84" s="202">
        <f>'[15]Feb''24'!AE84</f>
        <v>0</v>
      </c>
      <c r="AJ84" s="202">
        <f t="shared" si="19"/>
        <v>0</v>
      </c>
      <c r="AK84" s="224"/>
      <c r="AL84" s="221">
        <f t="shared" si="20"/>
        <v>0</v>
      </c>
      <c r="AN84" s="207">
        <f t="shared" si="15"/>
        <v>0</v>
      </c>
    </row>
    <row r="85" spans="2:42" s="27" customFormat="1" hidden="1">
      <c r="B85" s="97">
        <v>80</v>
      </c>
      <c r="C85" s="98"/>
      <c r="D85" s="42"/>
      <c r="E85" s="43"/>
      <c r="F85" s="41"/>
      <c r="G85" s="107"/>
      <c r="H85" s="44"/>
      <c r="I85" s="45"/>
      <c r="J85" s="58" t="str">
        <f t="shared" si="18"/>
        <v/>
      </c>
      <c r="K85" s="60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62">
        <f t="shared" si="16"/>
        <v>0</v>
      </c>
      <c r="AG85" s="63">
        <f t="shared" si="17"/>
        <v>0</v>
      </c>
      <c r="AH85" s="108">
        <f t="shared" si="14"/>
        <v>0</v>
      </c>
      <c r="AI85" s="202">
        <f>'[15]Feb''24'!AE85</f>
        <v>0</v>
      </c>
      <c r="AJ85" s="202">
        <f t="shared" si="19"/>
        <v>0</v>
      </c>
      <c r="AK85" s="224"/>
      <c r="AL85" s="221">
        <f t="shared" si="20"/>
        <v>0</v>
      </c>
      <c r="AN85" s="207">
        <f t="shared" si="15"/>
        <v>0</v>
      </c>
    </row>
    <row r="86" spans="2:42" s="27" customFormat="1" hidden="1">
      <c r="B86" s="97">
        <v>81</v>
      </c>
      <c r="C86" s="98"/>
      <c r="D86" s="42"/>
      <c r="E86" s="43"/>
      <c r="F86" s="41"/>
      <c r="G86" s="107"/>
      <c r="H86" s="44"/>
      <c r="I86" s="45"/>
      <c r="J86" s="58" t="str">
        <f t="shared" si="18"/>
        <v/>
      </c>
      <c r="K86" s="60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62">
        <f t="shared" si="16"/>
        <v>0</v>
      </c>
      <c r="AG86" s="63">
        <f t="shared" si="17"/>
        <v>0</v>
      </c>
      <c r="AH86" s="108">
        <f t="shared" si="14"/>
        <v>0</v>
      </c>
      <c r="AI86" s="202">
        <f>'[15]Feb''24'!AE86</f>
        <v>0</v>
      </c>
      <c r="AJ86" s="202">
        <f t="shared" si="19"/>
        <v>0</v>
      </c>
      <c r="AK86" s="224"/>
      <c r="AL86" s="221">
        <f t="shared" si="20"/>
        <v>0</v>
      </c>
      <c r="AN86" s="207">
        <f t="shared" si="15"/>
        <v>0</v>
      </c>
    </row>
    <row r="87" spans="2:42" s="27" customFormat="1" hidden="1">
      <c r="B87" s="97">
        <v>82</v>
      </c>
      <c r="C87" s="98"/>
      <c r="D87" s="42"/>
      <c r="E87" s="43"/>
      <c r="F87" s="41"/>
      <c r="G87" s="107"/>
      <c r="H87" s="44"/>
      <c r="I87" s="45"/>
      <c r="J87" s="58" t="str">
        <f t="shared" si="18"/>
        <v/>
      </c>
      <c r="K87" s="60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62">
        <f t="shared" si="16"/>
        <v>0</v>
      </c>
      <c r="AG87" s="63">
        <f t="shared" si="17"/>
        <v>0</v>
      </c>
      <c r="AH87" s="108">
        <f t="shared" si="14"/>
        <v>0</v>
      </c>
      <c r="AI87" s="202">
        <f>'[15]Feb''24'!AE87</f>
        <v>0</v>
      </c>
      <c r="AJ87" s="202">
        <f t="shared" si="19"/>
        <v>0</v>
      </c>
      <c r="AK87" s="224"/>
      <c r="AL87" s="221">
        <f t="shared" si="20"/>
        <v>0</v>
      </c>
      <c r="AN87" s="207">
        <f t="shared" si="15"/>
        <v>0</v>
      </c>
    </row>
    <row r="88" spans="2:42" s="27" customFormat="1" hidden="1">
      <c r="B88" s="97">
        <v>83</v>
      </c>
      <c r="C88" s="98"/>
      <c r="D88" s="42"/>
      <c r="E88" s="43"/>
      <c r="F88" s="41"/>
      <c r="G88" s="107"/>
      <c r="H88" s="44"/>
      <c r="I88" s="45"/>
      <c r="J88" s="58" t="str">
        <f t="shared" si="18"/>
        <v/>
      </c>
      <c r="K88" s="60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62">
        <f t="shared" si="16"/>
        <v>0</v>
      </c>
      <c r="AG88" s="63">
        <f t="shared" si="17"/>
        <v>0</v>
      </c>
      <c r="AH88" s="108">
        <f t="shared" si="14"/>
        <v>0</v>
      </c>
      <c r="AI88" s="202">
        <f>'[15]Feb''24'!AE88</f>
        <v>0</v>
      </c>
      <c r="AJ88" s="202">
        <f t="shared" si="19"/>
        <v>0</v>
      </c>
      <c r="AK88" s="224"/>
      <c r="AL88" s="221">
        <f t="shared" si="20"/>
        <v>0</v>
      </c>
      <c r="AN88" s="207">
        <f t="shared" si="15"/>
        <v>0</v>
      </c>
    </row>
    <row r="89" spans="2:42" s="27" customFormat="1" hidden="1">
      <c r="B89" s="97">
        <v>84</v>
      </c>
      <c r="C89" s="98"/>
      <c r="D89" s="42"/>
      <c r="E89" s="43"/>
      <c r="F89" s="41"/>
      <c r="G89" s="107"/>
      <c r="H89" s="44"/>
      <c r="I89" s="45"/>
      <c r="J89" s="58" t="str">
        <f t="shared" si="18"/>
        <v/>
      </c>
      <c r="K89" s="60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62">
        <f t="shared" si="16"/>
        <v>0</v>
      </c>
      <c r="AG89" s="63">
        <f t="shared" si="17"/>
        <v>0</v>
      </c>
      <c r="AH89" s="108">
        <f t="shared" si="14"/>
        <v>0</v>
      </c>
      <c r="AI89" s="202">
        <f>'[15]Feb''24'!AE89</f>
        <v>0</v>
      </c>
      <c r="AJ89" s="202">
        <f t="shared" si="19"/>
        <v>0</v>
      </c>
      <c r="AK89" s="224"/>
      <c r="AL89" s="221">
        <f t="shared" si="20"/>
        <v>0</v>
      </c>
      <c r="AN89" s="207">
        <f t="shared" si="15"/>
        <v>0</v>
      </c>
    </row>
    <row r="90" spans="2:42" s="27" customFormat="1" ht="13.5" thickBot="1">
      <c r="B90" s="97"/>
      <c r="C90" s="98"/>
      <c r="D90" s="42"/>
      <c r="E90" s="43"/>
      <c r="F90" s="41"/>
      <c r="G90" s="107"/>
      <c r="H90" s="44"/>
      <c r="I90" s="45"/>
      <c r="J90" s="58"/>
      <c r="K90" s="60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62"/>
      <c r="AG90" s="63"/>
      <c r="AH90" s="108"/>
      <c r="AI90" s="202">
        <f>'[15]Feb''24'!AE90</f>
        <v>0</v>
      </c>
      <c r="AJ90" s="202">
        <f t="shared" si="19"/>
        <v>0</v>
      </c>
      <c r="AK90" s="224"/>
      <c r="AL90" s="221">
        <f t="shared" si="20"/>
        <v>0</v>
      </c>
      <c r="AN90" s="207">
        <f t="shared" si="15"/>
        <v>0</v>
      </c>
    </row>
    <row r="91" spans="2:42" s="52" customFormat="1" ht="13.5" thickBot="1">
      <c r="B91" s="82"/>
      <c r="C91" s="83"/>
      <c r="D91" s="83"/>
      <c r="E91" s="83"/>
      <c r="F91" s="83"/>
      <c r="G91" s="83"/>
      <c r="H91" s="83"/>
      <c r="I91" s="83"/>
      <c r="J91" s="83"/>
      <c r="K91" s="84">
        <f>SUM(K6:K90)</f>
        <v>143039162.74000001</v>
      </c>
      <c r="L91" s="84">
        <f t="shared" ref="L91:AE91" si="21">SUM(L6:L90)</f>
        <v>1162769.9999999998</v>
      </c>
      <c r="M91" s="84">
        <f t="shared" si="21"/>
        <v>5591480</v>
      </c>
      <c r="N91" s="84">
        <f t="shared" si="21"/>
        <v>583740</v>
      </c>
      <c r="O91" s="84">
        <f t="shared" si="21"/>
        <v>2610000</v>
      </c>
      <c r="P91" s="84">
        <f t="shared" si="21"/>
        <v>932500</v>
      </c>
      <c r="Q91" s="84">
        <f t="shared" si="21"/>
        <v>753480</v>
      </c>
      <c r="R91" s="84">
        <f t="shared" si="21"/>
        <v>0</v>
      </c>
      <c r="S91" s="84">
        <f t="shared" si="21"/>
        <v>448350</v>
      </c>
      <c r="T91" s="84">
        <f t="shared" si="21"/>
        <v>3756600</v>
      </c>
      <c r="U91" s="84">
        <f t="shared" si="21"/>
        <v>336000</v>
      </c>
      <c r="V91" s="84">
        <f t="shared" si="21"/>
        <v>7711328.5899999999</v>
      </c>
      <c r="W91" s="84">
        <f t="shared" si="21"/>
        <v>0</v>
      </c>
      <c r="X91" s="84">
        <f t="shared" si="21"/>
        <v>1362000</v>
      </c>
      <c r="Y91" s="84">
        <f t="shared" si="21"/>
        <v>0</v>
      </c>
      <c r="Z91" s="84">
        <f t="shared" si="21"/>
        <v>0</v>
      </c>
      <c r="AA91" s="84">
        <f t="shared" si="21"/>
        <v>0</v>
      </c>
      <c r="AB91" s="84">
        <f t="shared" si="21"/>
        <v>0</v>
      </c>
      <c r="AC91" s="84">
        <f t="shared" si="21"/>
        <v>-5343166.5200000014</v>
      </c>
      <c r="AD91" s="84">
        <f t="shared" si="21"/>
        <v>143570496.20000011</v>
      </c>
      <c r="AE91" s="84">
        <f t="shared" si="21"/>
        <v>0</v>
      </c>
      <c r="AF91" s="84">
        <f>SUM(AF6:AF90)</f>
        <v>306514724</v>
      </c>
      <c r="AG91" s="84"/>
      <c r="AH91" s="84">
        <f>SUM(AH6:AH90)</f>
        <v>4186595</v>
      </c>
      <c r="AI91" s="84">
        <f t="shared" ref="AI91:AK91" si="22">SUM(AI6:AI90)</f>
        <v>3944569</v>
      </c>
      <c r="AJ91" s="84">
        <f t="shared" si="22"/>
        <v>273699</v>
      </c>
      <c r="AK91" s="225">
        <f t="shared" si="22"/>
        <v>-31673</v>
      </c>
      <c r="AL91" s="226"/>
      <c r="AM91" s="211">
        <f>SUM(AM6:AM90)</f>
        <v>156189994.81000003</v>
      </c>
      <c r="AN91" s="211">
        <f>SUM(AN6:AN90)</f>
        <v>306514741.00999999</v>
      </c>
      <c r="AO91" s="211">
        <f t="shared" ref="AO91:AP91" si="23">SUM(AO6:AO90)</f>
        <v>17.010000019334257</v>
      </c>
      <c r="AP91" s="211">
        <f t="shared" si="23"/>
        <v>162944227.79999989</v>
      </c>
    </row>
    <row r="92" spans="2:42">
      <c r="K92" s="28">
        <v>143039162.74000001</v>
      </c>
      <c r="M92" s="28">
        <v>5591480</v>
      </c>
      <c r="N92" s="28">
        <v>4879720</v>
      </c>
      <c r="O92" s="227">
        <f>N91+O91+P91+Q91</f>
        <v>4879720</v>
      </c>
      <c r="S92" s="28">
        <v>448350</v>
      </c>
      <c r="T92" s="28">
        <v>3756600</v>
      </c>
      <c r="U92" s="28">
        <v>336000</v>
      </c>
      <c r="V92" s="28">
        <v>7711328.5899999999</v>
      </c>
      <c r="X92" s="28">
        <v>1362000</v>
      </c>
      <c r="AC92" s="28">
        <v>-5343166.5200000014</v>
      </c>
      <c r="AF92" s="28">
        <f>+'[16]PPH21-STAFF'!$S$81</f>
        <v>146559230.55268797</v>
      </c>
      <c r="AI92" s="28">
        <v>3944569</v>
      </c>
      <c r="AJ92" s="28">
        <v>242026</v>
      </c>
    </row>
    <row r="93" spans="2:42">
      <c r="B93" s="51" t="s">
        <v>48</v>
      </c>
      <c r="M93" s="228">
        <f>M91-M92</f>
        <v>0</v>
      </c>
      <c r="N93" s="54"/>
      <c r="O93" s="54"/>
      <c r="P93" s="54"/>
      <c r="Q93" s="54"/>
      <c r="R93" s="54"/>
      <c r="S93" s="54"/>
      <c r="T93" s="54"/>
      <c r="U93" s="54"/>
      <c r="V93" s="54"/>
    </row>
    <row r="94" spans="2:42">
      <c r="B94" s="27" t="s">
        <v>49</v>
      </c>
      <c r="M94" s="54"/>
      <c r="N94" s="54"/>
      <c r="O94" s="54"/>
      <c r="P94" s="54"/>
      <c r="Q94" s="54"/>
      <c r="R94" s="54"/>
      <c r="S94" s="54"/>
      <c r="T94" s="54"/>
      <c r="U94" s="54"/>
      <c r="V94" s="54"/>
      <c r="AN94" s="212">
        <f>AJ91+AK91</f>
        <v>242026</v>
      </c>
    </row>
    <row r="95" spans="2:42">
      <c r="B95" s="27" t="s">
        <v>57</v>
      </c>
      <c r="M95" s="54"/>
      <c r="N95" s="54"/>
      <c r="O95" s="54"/>
      <c r="P95" s="54"/>
      <c r="Q95" s="54"/>
      <c r="R95" s="54"/>
      <c r="S95" s="54"/>
      <c r="T95" s="54"/>
      <c r="U95" s="54"/>
      <c r="V95" s="54"/>
    </row>
    <row r="96" spans="2:42">
      <c r="B96" s="27" t="s">
        <v>50</v>
      </c>
      <c r="M96" s="54"/>
      <c r="N96" s="54"/>
      <c r="O96" s="54"/>
      <c r="P96" s="54"/>
      <c r="Q96" s="54"/>
      <c r="R96" s="54"/>
      <c r="S96" s="54"/>
      <c r="T96" s="54"/>
      <c r="U96" s="54"/>
      <c r="V96" s="54"/>
    </row>
    <row r="97" spans="2:60" s="31" customFormat="1" ht="15" hidden="1" customHeight="1">
      <c r="B97" s="27" t="s">
        <v>58</v>
      </c>
      <c r="C97" s="28"/>
      <c r="D97" s="194"/>
      <c r="E97" s="29"/>
      <c r="F97" s="28"/>
      <c r="G97" s="30"/>
      <c r="H97" s="195"/>
      <c r="I97" s="195"/>
      <c r="J97" s="195"/>
      <c r="K97" s="28"/>
      <c r="L97" s="28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57"/>
      <c r="AH97" s="28"/>
      <c r="AI97" s="28"/>
      <c r="AJ97" s="28"/>
      <c r="AK97" s="28"/>
      <c r="AL97" s="28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</row>
    <row r="98" spans="2:60" s="31" customFormat="1" ht="15" hidden="1" customHeight="1">
      <c r="B98" s="27" t="s">
        <v>51</v>
      </c>
      <c r="C98" s="28"/>
      <c r="D98" s="194"/>
      <c r="E98" s="29"/>
      <c r="F98" s="28"/>
      <c r="G98" s="30"/>
      <c r="H98" s="195"/>
      <c r="I98" s="195"/>
      <c r="J98" s="195"/>
      <c r="K98" s="28"/>
      <c r="L98" s="28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57"/>
      <c r="AH98" s="28"/>
      <c r="AI98" s="28"/>
      <c r="AJ98" s="28"/>
      <c r="AK98" s="28"/>
      <c r="AL98" s="28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</row>
    <row r="99" spans="2:60" s="31" customFormat="1" ht="15" hidden="1" customHeight="1">
      <c r="B99" s="27" t="s">
        <v>52</v>
      </c>
      <c r="C99" s="28"/>
      <c r="D99" s="194"/>
      <c r="E99" s="29"/>
      <c r="F99" s="28"/>
      <c r="G99" s="30"/>
      <c r="H99" s="195"/>
      <c r="I99" s="195"/>
      <c r="J99" s="195"/>
      <c r="K99" s="28"/>
      <c r="L99" s="28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57"/>
      <c r="AH99" s="28"/>
      <c r="AI99" s="28"/>
      <c r="AJ99" s="28"/>
      <c r="AK99" s="28"/>
      <c r="AL99" s="28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</row>
    <row r="100" spans="2:60" s="31" customFormat="1" ht="15" hidden="1" customHeight="1">
      <c r="B100" s="27" t="s">
        <v>53</v>
      </c>
      <c r="C100" s="28"/>
      <c r="D100" s="194"/>
      <c r="E100" s="29"/>
      <c r="F100" s="28"/>
      <c r="G100" s="30"/>
      <c r="H100" s="195"/>
      <c r="I100" s="195"/>
      <c r="J100" s="195"/>
      <c r="K100" s="28"/>
      <c r="L100" s="28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57"/>
      <c r="AH100" s="28"/>
      <c r="AI100" s="28"/>
      <c r="AJ100" s="28"/>
      <c r="AK100" s="28"/>
      <c r="AL100" s="28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</row>
    <row r="101" spans="2:60" s="31" customFormat="1" ht="15" hidden="1" customHeight="1">
      <c r="B101" s="27" t="s">
        <v>59</v>
      </c>
      <c r="C101" s="28"/>
      <c r="D101" s="194"/>
      <c r="E101" s="29"/>
      <c r="F101" s="28"/>
      <c r="G101" s="30"/>
      <c r="H101" s="195"/>
      <c r="I101" s="195"/>
      <c r="J101" s="195"/>
      <c r="K101" s="28"/>
      <c r="L101" s="28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57"/>
      <c r="AH101" s="28"/>
      <c r="AI101" s="28"/>
      <c r="AJ101" s="28"/>
      <c r="AK101" s="28"/>
      <c r="AL101" s="28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</row>
    <row r="102" spans="2:60" s="31" customFormat="1" ht="15" hidden="1" customHeight="1">
      <c r="B102" s="27" t="s">
        <v>60</v>
      </c>
      <c r="C102" s="28"/>
      <c r="D102" s="194"/>
      <c r="E102" s="29"/>
      <c r="F102" s="28"/>
      <c r="G102" s="30"/>
      <c r="H102" s="195"/>
      <c r="I102" s="195"/>
      <c r="J102" s="195"/>
      <c r="K102" s="28"/>
      <c r="L102" s="28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57"/>
      <c r="AH102" s="28"/>
      <c r="AI102" s="28"/>
      <c r="AJ102" s="28"/>
      <c r="AK102" s="28"/>
      <c r="AL102" s="28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</row>
    <row r="103" spans="2:60" s="31" customFormat="1" ht="15" hidden="1" customHeight="1">
      <c r="B103" s="27" t="s">
        <v>65</v>
      </c>
      <c r="C103" s="28"/>
      <c r="D103" s="194"/>
      <c r="E103" s="29"/>
      <c r="F103" s="28"/>
      <c r="G103" s="30"/>
      <c r="H103" s="195"/>
      <c r="I103" s="195"/>
      <c r="J103" s="195"/>
      <c r="K103" s="28"/>
      <c r="L103" s="28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57"/>
      <c r="AH103" s="28"/>
      <c r="AI103" s="28"/>
      <c r="AJ103" s="28"/>
      <c r="AK103" s="28"/>
      <c r="AL103" s="28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</row>
    <row r="104" spans="2:60" s="31" customFormat="1" ht="15" hidden="1" customHeight="1">
      <c r="B104" s="27"/>
      <c r="C104" s="28"/>
      <c r="D104" s="194"/>
      <c r="E104" s="29"/>
      <c r="F104" s="28"/>
      <c r="G104" s="30"/>
      <c r="H104" s="195"/>
      <c r="I104" s="195"/>
      <c r="J104" s="195"/>
      <c r="K104" s="28"/>
      <c r="L104" s="28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57"/>
      <c r="AH104" s="28"/>
      <c r="AI104" s="28"/>
      <c r="AJ104" s="28"/>
      <c r="AK104" s="28"/>
      <c r="AL104" s="28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</row>
    <row r="105" spans="2:60" s="31" customFormat="1" ht="15" hidden="1" customHeight="1">
      <c r="B105" s="27"/>
      <c r="C105" s="28"/>
      <c r="D105" s="194"/>
      <c r="E105" s="29"/>
      <c r="F105" s="28"/>
      <c r="G105" s="30"/>
      <c r="H105" s="195"/>
      <c r="I105" s="195"/>
      <c r="J105" s="195"/>
      <c r="K105" s="28"/>
      <c r="L105" s="28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57"/>
      <c r="AH105" s="28"/>
      <c r="AI105" s="28"/>
      <c r="AJ105" s="28"/>
      <c r="AK105" s="28"/>
      <c r="AL105" s="28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</row>
    <row r="106" spans="2:60" s="31" customFormat="1" ht="15" hidden="1" customHeight="1">
      <c r="B106" s="27"/>
      <c r="C106" s="28"/>
      <c r="D106" s="194"/>
      <c r="E106" s="29"/>
      <c r="F106" s="28"/>
      <c r="G106" s="30"/>
      <c r="H106" s="195"/>
      <c r="I106" s="195"/>
      <c r="J106" s="195"/>
      <c r="K106" s="28"/>
      <c r="L106" s="28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57"/>
      <c r="AH106" s="28"/>
      <c r="AI106" s="28"/>
      <c r="AJ106" s="28"/>
      <c r="AK106" s="28"/>
      <c r="AL106" s="28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</row>
    <row r="107" spans="2:60" s="31" customFormat="1" ht="15" customHeight="1">
      <c r="B107" s="27"/>
      <c r="C107" s="28"/>
      <c r="D107" s="194"/>
      <c r="E107" s="29"/>
      <c r="F107" s="28"/>
      <c r="G107" s="30"/>
      <c r="H107" s="195"/>
      <c r="I107" s="195"/>
      <c r="J107" s="195"/>
      <c r="K107" s="28"/>
      <c r="L107" s="28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28"/>
      <c r="X107" s="28"/>
      <c r="Y107" s="28"/>
      <c r="Z107" s="28"/>
      <c r="AA107" s="28"/>
      <c r="AB107" s="28"/>
      <c r="AC107" s="28"/>
      <c r="AD107" s="28"/>
      <c r="AE107" s="28"/>
      <c r="AF107" s="28">
        <f>AF91-AD91</f>
        <v>162944227.79999989</v>
      </c>
      <c r="AG107" s="57"/>
      <c r="AH107" s="28"/>
      <c r="AI107" s="28"/>
      <c r="AJ107" s="28">
        <f>[12]TRANSPORT!$AQ$15+[12]HARVESTING!$AY$13+'[12]MAINTENANCE-2'!$AV$43</f>
        <v>242026</v>
      </c>
      <c r="AK107" s="28"/>
      <c r="AL107" s="28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</row>
    <row r="108" spans="2:60" s="31" customFormat="1" ht="15" customHeight="1">
      <c r="B108" s="27"/>
      <c r="C108" s="28"/>
      <c r="D108" s="194"/>
      <c r="E108" s="29"/>
      <c r="F108" s="28"/>
      <c r="G108" s="30"/>
      <c r="H108" s="195"/>
      <c r="I108" s="195"/>
      <c r="J108" s="195"/>
      <c r="K108" s="28"/>
      <c r="L108" s="28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28"/>
      <c r="X108" s="28"/>
      <c r="Y108" s="28"/>
      <c r="Z108" s="28"/>
      <c r="AA108" s="28"/>
      <c r="AB108" s="28"/>
      <c r="AC108" s="28"/>
      <c r="AD108" s="28"/>
      <c r="AE108" s="28"/>
      <c r="AF108" s="28">
        <f>AF91-AD91-L91-M91</f>
        <v>156189977.79999989</v>
      </c>
      <c r="AG108" s="57"/>
      <c r="AH108" s="28"/>
      <c r="AI108" s="28"/>
      <c r="AJ108" s="28"/>
      <c r="AK108" s="28"/>
      <c r="AL108" s="28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</row>
    <row r="110" spans="2:60" ht="18">
      <c r="C110" s="214" t="s">
        <v>378</v>
      </c>
      <c r="Z110" s="215"/>
      <c r="AA110" s="215"/>
      <c r="AB110" s="215"/>
      <c r="AC110" s="601" t="s">
        <v>379</v>
      </c>
      <c r="AD110" s="601"/>
      <c r="AE110" s="601"/>
    </row>
    <row r="111" spans="2:60" ht="20.25" customHeight="1">
      <c r="C111" s="214"/>
      <c r="Z111" s="215"/>
      <c r="AA111" s="215"/>
      <c r="AB111" s="215"/>
      <c r="AC111" s="216"/>
      <c r="AD111" s="216"/>
      <c r="AE111" s="216"/>
    </row>
    <row r="112" spans="2:60" ht="20.25" customHeight="1">
      <c r="C112" s="214"/>
      <c r="Z112" s="215"/>
      <c r="AA112" s="215"/>
      <c r="AB112" s="215"/>
      <c r="AC112" s="216"/>
      <c r="AD112" s="216"/>
      <c r="AE112" s="216"/>
    </row>
    <row r="113" spans="3:31" s="53" customFormat="1" ht="18">
      <c r="C113" s="214"/>
      <c r="D113" s="194"/>
      <c r="E113" s="29"/>
      <c r="F113" s="28"/>
      <c r="G113" s="30"/>
      <c r="H113" s="195"/>
      <c r="I113" s="195"/>
      <c r="J113" s="195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15"/>
      <c r="AA113" s="215"/>
      <c r="AB113" s="215"/>
      <c r="AC113" s="216"/>
      <c r="AD113" s="216"/>
      <c r="AE113" s="216"/>
    </row>
    <row r="114" spans="3:31" s="53" customFormat="1" ht="18">
      <c r="C114" s="214"/>
      <c r="D114" s="194"/>
      <c r="E114" s="29"/>
      <c r="F114" s="28"/>
      <c r="G114" s="30"/>
      <c r="H114" s="195"/>
      <c r="I114" s="195"/>
      <c r="J114" s="195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15"/>
      <c r="AA114" s="215"/>
      <c r="AB114" s="215"/>
      <c r="AC114" s="216"/>
      <c r="AD114" s="216"/>
      <c r="AE114" s="216"/>
    </row>
    <row r="115" spans="3:31" s="53" customFormat="1" ht="18">
      <c r="C115" s="214"/>
      <c r="D115" s="194"/>
      <c r="E115" s="29"/>
      <c r="F115" s="28"/>
      <c r="G115" s="30"/>
      <c r="H115" s="195"/>
      <c r="I115" s="195"/>
      <c r="J115" s="195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15"/>
      <c r="AA115" s="215"/>
      <c r="AB115" s="215"/>
      <c r="AC115" s="216"/>
      <c r="AD115" s="216"/>
      <c r="AE115" s="216"/>
    </row>
    <row r="116" spans="3:31" s="53" customFormat="1" ht="20.25">
      <c r="C116" s="217" t="s">
        <v>380</v>
      </c>
      <c r="D116" s="194"/>
      <c r="E116" s="29"/>
      <c r="F116" s="28"/>
      <c r="G116" s="30"/>
      <c r="H116" s="195"/>
      <c r="I116" s="195"/>
      <c r="J116" s="195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18"/>
      <c r="AB116" s="218"/>
      <c r="AC116" s="602" t="s">
        <v>381</v>
      </c>
      <c r="AD116" s="602"/>
      <c r="AE116" s="602"/>
    </row>
    <row r="117" spans="3:31" s="53" customFormat="1" ht="18">
      <c r="C117" s="214" t="s">
        <v>382</v>
      </c>
      <c r="D117" s="194"/>
      <c r="E117" s="29"/>
      <c r="F117" s="28"/>
      <c r="G117" s="30"/>
      <c r="H117" s="195"/>
      <c r="I117" s="195"/>
      <c r="J117" s="195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15"/>
      <c r="AB117" s="215"/>
      <c r="AC117" s="601" t="s">
        <v>383</v>
      </c>
      <c r="AD117" s="601"/>
      <c r="AE117" s="601"/>
    </row>
  </sheetData>
  <mergeCells count="3">
    <mergeCell ref="AC110:AE110"/>
    <mergeCell ref="AC116:AE116"/>
    <mergeCell ref="AC117:AE117"/>
  </mergeCells>
  <dataValidations count="2">
    <dataValidation type="list" allowBlank="1" showInputMessage="1" showErrorMessage="1" sqref="I6:I90">
      <formula1>"TK/0,TK/1,TK/2,TK/3,K/0,K/1,K/2,K/3"</formula1>
    </dataValidation>
    <dataValidation type="list" allowBlank="1" showInputMessage="1" showErrorMessage="1" sqref="H6:H90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39" orientation="landscape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G71"/>
  <sheetViews>
    <sheetView topLeftCell="H1" zoomScale="67" zoomScaleNormal="67" workbookViewId="0">
      <selection activeCell="AP8" sqref="AP8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" style="28" customWidth="1"/>
    <col min="4" max="4" width="18.5703125" style="194" customWidth="1" outlineLevel="1"/>
    <col min="5" max="5" width="19.42578125" style="29" customWidth="1" outlineLevel="1"/>
    <col min="6" max="6" width="48.28515625" style="28" customWidth="1" outlineLevel="1"/>
    <col min="7" max="7" width="25.140625" style="30" customWidth="1" outlineLevel="1"/>
    <col min="8" max="8" width="6" style="195" customWidth="1" outlineLevel="1"/>
    <col min="9" max="9" width="6.7109375" style="195" customWidth="1" outlineLevel="1"/>
    <col min="10" max="10" width="10.85546875" style="195" customWidth="1" outlineLevel="1"/>
    <col min="11" max="11" width="14.140625" style="28" customWidth="1"/>
    <col min="12" max="12" width="11.7109375" style="28" customWidth="1"/>
    <col min="13" max="16" width="12.7109375" style="28" customWidth="1"/>
    <col min="17" max="17" width="11.5703125" style="28" customWidth="1"/>
    <col min="18" max="18" width="9.85546875" style="28" customWidth="1"/>
    <col min="19" max="19" width="11.140625" style="28" customWidth="1"/>
    <col min="20" max="20" width="12.7109375" style="28" customWidth="1"/>
    <col min="21" max="21" width="11.140625" style="28" customWidth="1"/>
    <col min="22" max="22" width="11.85546875" style="28" customWidth="1"/>
    <col min="23" max="23" width="10.28515625" style="28" customWidth="1"/>
    <col min="24" max="24" width="12.7109375" style="28" customWidth="1"/>
    <col min="25" max="25" width="11.42578125" style="28" hidden="1" customWidth="1"/>
    <col min="26" max="26" width="9.5703125" style="28" customWidth="1"/>
    <col min="27" max="28" width="12.7109375" style="28" hidden="1" customWidth="1"/>
    <col min="29" max="29" width="16.42578125" style="28" customWidth="1"/>
    <col min="30" max="30" width="7" style="28" hidden="1" customWidth="1"/>
    <col min="31" max="31" width="6.85546875" style="28" hidden="1" customWidth="1"/>
    <col min="32" max="32" width="13.5703125" style="28" customWidth="1" collapsed="1"/>
    <col min="33" max="33" width="7.7109375" style="57" customWidth="1"/>
    <col min="34" max="34" width="12.7109375" style="28" customWidth="1"/>
    <col min="35" max="35" width="10.7109375" style="27" customWidth="1"/>
    <col min="36" max="36" width="13" style="27" customWidth="1"/>
    <col min="37" max="37" width="9.28515625" style="27"/>
    <col min="38" max="38" width="13.85546875" style="53" hidden="1" customWidth="1"/>
    <col min="39" max="39" width="14" style="53" hidden="1" customWidth="1"/>
    <col min="40" max="40" width="11.5703125" style="53" hidden="1" customWidth="1"/>
    <col min="41" max="41" width="11" style="53" hidden="1" customWidth="1"/>
    <col min="42" max="42" width="11.5703125" style="53" customWidth="1"/>
    <col min="43" max="43" width="11.42578125" style="53" bestFit="1" customWidth="1"/>
    <col min="44" max="16384" width="9.28515625" style="53"/>
  </cols>
  <sheetData>
    <row r="1" spans="2:43">
      <c r="B1" s="27" t="s">
        <v>71</v>
      </c>
      <c r="AI1" s="53"/>
      <c r="AJ1" s="53"/>
      <c r="AK1" s="53"/>
    </row>
    <row r="2" spans="2:43">
      <c r="B2" s="27" t="s">
        <v>392</v>
      </c>
      <c r="AI2" s="53"/>
      <c r="AJ2" s="53"/>
      <c r="AK2" s="53"/>
    </row>
    <row r="3" spans="2:43">
      <c r="B3" s="27" t="s">
        <v>326</v>
      </c>
      <c r="AI3" s="53"/>
      <c r="AJ3" s="53"/>
      <c r="AK3" s="53"/>
    </row>
    <row r="4" spans="2:43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/>
      <c r="R4" s="28"/>
      <c r="S4" s="28"/>
      <c r="T4" s="28" t="s">
        <v>327</v>
      </c>
      <c r="U4" s="28" t="s">
        <v>328</v>
      </c>
      <c r="V4" s="28" t="s">
        <v>329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57"/>
      <c r="AH4" s="28"/>
    </row>
    <row r="5" spans="2:43" s="27" customFormat="1" ht="51.75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89" t="s">
        <v>67</v>
      </c>
      <c r="M5" s="189" t="s">
        <v>68</v>
      </c>
      <c r="N5" s="189" t="s">
        <v>385</v>
      </c>
      <c r="O5" s="189" t="s">
        <v>386</v>
      </c>
      <c r="P5" s="189" t="s">
        <v>387</v>
      </c>
      <c r="Q5" s="189" t="s">
        <v>388</v>
      </c>
      <c r="R5" s="188" t="s">
        <v>331</v>
      </c>
      <c r="S5" s="188" t="s">
        <v>332</v>
      </c>
      <c r="T5" s="189" t="s">
        <v>76</v>
      </c>
      <c r="U5" s="189" t="s">
        <v>77</v>
      </c>
      <c r="V5" s="189" t="s">
        <v>81</v>
      </c>
      <c r="W5" s="189" t="s">
        <v>333</v>
      </c>
      <c r="X5" s="188" t="s">
        <v>82</v>
      </c>
      <c r="Y5" s="188" t="s">
        <v>334</v>
      </c>
      <c r="Z5" s="188" t="s">
        <v>335</v>
      </c>
      <c r="AA5" s="188" t="s">
        <v>84</v>
      </c>
      <c r="AB5" s="188" t="s">
        <v>85</v>
      </c>
      <c r="AC5" s="188" t="s">
        <v>336</v>
      </c>
      <c r="AD5" s="188" t="s">
        <v>79</v>
      </c>
      <c r="AE5" s="188" t="s">
        <v>80</v>
      </c>
      <c r="AF5" s="188" t="s">
        <v>41</v>
      </c>
      <c r="AG5" s="102" t="s">
        <v>42</v>
      </c>
      <c r="AH5" s="103" t="s">
        <v>43</v>
      </c>
      <c r="AI5" s="188" t="s">
        <v>69</v>
      </c>
      <c r="AJ5" s="103" t="s">
        <v>70</v>
      </c>
      <c r="AK5" s="103" t="s">
        <v>337</v>
      </c>
    </row>
    <row r="6" spans="2:43" s="27" customFormat="1">
      <c r="B6" s="34">
        <v>1</v>
      </c>
      <c r="C6" s="35" t="s">
        <v>221</v>
      </c>
      <c r="D6" s="204" t="s">
        <v>222</v>
      </c>
      <c r="E6" s="36" t="s">
        <v>338</v>
      </c>
      <c r="F6" s="35" t="s">
        <v>223</v>
      </c>
      <c r="G6" s="205" t="s">
        <v>391</v>
      </c>
      <c r="H6" s="37" t="s">
        <v>39</v>
      </c>
      <c r="I6" s="38" t="s">
        <v>7</v>
      </c>
      <c r="J6" s="55" t="str">
        <f>IF(ISBLANK(I6),"",IF(OR(I6="TK/0",I6="TK/1",I6="K/0"),"TER A",IF(I6="K/3","TER C","TER B")))</f>
        <v>TER A</v>
      </c>
      <c r="K6" s="59">
        <v>3669999.9</v>
      </c>
      <c r="L6" s="39">
        <f>3670000*0.84%</f>
        <v>30827.999999999996</v>
      </c>
      <c r="M6" s="119">
        <f>'[17]MAINTENANCE-2'!AP11</f>
        <v>148540</v>
      </c>
      <c r="N6" s="119"/>
      <c r="O6" s="119"/>
      <c r="P6" s="119"/>
      <c r="Q6" s="39"/>
      <c r="R6" s="101"/>
      <c r="S6" s="101"/>
      <c r="T6" s="39">
        <f>'[17]MAINTENANCE-2'!X11</f>
        <v>63000</v>
      </c>
      <c r="U6" s="39">
        <v>51000</v>
      </c>
      <c r="V6" s="39"/>
      <c r="W6" s="39"/>
      <c r="X6" s="39">
        <f>'[17]MAINTENANCE-2'!AC11</f>
        <v>43500</v>
      </c>
      <c r="Y6" s="101"/>
      <c r="Z6" s="101"/>
      <c r="AA6" s="101"/>
      <c r="AB6" s="101"/>
      <c r="AC6" s="229">
        <v>-244666.66</v>
      </c>
      <c r="AD6" s="39"/>
      <c r="AE6" s="39"/>
      <c r="AF6" s="104">
        <f t="shared" ref="AF6" si="0">ROUNDDOWN(SUM(K6:AE6),0)</f>
        <v>3762201</v>
      </c>
      <c r="AG6" s="105">
        <f t="shared" ref="AG6:AG37" si="1">IF(J6="TER A",VLOOKUP(AF6,Ter_A,4,TRUE),IF(J6="TER B",VLOOKUP(AF6,Ter_B,4,TRUE),VLOOKUP(AF6,Ter_C,4,TRUE)))</f>
        <v>0</v>
      </c>
      <c r="AH6" s="106">
        <f>ROUNDDOWN(IF(E6=0,AF6*AG6*120%,AF6*AG6),0)</f>
        <v>0</v>
      </c>
      <c r="AJ6" s="93">
        <f>AI6-AH6</f>
        <v>0</v>
      </c>
      <c r="AL6" s="206">
        <v>3582833.24</v>
      </c>
      <c r="AM6" s="207">
        <f>AL6+L6+M6</f>
        <v>3762201.24</v>
      </c>
      <c r="AN6" s="151">
        <f>AM6-AF6</f>
        <v>0.24000000022351742</v>
      </c>
      <c r="AO6" s="93">
        <f>AF6-L6-M6</f>
        <v>3582833</v>
      </c>
      <c r="AP6" s="93">
        <f>SUM(N6:AC6)</f>
        <v>-87166.66</v>
      </c>
      <c r="AQ6" s="93">
        <f>AF6-L6-M6</f>
        <v>3582833</v>
      </c>
    </row>
    <row r="7" spans="2:43" s="27" customFormat="1">
      <c r="B7" s="97">
        <v>2</v>
      </c>
      <c r="C7" s="98" t="s">
        <v>224</v>
      </c>
      <c r="D7" s="208" t="s">
        <v>225</v>
      </c>
      <c r="E7" s="209" t="s">
        <v>73</v>
      </c>
      <c r="F7" s="98" t="s">
        <v>226</v>
      </c>
      <c r="G7" s="107" t="s">
        <v>340</v>
      </c>
      <c r="H7" s="99" t="s">
        <v>38</v>
      </c>
      <c r="I7" s="100" t="s">
        <v>7</v>
      </c>
      <c r="J7" s="58" t="str">
        <f t="shared" ref="J7:J43" si="2">IF(ISBLANK(I7),"",IF(OR(I7="TK/0",I7="TK/1",I7="K/0"),"TER A",IF(I7="K/3","TER C","TER B")))</f>
        <v>TER A</v>
      </c>
      <c r="K7" s="210">
        <v>3639999.9</v>
      </c>
      <c r="L7" s="101">
        <f>3640000*0.84%</f>
        <v>30575.999999999996</v>
      </c>
      <c r="M7" s="101">
        <f>'[17]MAINTENANCE-2'!AP12</f>
        <v>146200</v>
      </c>
      <c r="N7" s="101"/>
      <c r="O7" s="101"/>
      <c r="P7" s="101"/>
      <c r="Q7" s="101"/>
      <c r="R7" s="101"/>
      <c r="S7" s="101"/>
      <c r="T7" s="46">
        <f>'[17]MAINTENANCE-2'!X12</f>
        <v>65250</v>
      </c>
      <c r="U7" s="46">
        <v>34000</v>
      </c>
      <c r="V7" s="101">
        <v>1367629.9</v>
      </c>
      <c r="W7" s="101"/>
      <c r="X7" s="46">
        <f>'[17]MAINTENANCE-2'!AC12</f>
        <v>15000</v>
      </c>
      <c r="Y7" s="101"/>
      <c r="Z7" s="101"/>
      <c r="AA7" s="101"/>
      <c r="AB7" s="101"/>
      <c r="AC7" s="230">
        <v>-121333.33</v>
      </c>
      <c r="AD7" s="101"/>
      <c r="AE7" s="101"/>
      <c r="AF7" s="62">
        <f>ROUNDDOWN(SUM(K7:AE7),0)</f>
        <v>5177322</v>
      </c>
      <c r="AG7" s="63">
        <f t="shared" si="1"/>
        <v>0</v>
      </c>
      <c r="AH7" s="106">
        <f t="shared" ref="AH7:AH43" si="3">ROUNDDOWN(IF(E7=0,AF7*AG7*120%,AF7*AG7),0)</f>
        <v>0</v>
      </c>
      <c r="AJ7" s="93">
        <f t="shared" ref="AJ7:AJ43" si="4">AI7-AH7</f>
        <v>0</v>
      </c>
      <c r="AL7" s="206">
        <v>5000546.4700000007</v>
      </c>
      <c r="AM7" s="207">
        <f t="shared" ref="AM7:AM43" si="5">AL7+L7+M7</f>
        <v>5177322.4700000007</v>
      </c>
      <c r="AN7" s="151">
        <f t="shared" ref="AN7:AN43" si="6">AM7-AF7</f>
        <v>0.47000000067055225</v>
      </c>
      <c r="AO7" s="93">
        <f t="shared" ref="AO7:AO43" si="7">AF7-L7-M7</f>
        <v>5000546</v>
      </c>
      <c r="AP7" s="93">
        <f t="shared" ref="AP7:AP43" si="8">SUM(N7:AC7)</f>
        <v>1360546.5699999998</v>
      </c>
    </row>
    <row r="8" spans="2:43" s="27" customFormat="1">
      <c r="B8" s="97">
        <v>3</v>
      </c>
      <c r="C8" s="98" t="s">
        <v>227</v>
      </c>
      <c r="D8" s="208" t="s">
        <v>228</v>
      </c>
      <c r="E8" s="209" t="s">
        <v>341</v>
      </c>
      <c r="F8" s="98" t="s">
        <v>229</v>
      </c>
      <c r="G8" s="107" t="s">
        <v>88</v>
      </c>
      <c r="H8" s="99" t="s">
        <v>39</v>
      </c>
      <c r="I8" s="100" t="s">
        <v>7</v>
      </c>
      <c r="J8" s="58" t="str">
        <f t="shared" si="2"/>
        <v>TER A</v>
      </c>
      <c r="K8" s="210">
        <v>3639999.9</v>
      </c>
      <c r="L8" s="101">
        <f t="shared" ref="L8:L36" si="9">3640000*0.84%</f>
        <v>30575.999999999996</v>
      </c>
      <c r="M8" s="101">
        <f>'[17]MAINTENANCE-2'!AP13</f>
        <v>147480</v>
      </c>
      <c r="N8" s="101"/>
      <c r="O8" s="101"/>
      <c r="P8" s="101"/>
      <c r="Q8" s="101"/>
      <c r="R8" s="101"/>
      <c r="S8" s="101"/>
      <c r="T8" s="46">
        <f>'[17]MAINTENANCE-2'!X13</f>
        <v>65250</v>
      </c>
      <c r="U8" s="101"/>
      <c r="V8" s="101"/>
      <c r="W8" s="101"/>
      <c r="X8" s="46">
        <f>'[17]MAINTENANCE-2'!AC13</f>
        <v>47000</v>
      </c>
      <c r="Y8" s="101"/>
      <c r="Z8" s="101"/>
      <c r="AA8" s="101"/>
      <c r="AB8" s="101"/>
      <c r="AC8" s="230">
        <v>-121333.33</v>
      </c>
      <c r="AD8" s="101"/>
      <c r="AE8" s="101"/>
      <c r="AF8" s="62">
        <f t="shared" ref="AF8:AF43" si="10">ROUNDDOWN(SUM(K8:AE8),0)</f>
        <v>3808972</v>
      </c>
      <c r="AG8" s="63">
        <f t="shared" si="1"/>
        <v>0</v>
      </c>
      <c r="AH8" s="106">
        <f t="shared" si="3"/>
        <v>0</v>
      </c>
      <c r="AJ8" s="93">
        <f t="shared" si="4"/>
        <v>0</v>
      </c>
      <c r="AL8" s="206">
        <v>3630916.57</v>
      </c>
      <c r="AM8" s="207">
        <f t="shared" si="5"/>
        <v>3808972.57</v>
      </c>
      <c r="AN8" s="151">
        <f t="shared" si="6"/>
        <v>0.56999999983236194</v>
      </c>
      <c r="AO8" s="93">
        <f t="shared" si="7"/>
        <v>3630916</v>
      </c>
      <c r="AP8" s="93">
        <f t="shared" si="8"/>
        <v>-9083.3300000000017</v>
      </c>
    </row>
    <row r="9" spans="2:43" s="27" customFormat="1">
      <c r="B9" s="97">
        <v>4</v>
      </c>
      <c r="C9" s="98" t="s">
        <v>230</v>
      </c>
      <c r="D9" s="208" t="s">
        <v>231</v>
      </c>
      <c r="E9" s="209" t="s">
        <v>73</v>
      </c>
      <c r="F9" s="98" t="s">
        <v>232</v>
      </c>
      <c r="G9" s="107" t="s">
        <v>88</v>
      </c>
      <c r="H9" s="99" t="s">
        <v>39</v>
      </c>
      <c r="I9" s="100" t="s">
        <v>9</v>
      </c>
      <c r="J9" s="58" t="str">
        <f t="shared" si="2"/>
        <v>TER B</v>
      </c>
      <c r="K9" s="210">
        <v>3639999.9</v>
      </c>
      <c r="L9" s="101">
        <f t="shared" si="9"/>
        <v>30575.999999999996</v>
      </c>
      <c r="M9" s="101">
        <f>'[17]MAINTENANCE-2'!AP14</f>
        <v>146680</v>
      </c>
      <c r="N9" s="101"/>
      <c r="O9" s="101"/>
      <c r="P9" s="101"/>
      <c r="Q9" s="101"/>
      <c r="R9" s="101"/>
      <c r="S9" s="101"/>
      <c r="T9" s="46">
        <f>'[17]MAINTENANCE-2'!X14</f>
        <v>126000</v>
      </c>
      <c r="U9" s="101"/>
      <c r="V9" s="101"/>
      <c r="W9" s="101"/>
      <c r="X9" s="46">
        <f>'[17]MAINTENANCE-2'!AC14</f>
        <v>27000</v>
      </c>
      <c r="Y9" s="101"/>
      <c r="Z9" s="101"/>
      <c r="AA9" s="101"/>
      <c r="AB9" s="101"/>
      <c r="AC9" s="230">
        <v>-242666.66</v>
      </c>
      <c r="AD9" s="101"/>
      <c r="AE9" s="101"/>
      <c r="AF9" s="62">
        <f t="shared" si="10"/>
        <v>3727589</v>
      </c>
      <c r="AG9" s="63">
        <f t="shared" si="1"/>
        <v>0</v>
      </c>
      <c r="AH9" s="106">
        <f t="shared" si="3"/>
        <v>0</v>
      </c>
      <c r="AJ9" s="93">
        <f t="shared" si="4"/>
        <v>0</v>
      </c>
      <c r="AL9" s="206">
        <v>3550333.2399999998</v>
      </c>
      <c r="AM9" s="207">
        <f t="shared" si="5"/>
        <v>3727589.2399999998</v>
      </c>
      <c r="AN9" s="151">
        <f t="shared" si="6"/>
        <v>0.23999999975785613</v>
      </c>
      <c r="AO9" s="93">
        <f t="shared" si="7"/>
        <v>3550333</v>
      </c>
      <c r="AP9" s="93">
        <f t="shared" si="8"/>
        <v>-89666.66</v>
      </c>
    </row>
    <row r="10" spans="2:43" s="27" customFormat="1">
      <c r="B10" s="97">
        <v>5</v>
      </c>
      <c r="C10" s="98" t="s">
        <v>233</v>
      </c>
      <c r="D10" s="208" t="s">
        <v>234</v>
      </c>
      <c r="E10" s="209" t="s">
        <v>342</v>
      </c>
      <c r="F10" s="98" t="s">
        <v>235</v>
      </c>
      <c r="G10" s="107" t="s">
        <v>88</v>
      </c>
      <c r="H10" s="99" t="s">
        <v>38</v>
      </c>
      <c r="I10" s="100" t="s">
        <v>7</v>
      </c>
      <c r="J10" s="58" t="str">
        <f t="shared" si="2"/>
        <v>TER A</v>
      </c>
      <c r="K10" s="210">
        <v>3639999.9</v>
      </c>
      <c r="L10" s="101">
        <f t="shared" si="9"/>
        <v>30575.999999999996</v>
      </c>
      <c r="M10" s="101">
        <f>'[17]MAINTENANCE-2'!AP15</f>
        <v>147620</v>
      </c>
      <c r="N10" s="101"/>
      <c r="O10" s="101"/>
      <c r="P10" s="101"/>
      <c r="Q10" s="101"/>
      <c r="R10" s="101"/>
      <c r="S10" s="101"/>
      <c r="T10" s="46">
        <f>'[17]MAINTENANCE-2'!X15</f>
        <v>67500</v>
      </c>
      <c r="U10" s="101"/>
      <c r="V10" s="101"/>
      <c r="W10" s="101"/>
      <c r="X10" s="46">
        <f>'[17]MAINTENANCE-2'!AC15</f>
        <v>50500</v>
      </c>
      <c r="Y10" s="101"/>
      <c r="Z10" s="101"/>
      <c r="AA10" s="101"/>
      <c r="AB10" s="101"/>
      <c r="AC10" s="230">
        <v>0</v>
      </c>
      <c r="AD10" s="101"/>
      <c r="AE10" s="101"/>
      <c r="AF10" s="62">
        <f t="shared" si="10"/>
        <v>3936195</v>
      </c>
      <c r="AG10" s="63">
        <f t="shared" si="1"/>
        <v>0</v>
      </c>
      <c r="AH10" s="106">
        <f t="shared" si="3"/>
        <v>0</v>
      </c>
      <c r="AJ10" s="93">
        <f t="shared" si="4"/>
        <v>0</v>
      </c>
      <c r="AL10" s="206">
        <v>3757999.9000000004</v>
      </c>
      <c r="AM10" s="207">
        <f t="shared" si="5"/>
        <v>3936195.9000000004</v>
      </c>
      <c r="AN10" s="151">
        <f t="shared" si="6"/>
        <v>0.90000000037252903</v>
      </c>
      <c r="AO10" s="93">
        <f t="shared" si="7"/>
        <v>3757999</v>
      </c>
      <c r="AP10" s="93">
        <f t="shared" si="8"/>
        <v>118000</v>
      </c>
    </row>
    <row r="11" spans="2:43" s="27" customFormat="1">
      <c r="B11" s="97">
        <v>6</v>
      </c>
      <c r="C11" s="98" t="s">
        <v>236</v>
      </c>
      <c r="D11" s="208" t="s">
        <v>237</v>
      </c>
      <c r="E11" s="209" t="s">
        <v>343</v>
      </c>
      <c r="F11" s="98" t="s">
        <v>238</v>
      </c>
      <c r="G11" s="107" t="s">
        <v>88</v>
      </c>
      <c r="H11" s="99" t="s">
        <v>38</v>
      </c>
      <c r="I11" s="100" t="s">
        <v>7</v>
      </c>
      <c r="J11" s="58" t="str">
        <f t="shared" si="2"/>
        <v>TER A</v>
      </c>
      <c r="K11" s="210">
        <v>3639999.9</v>
      </c>
      <c r="L11" s="101">
        <f t="shared" si="9"/>
        <v>30575.999999999996</v>
      </c>
      <c r="M11" s="101">
        <f>'[17]MAINTENANCE-2'!AP16</f>
        <v>147620</v>
      </c>
      <c r="N11" s="101"/>
      <c r="O11" s="101"/>
      <c r="P11" s="101"/>
      <c r="Q11" s="101"/>
      <c r="R11" s="101"/>
      <c r="S11" s="101"/>
      <c r="T11" s="46">
        <f>'[17]MAINTENANCE-2'!X16</f>
        <v>67500</v>
      </c>
      <c r="U11" s="101"/>
      <c r="V11" s="101"/>
      <c r="W11" s="101"/>
      <c r="X11" s="46">
        <f>'[17]MAINTENANCE-2'!AC16</f>
        <v>50500</v>
      </c>
      <c r="Y11" s="101"/>
      <c r="Z11" s="101"/>
      <c r="AA11" s="101"/>
      <c r="AB11" s="101"/>
      <c r="AC11" s="230">
        <v>0</v>
      </c>
      <c r="AD11" s="101"/>
      <c r="AE11" s="101"/>
      <c r="AF11" s="62">
        <f t="shared" si="10"/>
        <v>3936195</v>
      </c>
      <c r="AG11" s="63">
        <f t="shared" si="1"/>
        <v>0</v>
      </c>
      <c r="AH11" s="106">
        <f t="shared" si="3"/>
        <v>0</v>
      </c>
      <c r="AJ11" s="93">
        <f t="shared" si="4"/>
        <v>0</v>
      </c>
      <c r="AL11" s="206">
        <v>3757999.9</v>
      </c>
      <c r="AM11" s="207">
        <f t="shared" si="5"/>
        <v>3936195.9</v>
      </c>
      <c r="AN11" s="151">
        <f t="shared" si="6"/>
        <v>0.89999999990686774</v>
      </c>
      <c r="AO11" s="93">
        <f t="shared" si="7"/>
        <v>3757999</v>
      </c>
      <c r="AP11" s="93">
        <f t="shared" si="8"/>
        <v>118000</v>
      </c>
    </row>
    <row r="12" spans="2:43" s="27" customFormat="1">
      <c r="B12" s="97">
        <v>7</v>
      </c>
      <c r="C12" s="98" t="s">
        <v>239</v>
      </c>
      <c r="D12" s="208" t="s">
        <v>240</v>
      </c>
      <c r="E12" s="209" t="s">
        <v>344</v>
      </c>
      <c r="F12" s="98" t="s">
        <v>241</v>
      </c>
      <c r="G12" s="107" t="s">
        <v>88</v>
      </c>
      <c r="H12" s="99" t="s">
        <v>38</v>
      </c>
      <c r="I12" s="100" t="s">
        <v>7</v>
      </c>
      <c r="J12" s="58" t="str">
        <f t="shared" si="2"/>
        <v>TER A</v>
      </c>
      <c r="K12" s="210">
        <v>3639999.9</v>
      </c>
      <c r="L12" s="101">
        <f t="shared" si="9"/>
        <v>30575.999999999996</v>
      </c>
      <c r="M12" s="101">
        <f>'[17]MAINTENANCE-2'!AP17</f>
        <v>147480</v>
      </c>
      <c r="N12" s="101"/>
      <c r="O12" s="101"/>
      <c r="P12" s="101"/>
      <c r="Q12" s="101"/>
      <c r="R12" s="101"/>
      <c r="S12" s="101"/>
      <c r="T12" s="46">
        <f>'[17]MAINTENANCE-2'!X17</f>
        <v>67500</v>
      </c>
      <c r="U12" s="101"/>
      <c r="V12" s="101"/>
      <c r="W12" s="101"/>
      <c r="X12" s="46">
        <f>'[17]MAINTENANCE-2'!AC17</f>
        <v>47000</v>
      </c>
      <c r="Y12" s="101"/>
      <c r="Z12" s="101"/>
      <c r="AA12" s="101"/>
      <c r="AB12" s="101"/>
      <c r="AC12" s="230">
        <v>0</v>
      </c>
      <c r="AD12" s="101"/>
      <c r="AE12" s="101"/>
      <c r="AF12" s="62">
        <f t="shared" si="10"/>
        <v>3932555</v>
      </c>
      <c r="AG12" s="63">
        <f t="shared" si="1"/>
        <v>0</v>
      </c>
      <c r="AH12" s="106">
        <f t="shared" si="3"/>
        <v>0</v>
      </c>
      <c r="AJ12" s="93">
        <f t="shared" si="4"/>
        <v>0</v>
      </c>
      <c r="AL12" s="206">
        <v>3754499.9</v>
      </c>
      <c r="AM12" s="207">
        <f t="shared" si="5"/>
        <v>3932555.9</v>
      </c>
      <c r="AN12" s="151">
        <f t="shared" si="6"/>
        <v>0.89999999990686774</v>
      </c>
      <c r="AO12" s="93">
        <f t="shared" si="7"/>
        <v>3754499</v>
      </c>
      <c r="AP12" s="93">
        <f t="shared" si="8"/>
        <v>114500</v>
      </c>
    </row>
    <row r="13" spans="2:43" s="27" customFormat="1">
      <c r="B13" s="97">
        <v>8</v>
      </c>
      <c r="C13" s="98" t="s">
        <v>242</v>
      </c>
      <c r="D13" s="208" t="s">
        <v>243</v>
      </c>
      <c r="E13" s="209" t="s">
        <v>345</v>
      </c>
      <c r="F13" s="98" t="s">
        <v>244</v>
      </c>
      <c r="G13" s="107" t="s">
        <v>88</v>
      </c>
      <c r="H13" s="99" t="s">
        <v>38</v>
      </c>
      <c r="I13" s="100" t="s">
        <v>7</v>
      </c>
      <c r="J13" s="58" t="str">
        <f t="shared" si="2"/>
        <v>TER A</v>
      </c>
      <c r="K13" s="210">
        <v>3639999.9</v>
      </c>
      <c r="L13" s="101">
        <f t="shared" si="9"/>
        <v>30575.999999999996</v>
      </c>
      <c r="M13" s="101">
        <f>'[17]MAINTENANCE-2'!AP18</f>
        <v>148040</v>
      </c>
      <c r="N13" s="101"/>
      <c r="O13" s="101"/>
      <c r="P13" s="101"/>
      <c r="Q13" s="101"/>
      <c r="R13" s="101"/>
      <c r="S13" s="101"/>
      <c r="T13" s="46">
        <f>'[17]MAINTENANCE-2'!X18</f>
        <v>67500</v>
      </c>
      <c r="U13" s="101"/>
      <c r="V13" s="101"/>
      <c r="W13" s="101"/>
      <c r="X13" s="46">
        <f>'[17]MAINTENANCE-2'!AC18</f>
        <v>61000</v>
      </c>
      <c r="Y13" s="101"/>
      <c r="Z13" s="101"/>
      <c r="AA13" s="101"/>
      <c r="AB13" s="101"/>
      <c r="AC13" s="230">
        <v>0</v>
      </c>
      <c r="AD13" s="101"/>
      <c r="AE13" s="101"/>
      <c r="AF13" s="62">
        <f t="shared" si="10"/>
        <v>3947115</v>
      </c>
      <c r="AG13" s="63">
        <f t="shared" si="1"/>
        <v>0</v>
      </c>
      <c r="AH13" s="106">
        <f t="shared" si="3"/>
        <v>0</v>
      </c>
      <c r="AJ13" s="93">
        <f t="shared" si="4"/>
        <v>0</v>
      </c>
      <c r="AL13" s="206">
        <v>3768499.9000000004</v>
      </c>
      <c r="AM13" s="207">
        <f t="shared" si="5"/>
        <v>3947115.9000000004</v>
      </c>
      <c r="AN13" s="151">
        <f t="shared" si="6"/>
        <v>0.90000000037252903</v>
      </c>
      <c r="AO13" s="93">
        <f t="shared" si="7"/>
        <v>3768499</v>
      </c>
      <c r="AP13" s="93">
        <f t="shared" si="8"/>
        <v>128500</v>
      </c>
    </row>
    <row r="14" spans="2:43" s="27" customFormat="1">
      <c r="B14" s="97">
        <v>9</v>
      </c>
      <c r="C14" s="98" t="s">
        <v>245</v>
      </c>
      <c r="D14" s="208" t="s">
        <v>246</v>
      </c>
      <c r="E14" s="209" t="s">
        <v>346</v>
      </c>
      <c r="F14" s="98" t="s">
        <v>247</v>
      </c>
      <c r="G14" s="107" t="s">
        <v>88</v>
      </c>
      <c r="H14" s="99" t="s">
        <v>38</v>
      </c>
      <c r="I14" s="100" t="s">
        <v>7</v>
      </c>
      <c r="J14" s="58" t="str">
        <f t="shared" si="2"/>
        <v>TER A</v>
      </c>
      <c r="K14" s="210">
        <v>3639999.9</v>
      </c>
      <c r="L14" s="101">
        <f t="shared" si="9"/>
        <v>30575.999999999996</v>
      </c>
      <c r="M14" s="101">
        <f>'[17]MAINTENANCE-2'!AP19</f>
        <v>147340</v>
      </c>
      <c r="N14" s="101"/>
      <c r="O14" s="101"/>
      <c r="P14" s="101"/>
      <c r="Q14" s="101"/>
      <c r="R14" s="101"/>
      <c r="S14" s="101"/>
      <c r="T14" s="46">
        <f>'[17]MAINTENANCE-2'!X19</f>
        <v>67500</v>
      </c>
      <c r="U14" s="101"/>
      <c r="V14" s="101"/>
      <c r="W14" s="101"/>
      <c r="X14" s="46">
        <f>'[17]MAINTENANCE-2'!AC19</f>
        <v>43500</v>
      </c>
      <c r="Y14" s="101"/>
      <c r="Z14" s="101"/>
      <c r="AA14" s="101"/>
      <c r="AB14" s="101"/>
      <c r="AC14" s="230">
        <v>0</v>
      </c>
      <c r="AD14" s="101"/>
      <c r="AE14" s="101"/>
      <c r="AF14" s="62">
        <f t="shared" si="10"/>
        <v>3928915</v>
      </c>
      <c r="AG14" s="63">
        <f t="shared" si="1"/>
        <v>0</v>
      </c>
      <c r="AH14" s="106">
        <f t="shared" si="3"/>
        <v>0</v>
      </c>
      <c r="AJ14" s="93">
        <f t="shared" si="4"/>
        <v>0</v>
      </c>
      <c r="AL14" s="206">
        <v>3750999.9</v>
      </c>
      <c r="AM14" s="207">
        <f t="shared" si="5"/>
        <v>3928915.9</v>
      </c>
      <c r="AN14" s="151">
        <f t="shared" si="6"/>
        <v>0.89999999990686774</v>
      </c>
      <c r="AO14" s="93">
        <f t="shared" si="7"/>
        <v>3750999</v>
      </c>
      <c r="AP14" s="93">
        <f t="shared" si="8"/>
        <v>111000</v>
      </c>
    </row>
    <row r="15" spans="2:43" s="27" customFormat="1">
      <c r="B15" s="97">
        <v>10</v>
      </c>
      <c r="C15" s="98" t="s">
        <v>248</v>
      </c>
      <c r="D15" s="208" t="s">
        <v>249</v>
      </c>
      <c r="E15" s="209" t="s">
        <v>347</v>
      </c>
      <c r="F15" s="98" t="s">
        <v>250</v>
      </c>
      <c r="G15" s="107" t="s">
        <v>88</v>
      </c>
      <c r="H15" s="99" t="s">
        <v>39</v>
      </c>
      <c r="I15" s="100" t="s">
        <v>17</v>
      </c>
      <c r="J15" s="58" t="str">
        <f t="shared" si="2"/>
        <v>TER A</v>
      </c>
      <c r="K15" s="210">
        <v>3639999.9</v>
      </c>
      <c r="L15" s="101">
        <f t="shared" si="9"/>
        <v>30575.999999999996</v>
      </c>
      <c r="M15" s="101">
        <f>'[17]MAINTENANCE-2'!AP20</f>
        <v>148040</v>
      </c>
      <c r="N15" s="101"/>
      <c r="O15" s="101"/>
      <c r="P15" s="101"/>
      <c r="Q15" s="101"/>
      <c r="R15" s="101"/>
      <c r="S15" s="101"/>
      <c r="T15" s="46">
        <f>'[17]MAINTENANCE-2'!X20</f>
        <v>108000</v>
      </c>
      <c r="U15" s="101"/>
      <c r="V15" s="101"/>
      <c r="W15" s="101"/>
      <c r="X15" s="46">
        <f>'[17]MAINTENANCE-2'!AC20</f>
        <v>61000</v>
      </c>
      <c r="Y15" s="101"/>
      <c r="Z15" s="101"/>
      <c r="AA15" s="101"/>
      <c r="AB15" s="101"/>
      <c r="AC15" s="230">
        <v>0</v>
      </c>
      <c r="AD15" s="101"/>
      <c r="AE15" s="101"/>
      <c r="AF15" s="62">
        <f t="shared" si="10"/>
        <v>3987615</v>
      </c>
      <c r="AG15" s="63">
        <f t="shared" si="1"/>
        <v>0</v>
      </c>
      <c r="AH15" s="106">
        <f t="shared" si="3"/>
        <v>0</v>
      </c>
      <c r="AJ15" s="93">
        <f t="shared" si="4"/>
        <v>0</v>
      </c>
      <c r="AL15" s="206">
        <v>3808999.9</v>
      </c>
      <c r="AM15" s="207">
        <f t="shared" si="5"/>
        <v>3987615.9</v>
      </c>
      <c r="AN15" s="151">
        <f t="shared" si="6"/>
        <v>0.89999999990686774</v>
      </c>
      <c r="AO15" s="93">
        <f t="shared" si="7"/>
        <v>3808999</v>
      </c>
      <c r="AP15" s="93">
        <f t="shared" si="8"/>
        <v>169000</v>
      </c>
    </row>
    <row r="16" spans="2:43" s="27" customFormat="1">
      <c r="B16" s="97">
        <v>11</v>
      </c>
      <c r="C16" s="98" t="s">
        <v>251</v>
      </c>
      <c r="D16" s="208" t="s">
        <v>252</v>
      </c>
      <c r="E16" s="209" t="s">
        <v>348</v>
      </c>
      <c r="F16" s="98" t="s">
        <v>253</v>
      </c>
      <c r="G16" s="107" t="s">
        <v>88</v>
      </c>
      <c r="H16" s="99" t="s">
        <v>39</v>
      </c>
      <c r="I16" s="100" t="s">
        <v>7</v>
      </c>
      <c r="J16" s="58" t="str">
        <f t="shared" si="2"/>
        <v>TER A</v>
      </c>
      <c r="K16" s="210">
        <v>3639999.9</v>
      </c>
      <c r="L16" s="101">
        <f t="shared" si="9"/>
        <v>30575.999999999996</v>
      </c>
      <c r="M16" s="101">
        <f>'[17]MAINTENANCE-2'!AP21</f>
        <v>146560</v>
      </c>
      <c r="N16" s="101"/>
      <c r="O16" s="101"/>
      <c r="P16" s="101"/>
      <c r="Q16" s="101"/>
      <c r="R16" s="101"/>
      <c r="S16" s="101"/>
      <c r="T16" s="46">
        <f>'[17]MAINTENANCE-2'!X21</f>
        <v>65250</v>
      </c>
      <c r="U16" s="101"/>
      <c r="V16" s="101"/>
      <c r="W16" s="101"/>
      <c r="X16" s="46">
        <f>'[17]MAINTENANCE-2'!AC21</f>
        <v>24000</v>
      </c>
      <c r="Y16" s="101"/>
      <c r="Z16" s="101"/>
      <c r="AA16" s="101"/>
      <c r="AB16" s="101"/>
      <c r="AC16" s="230">
        <v>-121333.33</v>
      </c>
      <c r="AD16" s="101"/>
      <c r="AE16" s="101"/>
      <c r="AF16" s="62">
        <f t="shared" si="10"/>
        <v>3785052</v>
      </c>
      <c r="AG16" s="63">
        <f t="shared" si="1"/>
        <v>0</v>
      </c>
      <c r="AH16" s="106">
        <f t="shared" si="3"/>
        <v>0</v>
      </c>
      <c r="AJ16" s="93">
        <f t="shared" si="4"/>
        <v>0</v>
      </c>
      <c r="AL16" s="206">
        <v>3607916.57</v>
      </c>
      <c r="AM16" s="207">
        <f t="shared" si="5"/>
        <v>3785052.57</v>
      </c>
      <c r="AN16" s="151">
        <f t="shared" si="6"/>
        <v>0.56999999983236194</v>
      </c>
      <c r="AO16" s="93">
        <f t="shared" si="7"/>
        <v>3607916</v>
      </c>
      <c r="AP16" s="93">
        <f t="shared" si="8"/>
        <v>-32083.33</v>
      </c>
    </row>
    <row r="17" spans="2:42" s="27" customFormat="1">
      <c r="B17" s="97">
        <v>12</v>
      </c>
      <c r="C17" s="98" t="s">
        <v>254</v>
      </c>
      <c r="D17" s="208" t="s">
        <v>255</v>
      </c>
      <c r="E17" s="209" t="s">
        <v>349</v>
      </c>
      <c r="F17" s="98" t="s">
        <v>256</v>
      </c>
      <c r="G17" s="107" t="s">
        <v>88</v>
      </c>
      <c r="H17" s="99" t="s">
        <v>38</v>
      </c>
      <c r="I17" s="100" t="s">
        <v>7</v>
      </c>
      <c r="J17" s="58" t="str">
        <f t="shared" si="2"/>
        <v>TER A</v>
      </c>
      <c r="K17" s="210">
        <v>3639999.9</v>
      </c>
      <c r="L17" s="101">
        <f t="shared" si="9"/>
        <v>30575.999999999996</v>
      </c>
      <c r="M17" s="101">
        <f>'[17]MAINTENANCE-2'!AP22</f>
        <v>146800</v>
      </c>
      <c r="N17" s="101"/>
      <c r="O17" s="101"/>
      <c r="P17" s="101"/>
      <c r="Q17" s="101"/>
      <c r="R17" s="101"/>
      <c r="S17" s="101"/>
      <c r="T17" s="46">
        <f>'[17]MAINTENANCE-2'!X22</f>
        <v>67500</v>
      </c>
      <c r="U17" s="101"/>
      <c r="V17" s="101"/>
      <c r="W17" s="101"/>
      <c r="X17" s="46">
        <f>'[17]MAINTENANCE-2'!AC22</f>
        <v>30000</v>
      </c>
      <c r="Y17" s="101"/>
      <c r="Z17" s="101"/>
      <c r="AA17" s="101"/>
      <c r="AB17" s="101"/>
      <c r="AC17" s="230">
        <v>0</v>
      </c>
      <c r="AD17" s="101"/>
      <c r="AE17" s="101"/>
      <c r="AF17" s="62">
        <f t="shared" si="10"/>
        <v>3914875</v>
      </c>
      <c r="AG17" s="63">
        <f t="shared" si="1"/>
        <v>0</v>
      </c>
      <c r="AH17" s="106">
        <f t="shared" si="3"/>
        <v>0</v>
      </c>
      <c r="AJ17" s="93">
        <f t="shared" si="4"/>
        <v>0</v>
      </c>
      <c r="AL17" s="206">
        <v>3737499.9</v>
      </c>
      <c r="AM17" s="207">
        <f t="shared" si="5"/>
        <v>3914875.9</v>
      </c>
      <c r="AN17" s="151">
        <f t="shared" si="6"/>
        <v>0.89999999990686774</v>
      </c>
      <c r="AO17" s="93">
        <f t="shared" si="7"/>
        <v>3737499</v>
      </c>
      <c r="AP17" s="93">
        <f t="shared" si="8"/>
        <v>97500</v>
      </c>
    </row>
    <row r="18" spans="2:42" s="27" customFormat="1">
      <c r="B18" s="97">
        <v>13</v>
      </c>
      <c r="C18" s="98" t="s">
        <v>257</v>
      </c>
      <c r="D18" s="208" t="s">
        <v>258</v>
      </c>
      <c r="E18" s="209" t="s">
        <v>350</v>
      </c>
      <c r="F18" s="98" t="s">
        <v>259</v>
      </c>
      <c r="G18" s="107" t="s">
        <v>88</v>
      </c>
      <c r="H18" s="99" t="s">
        <v>39</v>
      </c>
      <c r="I18" s="100" t="s">
        <v>9</v>
      </c>
      <c r="J18" s="58" t="str">
        <f t="shared" si="2"/>
        <v>TER B</v>
      </c>
      <c r="K18" s="210">
        <v>3639999.9</v>
      </c>
      <c r="L18" s="101">
        <f t="shared" si="9"/>
        <v>30575.999999999996</v>
      </c>
      <c r="M18" s="101">
        <f>'[17]MAINTENANCE-2'!AP23</f>
        <v>146800</v>
      </c>
      <c r="N18" s="101"/>
      <c r="O18" s="101"/>
      <c r="P18" s="101"/>
      <c r="Q18" s="101"/>
      <c r="R18" s="101"/>
      <c r="S18" s="101"/>
      <c r="T18" s="46">
        <f>'[17]MAINTENANCE-2'!X23</f>
        <v>135000</v>
      </c>
      <c r="U18" s="101"/>
      <c r="V18" s="101"/>
      <c r="W18" s="101"/>
      <c r="X18" s="46">
        <f>'[17]MAINTENANCE-2'!AC23</f>
        <v>30000</v>
      </c>
      <c r="Y18" s="101"/>
      <c r="Z18" s="101"/>
      <c r="AA18" s="101"/>
      <c r="AB18" s="101"/>
      <c r="AC18" s="230">
        <v>0</v>
      </c>
      <c r="AD18" s="101"/>
      <c r="AE18" s="101"/>
      <c r="AF18" s="62">
        <f t="shared" si="10"/>
        <v>3982375</v>
      </c>
      <c r="AG18" s="63">
        <f t="shared" si="1"/>
        <v>0</v>
      </c>
      <c r="AH18" s="106">
        <f t="shared" si="3"/>
        <v>0</v>
      </c>
      <c r="AJ18" s="93">
        <f t="shared" si="4"/>
        <v>0</v>
      </c>
      <c r="AL18" s="206">
        <v>3804999.9</v>
      </c>
      <c r="AM18" s="207">
        <f t="shared" si="5"/>
        <v>3982375.9</v>
      </c>
      <c r="AN18" s="151">
        <f t="shared" si="6"/>
        <v>0.89999999990686774</v>
      </c>
      <c r="AO18" s="93">
        <f t="shared" si="7"/>
        <v>3804999</v>
      </c>
      <c r="AP18" s="93">
        <f t="shared" si="8"/>
        <v>165000</v>
      </c>
    </row>
    <row r="19" spans="2:42" s="27" customFormat="1">
      <c r="B19" s="97">
        <v>14</v>
      </c>
      <c r="C19" s="98" t="s">
        <v>260</v>
      </c>
      <c r="D19" s="208" t="s">
        <v>261</v>
      </c>
      <c r="E19" s="209" t="s">
        <v>73</v>
      </c>
      <c r="F19" s="98" t="s">
        <v>262</v>
      </c>
      <c r="G19" s="107" t="s">
        <v>88</v>
      </c>
      <c r="H19" s="99" t="s">
        <v>39</v>
      </c>
      <c r="I19" s="100" t="s">
        <v>11</v>
      </c>
      <c r="J19" s="58" t="str">
        <f t="shared" si="2"/>
        <v>TER B</v>
      </c>
      <c r="K19" s="210">
        <v>3639999.9</v>
      </c>
      <c r="L19" s="101">
        <f t="shared" si="9"/>
        <v>30575.999999999996</v>
      </c>
      <c r="M19" s="101">
        <f>'[17]MAINTENANCE-2'!AP24</f>
        <v>146440</v>
      </c>
      <c r="N19" s="101"/>
      <c r="O19" s="101"/>
      <c r="P19" s="101"/>
      <c r="Q19" s="101"/>
      <c r="R19" s="101"/>
      <c r="S19" s="101"/>
      <c r="T19" s="46">
        <f>'[17]MAINTENANCE-2'!X24</f>
        <v>151200</v>
      </c>
      <c r="U19" s="101"/>
      <c r="V19" s="101"/>
      <c r="W19" s="101"/>
      <c r="X19" s="46">
        <f>'[17]MAINTENANCE-2'!AC24</f>
        <v>21000</v>
      </c>
      <c r="Y19" s="101"/>
      <c r="Z19" s="101"/>
      <c r="AA19" s="101"/>
      <c r="AB19" s="101"/>
      <c r="AC19" s="230">
        <v>-242666.66</v>
      </c>
      <c r="AD19" s="101"/>
      <c r="AE19" s="101"/>
      <c r="AF19" s="62">
        <f t="shared" si="10"/>
        <v>3746549</v>
      </c>
      <c r="AG19" s="63">
        <f t="shared" si="1"/>
        <v>0</v>
      </c>
      <c r="AH19" s="106">
        <f t="shared" si="3"/>
        <v>0</v>
      </c>
      <c r="AJ19" s="93">
        <f t="shared" si="4"/>
        <v>0</v>
      </c>
      <c r="AL19" s="206">
        <v>3569533.2399999998</v>
      </c>
      <c r="AM19" s="207">
        <f t="shared" si="5"/>
        <v>3746549.2399999998</v>
      </c>
      <c r="AN19" s="151">
        <f t="shared" si="6"/>
        <v>0.23999999975785613</v>
      </c>
      <c r="AO19" s="93">
        <f t="shared" si="7"/>
        <v>3569533</v>
      </c>
      <c r="AP19" s="93">
        <f t="shared" si="8"/>
        <v>-70466.66</v>
      </c>
    </row>
    <row r="20" spans="2:42" s="27" customFormat="1">
      <c r="B20" s="97">
        <v>15</v>
      </c>
      <c r="C20" s="98" t="s">
        <v>263</v>
      </c>
      <c r="D20" s="208" t="s">
        <v>264</v>
      </c>
      <c r="E20" s="209" t="s">
        <v>73</v>
      </c>
      <c r="F20" s="98" t="s">
        <v>265</v>
      </c>
      <c r="G20" s="107" t="s">
        <v>88</v>
      </c>
      <c r="H20" s="99" t="s">
        <v>39</v>
      </c>
      <c r="I20" s="100" t="s">
        <v>9</v>
      </c>
      <c r="J20" s="58" t="str">
        <f t="shared" si="2"/>
        <v>TER B</v>
      </c>
      <c r="K20" s="210">
        <v>3639999.9</v>
      </c>
      <c r="L20" s="101">
        <f t="shared" si="9"/>
        <v>30575.999999999996</v>
      </c>
      <c r="M20" s="101">
        <f>'[17]MAINTENANCE-2'!AP25</f>
        <v>145900</v>
      </c>
      <c r="N20" s="101"/>
      <c r="O20" s="101"/>
      <c r="P20" s="101"/>
      <c r="Q20" s="101"/>
      <c r="R20" s="101"/>
      <c r="S20" s="101"/>
      <c r="T20" s="46">
        <f>'[17]MAINTENANCE-2'!X25</f>
        <v>130500</v>
      </c>
      <c r="U20" s="101"/>
      <c r="V20" s="101"/>
      <c r="W20" s="101"/>
      <c r="X20" s="46">
        <f>'[17]MAINTENANCE-2'!AC25</f>
        <v>7500</v>
      </c>
      <c r="Y20" s="101"/>
      <c r="Z20" s="101"/>
      <c r="AA20" s="101"/>
      <c r="AB20" s="101"/>
      <c r="AC20" s="230">
        <v>-121333.33</v>
      </c>
      <c r="AD20" s="101"/>
      <c r="AE20" s="101"/>
      <c r="AF20" s="62">
        <f t="shared" si="10"/>
        <v>3833142</v>
      </c>
      <c r="AG20" s="63">
        <f t="shared" si="1"/>
        <v>0</v>
      </c>
      <c r="AH20" s="106">
        <f t="shared" si="3"/>
        <v>0</v>
      </c>
      <c r="AJ20" s="93">
        <f t="shared" si="4"/>
        <v>0</v>
      </c>
      <c r="AL20" s="206">
        <v>3656666.57</v>
      </c>
      <c r="AM20" s="207">
        <f t="shared" si="5"/>
        <v>3833142.57</v>
      </c>
      <c r="AN20" s="151">
        <f t="shared" si="6"/>
        <v>0.56999999983236194</v>
      </c>
      <c r="AO20" s="93">
        <f t="shared" si="7"/>
        <v>3656666</v>
      </c>
      <c r="AP20" s="93">
        <f t="shared" si="8"/>
        <v>16666.669999999998</v>
      </c>
    </row>
    <row r="21" spans="2:42" s="27" customFormat="1">
      <c r="B21" s="97">
        <v>16</v>
      </c>
      <c r="C21" s="98" t="s">
        <v>266</v>
      </c>
      <c r="D21" s="208" t="s">
        <v>267</v>
      </c>
      <c r="E21" s="209" t="s">
        <v>351</v>
      </c>
      <c r="F21" s="98" t="s">
        <v>268</v>
      </c>
      <c r="G21" s="107" t="s">
        <v>88</v>
      </c>
      <c r="H21" s="99" t="s">
        <v>38</v>
      </c>
      <c r="I21" s="100" t="s">
        <v>7</v>
      </c>
      <c r="J21" s="58" t="str">
        <f t="shared" si="2"/>
        <v>TER A</v>
      </c>
      <c r="K21" s="210">
        <v>3639999.9</v>
      </c>
      <c r="L21" s="101">
        <f t="shared" si="9"/>
        <v>30575.999999999996</v>
      </c>
      <c r="M21" s="101">
        <f>'[17]MAINTENANCE-2'!AP26</f>
        <v>147340</v>
      </c>
      <c r="N21" s="101"/>
      <c r="O21" s="101"/>
      <c r="P21" s="101"/>
      <c r="Q21" s="101"/>
      <c r="R21" s="101"/>
      <c r="S21" s="101"/>
      <c r="T21" s="46">
        <f>'[17]MAINTENANCE-2'!X26</f>
        <v>65250</v>
      </c>
      <c r="U21" s="101"/>
      <c r="V21" s="101"/>
      <c r="W21" s="101"/>
      <c r="X21" s="46">
        <f>'[17]MAINTENANCE-2'!AC26</f>
        <v>43500</v>
      </c>
      <c r="Y21" s="101"/>
      <c r="Z21" s="101"/>
      <c r="AA21" s="101"/>
      <c r="AB21" s="101"/>
      <c r="AC21" s="230">
        <v>-121333.33</v>
      </c>
      <c r="AD21" s="101"/>
      <c r="AE21" s="101"/>
      <c r="AF21" s="62">
        <f t="shared" si="10"/>
        <v>3805332</v>
      </c>
      <c r="AG21" s="63">
        <f t="shared" si="1"/>
        <v>0</v>
      </c>
      <c r="AH21" s="106">
        <f t="shared" si="3"/>
        <v>0</v>
      </c>
      <c r="AJ21" s="93">
        <f t="shared" si="4"/>
        <v>0</v>
      </c>
      <c r="AL21" s="206">
        <v>3627416.5700000003</v>
      </c>
      <c r="AM21" s="207">
        <f t="shared" si="5"/>
        <v>3805332.5700000003</v>
      </c>
      <c r="AN21" s="151">
        <f t="shared" si="6"/>
        <v>0.57000000029802322</v>
      </c>
      <c r="AO21" s="93">
        <f t="shared" si="7"/>
        <v>3627416</v>
      </c>
      <c r="AP21" s="93">
        <f t="shared" si="8"/>
        <v>-12583.330000000002</v>
      </c>
    </row>
    <row r="22" spans="2:42" s="27" customFormat="1">
      <c r="B22" s="97">
        <v>17</v>
      </c>
      <c r="C22" s="98" t="s">
        <v>269</v>
      </c>
      <c r="D22" s="208" t="s">
        <v>270</v>
      </c>
      <c r="E22" s="209" t="s">
        <v>352</v>
      </c>
      <c r="F22" s="98" t="s">
        <v>271</v>
      </c>
      <c r="G22" s="107" t="s">
        <v>88</v>
      </c>
      <c r="H22" s="99" t="s">
        <v>38</v>
      </c>
      <c r="I22" s="100" t="s">
        <v>7</v>
      </c>
      <c r="J22" s="58" t="str">
        <f t="shared" si="2"/>
        <v>TER A</v>
      </c>
      <c r="K22" s="210">
        <v>3639999.9</v>
      </c>
      <c r="L22" s="101">
        <f t="shared" si="9"/>
        <v>30575.999999999996</v>
      </c>
      <c r="M22" s="101">
        <f>'[17]MAINTENANCE-2'!AP27</f>
        <v>147620</v>
      </c>
      <c r="N22" s="101"/>
      <c r="O22" s="101"/>
      <c r="P22" s="101"/>
      <c r="Q22" s="101"/>
      <c r="R22" s="101"/>
      <c r="S22" s="101"/>
      <c r="T22" s="46">
        <f>'[17]MAINTENANCE-2'!X27</f>
        <v>63000</v>
      </c>
      <c r="U22" s="101"/>
      <c r="V22" s="101"/>
      <c r="W22" s="101"/>
      <c r="X22" s="46">
        <f>'[17]MAINTENANCE-2'!AC27</f>
        <v>50500</v>
      </c>
      <c r="Y22" s="101"/>
      <c r="Z22" s="101"/>
      <c r="AA22" s="101"/>
      <c r="AB22" s="101"/>
      <c r="AC22" s="230">
        <v>-242666.66</v>
      </c>
      <c r="AD22" s="101"/>
      <c r="AE22" s="101"/>
      <c r="AF22" s="62">
        <f t="shared" si="10"/>
        <v>3689029</v>
      </c>
      <c r="AG22" s="63">
        <f t="shared" si="1"/>
        <v>0</v>
      </c>
      <c r="AH22" s="106">
        <f t="shared" si="3"/>
        <v>0</v>
      </c>
      <c r="AJ22" s="93">
        <f t="shared" si="4"/>
        <v>0</v>
      </c>
      <c r="AL22" s="206">
        <v>3510833.24</v>
      </c>
      <c r="AM22" s="207">
        <f t="shared" si="5"/>
        <v>3689029.24</v>
      </c>
      <c r="AN22" s="151">
        <f t="shared" si="6"/>
        <v>0.24000000022351742</v>
      </c>
      <c r="AO22" s="93">
        <f t="shared" si="7"/>
        <v>3510833</v>
      </c>
      <c r="AP22" s="93">
        <f t="shared" si="8"/>
        <v>-129166.66</v>
      </c>
    </row>
    <row r="23" spans="2:42" s="27" customFormat="1">
      <c r="B23" s="97">
        <v>18</v>
      </c>
      <c r="C23" s="98" t="s">
        <v>272</v>
      </c>
      <c r="D23" s="42" t="s">
        <v>273</v>
      </c>
      <c r="E23" s="43" t="s">
        <v>353</v>
      </c>
      <c r="F23" s="41" t="s">
        <v>274</v>
      </c>
      <c r="G23" s="107" t="s">
        <v>88</v>
      </c>
      <c r="H23" s="44" t="s">
        <v>38</v>
      </c>
      <c r="I23" s="45" t="s">
        <v>7</v>
      </c>
      <c r="J23" s="58" t="str">
        <f t="shared" si="2"/>
        <v>TER A</v>
      </c>
      <c r="K23" s="210">
        <v>3639999.9</v>
      </c>
      <c r="L23" s="101">
        <f t="shared" si="9"/>
        <v>30575.999999999996</v>
      </c>
      <c r="M23" s="101">
        <f>'[17]MAINTENANCE-2'!AP28</f>
        <v>146560</v>
      </c>
      <c r="N23" s="101"/>
      <c r="O23" s="101"/>
      <c r="P23" s="101"/>
      <c r="Q23" s="46"/>
      <c r="R23" s="46"/>
      <c r="S23" s="46"/>
      <c r="T23" s="46">
        <f>'[17]MAINTENANCE-2'!X28</f>
        <v>65250</v>
      </c>
      <c r="U23" s="46"/>
      <c r="V23" s="101"/>
      <c r="W23" s="46"/>
      <c r="X23" s="46">
        <f>'[17]MAINTENANCE-2'!AC28</f>
        <v>24000</v>
      </c>
      <c r="Y23" s="46"/>
      <c r="Z23" s="46"/>
      <c r="AA23" s="46"/>
      <c r="AB23" s="46"/>
      <c r="AC23" s="231">
        <v>-121333.33</v>
      </c>
      <c r="AD23" s="46"/>
      <c r="AE23" s="46"/>
      <c r="AF23" s="62">
        <f t="shared" si="10"/>
        <v>3785052</v>
      </c>
      <c r="AG23" s="63">
        <f t="shared" si="1"/>
        <v>0</v>
      </c>
      <c r="AH23" s="106">
        <f t="shared" si="3"/>
        <v>0</v>
      </c>
      <c r="AJ23" s="93">
        <f t="shared" si="4"/>
        <v>0</v>
      </c>
      <c r="AL23" s="206">
        <v>3607916.5700000003</v>
      </c>
      <c r="AM23" s="207">
        <f t="shared" si="5"/>
        <v>3785052.5700000003</v>
      </c>
      <c r="AN23" s="151">
        <f t="shared" si="6"/>
        <v>0.57000000029802322</v>
      </c>
      <c r="AO23" s="93">
        <f t="shared" si="7"/>
        <v>3607916</v>
      </c>
      <c r="AP23" s="93">
        <f t="shared" si="8"/>
        <v>-32083.33</v>
      </c>
    </row>
    <row r="24" spans="2:42" s="27" customFormat="1">
      <c r="B24" s="97">
        <v>19</v>
      </c>
      <c r="C24" s="98" t="s">
        <v>275</v>
      </c>
      <c r="D24" s="42" t="s">
        <v>276</v>
      </c>
      <c r="E24" s="43" t="s">
        <v>354</v>
      </c>
      <c r="F24" s="41" t="s">
        <v>247</v>
      </c>
      <c r="G24" s="107" t="s">
        <v>88</v>
      </c>
      <c r="H24" s="44" t="s">
        <v>39</v>
      </c>
      <c r="I24" s="45" t="s">
        <v>11</v>
      </c>
      <c r="J24" s="58" t="str">
        <f t="shared" si="2"/>
        <v>TER B</v>
      </c>
      <c r="K24" s="210">
        <v>3639999.9</v>
      </c>
      <c r="L24" s="101">
        <f t="shared" si="9"/>
        <v>30575.999999999996</v>
      </c>
      <c r="M24" s="101">
        <f>'[17]MAINTENANCE-2'!AP29</f>
        <v>148040</v>
      </c>
      <c r="N24" s="101"/>
      <c r="O24" s="101"/>
      <c r="P24" s="101"/>
      <c r="Q24" s="46"/>
      <c r="R24" s="46"/>
      <c r="S24" s="46"/>
      <c r="T24" s="46">
        <f>'[17]MAINTENANCE-2'!X29</f>
        <v>162000</v>
      </c>
      <c r="U24" s="46"/>
      <c r="V24" s="101">
        <v>631213.80000000005</v>
      </c>
      <c r="W24" s="46"/>
      <c r="X24" s="46">
        <f>'[17]MAINTENANCE-2'!AC29</f>
        <v>61000</v>
      </c>
      <c r="Y24" s="46"/>
      <c r="Z24" s="46"/>
      <c r="AA24" s="46"/>
      <c r="AB24" s="46"/>
      <c r="AC24" s="231">
        <v>0</v>
      </c>
      <c r="AD24" s="46"/>
      <c r="AE24" s="46"/>
      <c r="AF24" s="62">
        <f t="shared" si="10"/>
        <v>4672829</v>
      </c>
      <c r="AG24" s="63">
        <f t="shared" si="1"/>
        <v>0</v>
      </c>
      <c r="AH24" s="106">
        <f t="shared" si="3"/>
        <v>0</v>
      </c>
      <c r="AJ24" s="93">
        <f t="shared" si="4"/>
        <v>0</v>
      </c>
      <c r="AL24" s="206">
        <v>4494213.7</v>
      </c>
      <c r="AM24" s="207">
        <f t="shared" si="5"/>
        <v>4672829.7</v>
      </c>
      <c r="AN24" s="151">
        <f t="shared" si="6"/>
        <v>0.70000000018626451</v>
      </c>
      <c r="AO24" s="93">
        <f t="shared" si="7"/>
        <v>4494213</v>
      </c>
      <c r="AP24" s="93">
        <f t="shared" si="8"/>
        <v>854213.8</v>
      </c>
    </row>
    <row r="25" spans="2:42" s="27" customFormat="1">
      <c r="B25" s="97">
        <v>20</v>
      </c>
      <c r="C25" s="98" t="s">
        <v>277</v>
      </c>
      <c r="D25" s="42" t="s">
        <v>278</v>
      </c>
      <c r="E25" s="43" t="s">
        <v>355</v>
      </c>
      <c r="F25" s="41" t="s">
        <v>279</v>
      </c>
      <c r="G25" s="107" t="s">
        <v>88</v>
      </c>
      <c r="H25" s="44" t="s">
        <v>38</v>
      </c>
      <c r="I25" s="45" t="s">
        <v>7</v>
      </c>
      <c r="J25" s="58" t="str">
        <f t="shared" si="2"/>
        <v>TER A</v>
      </c>
      <c r="K25" s="210">
        <v>3639999.9</v>
      </c>
      <c r="L25" s="101">
        <f t="shared" si="9"/>
        <v>30575.999999999996</v>
      </c>
      <c r="M25" s="101">
        <f>'[17]MAINTENANCE-2'!AP30</f>
        <v>147620</v>
      </c>
      <c r="N25" s="101"/>
      <c r="O25" s="101"/>
      <c r="P25" s="101"/>
      <c r="Q25" s="46"/>
      <c r="R25" s="46"/>
      <c r="S25" s="46"/>
      <c r="T25" s="46">
        <f>'[17]MAINTENANCE-2'!X30</f>
        <v>65250</v>
      </c>
      <c r="U25" s="46"/>
      <c r="V25" s="101"/>
      <c r="W25" s="46"/>
      <c r="X25" s="46">
        <f>'[17]MAINTENANCE-2'!AC30</f>
        <v>50500</v>
      </c>
      <c r="Y25" s="46"/>
      <c r="Z25" s="46"/>
      <c r="AA25" s="46"/>
      <c r="AB25" s="46"/>
      <c r="AC25" s="231">
        <v>-121333.33</v>
      </c>
      <c r="AD25" s="46"/>
      <c r="AE25" s="46"/>
      <c r="AF25" s="62">
        <f t="shared" si="10"/>
        <v>3812612</v>
      </c>
      <c r="AG25" s="63">
        <f t="shared" si="1"/>
        <v>0</v>
      </c>
      <c r="AH25" s="106">
        <f t="shared" si="3"/>
        <v>0</v>
      </c>
      <c r="AJ25" s="93">
        <f t="shared" si="4"/>
        <v>0</v>
      </c>
      <c r="AL25" s="206">
        <v>3634416.5700000003</v>
      </c>
      <c r="AM25" s="207">
        <f t="shared" si="5"/>
        <v>3812612.5700000003</v>
      </c>
      <c r="AN25" s="151">
        <f t="shared" si="6"/>
        <v>0.57000000029802322</v>
      </c>
      <c r="AO25" s="93">
        <f t="shared" si="7"/>
        <v>3634416</v>
      </c>
      <c r="AP25" s="93">
        <f t="shared" si="8"/>
        <v>-5583.3300000000017</v>
      </c>
    </row>
    <row r="26" spans="2:42" s="27" customFormat="1">
      <c r="B26" s="97">
        <v>21</v>
      </c>
      <c r="C26" s="98" t="s">
        <v>280</v>
      </c>
      <c r="D26" s="42" t="s">
        <v>281</v>
      </c>
      <c r="E26" s="43" t="s">
        <v>356</v>
      </c>
      <c r="F26" s="41" t="s">
        <v>282</v>
      </c>
      <c r="G26" s="107" t="s">
        <v>88</v>
      </c>
      <c r="H26" s="44" t="s">
        <v>38</v>
      </c>
      <c r="I26" s="45" t="s">
        <v>7</v>
      </c>
      <c r="J26" s="58" t="str">
        <f t="shared" si="2"/>
        <v>TER A</v>
      </c>
      <c r="K26" s="210">
        <v>3639999.9</v>
      </c>
      <c r="L26" s="101">
        <f t="shared" si="9"/>
        <v>30575.999999999996</v>
      </c>
      <c r="M26" s="101">
        <f>'[17]MAINTENANCE-2'!AP31</f>
        <v>147340</v>
      </c>
      <c r="N26" s="101"/>
      <c r="O26" s="101"/>
      <c r="P26" s="101"/>
      <c r="Q26" s="46"/>
      <c r="R26" s="46"/>
      <c r="S26" s="46"/>
      <c r="T26" s="46">
        <f>'[17]MAINTENANCE-2'!X31</f>
        <v>65250</v>
      </c>
      <c r="U26" s="46"/>
      <c r="V26" s="101"/>
      <c r="W26" s="46"/>
      <c r="X26" s="46">
        <f>'[17]MAINTENANCE-2'!AC31</f>
        <v>43500</v>
      </c>
      <c r="Y26" s="46"/>
      <c r="Z26" s="46"/>
      <c r="AA26" s="46"/>
      <c r="AB26" s="46"/>
      <c r="AC26" s="231">
        <v>-121333.33</v>
      </c>
      <c r="AD26" s="46"/>
      <c r="AE26" s="46"/>
      <c r="AF26" s="62">
        <f t="shared" si="10"/>
        <v>3805332</v>
      </c>
      <c r="AG26" s="63">
        <f t="shared" si="1"/>
        <v>0</v>
      </c>
      <c r="AH26" s="106">
        <f t="shared" si="3"/>
        <v>0</v>
      </c>
      <c r="AJ26" s="93">
        <f t="shared" si="4"/>
        <v>0</v>
      </c>
      <c r="AL26" s="206">
        <v>3627416.5700000003</v>
      </c>
      <c r="AM26" s="207">
        <f t="shared" si="5"/>
        <v>3805332.5700000003</v>
      </c>
      <c r="AN26" s="151">
        <f t="shared" si="6"/>
        <v>0.57000000029802322</v>
      </c>
      <c r="AO26" s="93">
        <f t="shared" si="7"/>
        <v>3627416</v>
      </c>
      <c r="AP26" s="93">
        <f t="shared" si="8"/>
        <v>-12583.330000000002</v>
      </c>
    </row>
    <row r="27" spans="2:42" s="27" customFormat="1">
      <c r="B27" s="97">
        <v>22</v>
      </c>
      <c r="C27" s="98" t="s">
        <v>357</v>
      </c>
      <c r="D27" s="42" t="s">
        <v>284</v>
      </c>
      <c r="E27" s="43" t="s">
        <v>358</v>
      </c>
      <c r="F27" s="41" t="s">
        <v>285</v>
      </c>
      <c r="G27" s="107" t="s">
        <v>88</v>
      </c>
      <c r="H27" s="44" t="s">
        <v>38</v>
      </c>
      <c r="I27" s="45" t="s">
        <v>7</v>
      </c>
      <c r="J27" s="58" t="str">
        <f t="shared" si="2"/>
        <v>TER A</v>
      </c>
      <c r="K27" s="210">
        <v>3639999.9</v>
      </c>
      <c r="L27" s="101">
        <f t="shared" si="9"/>
        <v>30575.999999999996</v>
      </c>
      <c r="M27" s="101">
        <f>'[17]MAINTENANCE-2'!AP32</f>
        <v>146200</v>
      </c>
      <c r="N27" s="101"/>
      <c r="O27" s="101"/>
      <c r="P27" s="101"/>
      <c r="Q27" s="46"/>
      <c r="R27" s="46"/>
      <c r="S27" s="46"/>
      <c r="T27" s="46">
        <f>'[17]MAINTENANCE-2'!X32</f>
        <v>67500</v>
      </c>
      <c r="U27" s="46"/>
      <c r="V27" s="101"/>
      <c r="W27" s="46"/>
      <c r="X27" s="46">
        <f>'[17]MAINTENANCE-2'!AC32</f>
        <v>15000</v>
      </c>
      <c r="Y27" s="46"/>
      <c r="Z27" s="46"/>
      <c r="AA27" s="46"/>
      <c r="AB27" s="46"/>
      <c r="AC27" s="231">
        <v>0</v>
      </c>
      <c r="AD27" s="46"/>
      <c r="AE27" s="46"/>
      <c r="AF27" s="62">
        <f t="shared" si="10"/>
        <v>3899275</v>
      </c>
      <c r="AG27" s="63">
        <f t="shared" si="1"/>
        <v>0</v>
      </c>
      <c r="AH27" s="106">
        <f t="shared" si="3"/>
        <v>0</v>
      </c>
      <c r="AJ27" s="93">
        <f t="shared" si="4"/>
        <v>0</v>
      </c>
      <c r="AL27" s="206">
        <v>3722499.9</v>
      </c>
      <c r="AM27" s="207">
        <f t="shared" si="5"/>
        <v>3899275.9</v>
      </c>
      <c r="AN27" s="151">
        <f t="shared" si="6"/>
        <v>0.89999999990686774</v>
      </c>
      <c r="AO27" s="93">
        <f t="shared" si="7"/>
        <v>3722499</v>
      </c>
      <c r="AP27" s="93">
        <f t="shared" si="8"/>
        <v>82500</v>
      </c>
    </row>
    <row r="28" spans="2:42" s="27" customFormat="1">
      <c r="B28" s="97">
        <v>23</v>
      </c>
      <c r="C28" s="98" t="s">
        <v>286</v>
      </c>
      <c r="D28" s="42" t="s">
        <v>287</v>
      </c>
      <c r="E28" s="209" t="s">
        <v>73</v>
      </c>
      <c r="F28" s="41" t="s">
        <v>288</v>
      </c>
      <c r="G28" s="107" t="s">
        <v>88</v>
      </c>
      <c r="H28" s="44" t="s">
        <v>38</v>
      </c>
      <c r="I28" s="45" t="s">
        <v>7</v>
      </c>
      <c r="J28" s="58" t="str">
        <f t="shared" si="2"/>
        <v>TER A</v>
      </c>
      <c r="K28" s="210">
        <v>3639999.9</v>
      </c>
      <c r="L28" s="101">
        <f t="shared" si="9"/>
        <v>30575.999999999996</v>
      </c>
      <c r="M28" s="101">
        <f>'[17]MAINTENANCE-2'!AP33</f>
        <v>146200</v>
      </c>
      <c r="N28" s="101"/>
      <c r="O28" s="101"/>
      <c r="P28" s="101"/>
      <c r="Q28" s="46"/>
      <c r="R28" s="46"/>
      <c r="S28" s="46"/>
      <c r="T28" s="46">
        <f>'[17]MAINTENANCE-2'!X33</f>
        <v>67500</v>
      </c>
      <c r="U28" s="46"/>
      <c r="V28" s="101"/>
      <c r="W28" s="46"/>
      <c r="X28" s="46">
        <f>'[17]MAINTENANCE-2'!AC33</f>
        <v>15000</v>
      </c>
      <c r="Y28" s="46"/>
      <c r="Z28" s="46"/>
      <c r="AA28" s="46"/>
      <c r="AB28" s="46"/>
      <c r="AC28" s="231">
        <v>0</v>
      </c>
      <c r="AD28" s="46"/>
      <c r="AE28" s="46"/>
      <c r="AF28" s="62">
        <f t="shared" si="10"/>
        <v>3899275</v>
      </c>
      <c r="AG28" s="63">
        <f t="shared" si="1"/>
        <v>0</v>
      </c>
      <c r="AH28" s="106">
        <f t="shared" si="3"/>
        <v>0</v>
      </c>
      <c r="AJ28" s="93">
        <f t="shared" si="4"/>
        <v>0</v>
      </c>
      <c r="AL28" s="206">
        <v>3722499.9000000004</v>
      </c>
      <c r="AM28" s="207">
        <f t="shared" si="5"/>
        <v>3899275.9000000004</v>
      </c>
      <c r="AN28" s="151">
        <f t="shared" si="6"/>
        <v>0.90000000037252903</v>
      </c>
      <c r="AO28" s="93">
        <f t="shared" si="7"/>
        <v>3722499</v>
      </c>
      <c r="AP28" s="93">
        <f t="shared" si="8"/>
        <v>82500</v>
      </c>
    </row>
    <row r="29" spans="2:42" s="27" customFormat="1">
      <c r="B29" s="97">
        <v>24</v>
      </c>
      <c r="C29" s="98" t="s">
        <v>289</v>
      </c>
      <c r="D29" s="42" t="s">
        <v>290</v>
      </c>
      <c r="E29" s="209" t="s">
        <v>73</v>
      </c>
      <c r="F29" s="41" t="s">
        <v>291</v>
      </c>
      <c r="G29" s="107" t="s">
        <v>88</v>
      </c>
      <c r="H29" s="44" t="s">
        <v>38</v>
      </c>
      <c r="I29" s="45" t="s">
        <v>7</v>
      </c>
      <c r="J29" s="58" t="str">
        <f t="shared" si="2"/>
        <v>TER A</v>
      </c>
      <c r="K29" s="210">
        <v>3639999.9</v>
      </c>
      <c r="L29" s="101">
        <f t="shared" si="9"/>
        <v>30575.999999999996</v>
      </c>
      <c r="M29" s="101">
        <f>'[17]MAINTENANCE-2'!AP34</f>
        <v>146200</v>
      </c>
      <c r="N29" s="101"/>
      <c r="O29" s="101"/>
      <c r="P29" s="101"/>
      <c r="Q29" s="46"/>
      <c r="R29" s="46"/>
      <c r="S29" s="46"/>
      <c r="T29" s="46">
        <f>'[17]MAINTENANCE-2'!X34</f>
        <v>67500</v>
      </c>
      <c r="U29" s="46"/>
      <c r="V29" s="101"/>
      <c r="W29" s="46"/>
      <c r="X29" s="46">
        <f>'[17]MAINTENANCE-2'!AC34</f>
        <v>15000</v>
      </c>
      <c r="Y29" s="46"/>
      <c r="Z29" s="46"/>
      <c r="AA29" s="46"/>
      <c r="AB29" s="46"/>
      <c r="AC29" s="231">
        <v>0</v>
      </c>
      <c r="AD29" s="46"/>
      <c r="AE29" s="46"/>
      <c r="AF29" s="62">
        <f t="shared" si="10"/>
        <v>3899275</v>
      </c>
      <c r="AG29" s="63">
        <f t="shared" si="1"/>
        <v>0</v>
      </c>
      <c r="AH29" s="106">
        <f t="shared" si="3"/>
        <v>0</v>
      </c>
      <c r="AJ29" s="93">
        <f t="shared" si="4"/>
        <v>0</v>
      </c>
      <c r="AL29" s="206">
        <v>3722499.9</v>
      </c>
      <c r="AM29" s="207">
        <f t="shared" si="5"/>
        <v>3899275.9</v>
      </c>
      <c r="AN29" s="151">
        <f t="shared" si="6"/>
        <v>0.89999999990686774</v>
      </c>
      <c r="AO29" s="93">
        <f t="shared" si="7"/>
        <v>3722499</v>
      </c>
      <c r="AP29" s="93">
        <f t="shared" si="8"/>
        <v>82500</v>
      </c>
    </row>
    <row r="30" spans="2:42" s="27" customFormat="1">
      <c r="B30" s="97">
        <v>25</v>
      </c>
      <c r="C30" s="98" t="s">
        <v>292</v>
      </c>
      <c r="D30" s="42" t="s">
        <v>293</v>
      </c>
      <c r="E30" s="43" t="s">
        <v>359</v>
      </c>
      <c r="F30" s="41" t="s">
        <v>294</v>
      </c>
      <c r="G30" s="107" t="s">
        <v>88</v>
      </c>
      <c r="H30" s="44" t="s">
        <v>38</v>
      </c>
      <c r="I30" s="45" t="s">
        <v>7</v>
      </c>
      <c r="J30" s="58" t="str">
        <f t="shared" si="2"/>
        <v>TER A</v>
      </c>
      <c r="K30" s="210">
        <v>3639999.9</v>
      </c>
      <c r="L30" s="101">
        <f t="shared" si="9"/>
        <v>30575.999999999996</v>
      </c>
      <c r="M30" s="101">
        <f>'[17]MAINTENANCE-2'!AP35</f>
        <v>146200</v>
      </c>
      <c r="N30" s="101"/>
      <c r="O30" s="101"/>
      <c r="P30" s="101"/>
      <c r="Q30" s="46"/>
      <c r="R30" s="46"/>
      <c r="S30" s="46"/>
      <c r="T30" s="46">
        <f>'[17]MAINTENANCE-2'!X35</f>
        <v>67500</v>
      </c>
      <c r="U30" s="46"/>
      <c r="V30" s="101"/>
      <c r="W30" s="46"/>
      <c r="X30" s="46">
        <f>'[17]MAINTENANCE-2'!AC35</f>
        <v>15000</v>
      </c>
      <c r="Y30" s="46"/>
      <c r="Z30" s="46"/>
      <c r="AA30" s="46"/>
      <c r="AB30" s="46"/>
      <c r="AC30" s="231">
        <v>0</v>
      </c>
      <c r="AD30" s="46"/>
      <c r="AE30" s="46"/>
      <c r="AF30" s="62">
        <f t="shared" si="10"/>
        <v>3899275</v>
      </c>
      <c r="AG30" s="63">
        <f t="shared" si="1"/>
        <v>0</v>
      </c>
      <c r="AH30" s="106">
        <f t="shared" si="3"/>
        <v>0</v>
      </c>
      <c r="AJ30" s="93">
        <f t="shared" si="4"/>
        <v>0</v>
      </c>
      <c r="AL30" s="206">
        <v>3722499.9</v>
      </c>
      <c r="AM30" s="207">
        <f t="shared" si="5"/>
        <v>3899275.9</v>
      </c>
      <c r="AN30" s="151">
        <f t="shared" si="6"/>
        <v>0.89999999990686774</v>
      </c>
      <c r="AO30" s="93">
        <f t="shared" si="7"/>
        <v>3722499</v>
      </c>
      <c r="AP30" s="93">
        <f t="shared" si="8"/>
        <v>82500</v>
      </c>
    </row>
    <row r="31" spans="2:42" s="27" customFormat="1">
      <c r="B31" s="97">
        <v>26</v>
      </c>
      <c r="C31" s="98" t="s">
        <v>295</v>
      </c>
      <c r="D31" s="42" t="s">
        <v>296</v>
      </c>
      <c r="E31" s="43" t="s">
        <v>360</v>
      </c>
      <c r="F31" s="41" t="s">
        <v>297</v>
      </c>
      <c r="G31" s="107" t="s">
        <v>88</v>
      </c>
      <c r="H31" s="44" t="s">
        <v>39</v>
      </c>
      <c r="I31" s="45" t="s">
        <v>17</v>
      </c>
      <c r="J31" s="58" t="str">
        <f t="shared" si="2"/>
        <v>TER A</v>
      </c>
      <c r="K31" s="210">
        <v>3639999.9</v>
      </c>
      <c r="L31" s="101">
        <f t="shared" si="9"/>
        <v>30575.999999999996</v>
      </c>
      <c r="M31" s="101">
        <f>'[17]MAINTENANCE-2'!AP36</f>
        <v>146920</v>
      </c>
      <c r="N31" s="101"/>
      <c r="O31" s="101"/>
      <c r="P31" s="101"/>
      <c r="Q31" s="46"/>
      <c r="R31" s="46"/>
      <c r="S31" s="46"/>
      <c r="T31" s="46">
        <f>'[17]MAINTENANCE-2'!X36</f>
        <v>100800</v>
      </c>
      <c r="U31" s="46"/>
      <c r="V31" s="101"/>
      <c r="W31" s="46"/>
      <c r="X31" s="46">
        <f>'[17]MAINTENANCE-2'!AC36</f>
        <v>33000</v>
      </c>
      <c r="Y31" s="46"/>
      <c r="Z31" s="46"/>
      <c r="AA31" s="46"/>
      <c r="AB31" s="46"/>
      <c r="AC31" s="231">
        <v>-242666.66</v>
      </c>
      <c r="AD31" s="46"/>
      <c r="AE31" s="46"/>
      <c r="AF31" s="62">
        <f t="shared" si="10"/>
        <v>3708629</v>
      </c>
      <c r="AG31" s="63">
        <f t="shared" si="1"/>
        <v>0</v>
      </c>
      <c r="AH31" s="106">
        <f t="shared" si="3"/>
        <v>0</v>
      </c>
      <c r="AJ31" s="93">
        <f t="shared" si="4"/>
        <v>0</v>
      </c>
      <c r="AL31" s="206">
        <v>3531133.24</v>
      </c>
      <c r="AM31" s="207">
        <f t="shared" si="5"/>
        <v>3708629.24</v>
      </c>
      <c r="AN31" s="151">
        <f t="shared" si="6"/>
        <v>0.24000000022351742</v>
      </c>
      <c r="AO31" s="93">
        <f t="shared" si="7"/>
        <v>3531133</v>
      </c>
      <c r="AP31" s="93">
        <f t="shared" si="8"/>
        <v>-108866.66</v>
      </c>
    </row>
    <row r="32" spans="2:42" s="27" customFormat="1">
      <c r="B32" s="97">
        <v>27</v>
      </c>
      <c r="C32" s="98" t="s">
        <v>298</v>
      </c>
      <c r="D32" s="42" t="s">
        <v>299</v>
      </c>
      <c r="E32" s="43" t="s">
        <v>361</v>
      </c>
      <c r="F32" s="41" t="s">
        <v>300</v>
      </c>
      <c r="G32" s="107" t="s">
        <v>88</v>
      </c>
      <c r="H32" s="44" t="s">
        <v>38</v>
      </c>
      <c r="I32" s="45" t="s">
        <v>7</v>
      </c>
      <c r="J32" s="58" t="str">
        <f t="shared" si="2"/>
        <v>TER A</v>
      </c>
      <c r="K32" s="210">
        <v>3639999.9</v>
      </c>
      <c r="L32" s="101">
        <f t="shared" si="9"/>
        <v>30575.999999999996</v>
      </c>
      <c r="M32" s="101">
        <f>'[17]MAINTENANCE-2'!AP37</f>
        <v>147340</v>
      </c>
      <c r="N32" s="101"/>
      <c r="O32" s="101"/>
      <c r="P32" s="101"/>
      <c r="Q32" s="46"/>
      <c r="R32" s="46"/>
      <c r="S32" s="46"/>
      <c r="T32" s="46">
        <f>'[17]MAINTENANCE-2'!X37</f>
        <v>65250</v>
      </c>
      <c r="U32" s="46"/>
      <c r="V32" s="101"/>
      <c r="W32" s="46"/>
      <c r="X32" s="46">
        <f>'[17]MAINTENANCE-2'!AC37</f>
        <v>43500</v>
      </c>
      <c r="Y32" s="46"/>
      <c r="Z32" s="46"/>
      <c r="AA32" s="46"/>
      <c r="AB32" s="46"/>
      <c r="AC32" s="231">
        <v>-121333.33</v>
      </c>
      <c r="AD32" s="46"/>
      <c r="AE32" s="46"/>
      <c r="AF32" s="62">
        <f t="shared" si="10"/>
        <v>3805332</v>
      </c>
      <c r="AG32" s="63">
        <f t="shared" si="1"/>
        <v>0</v>
      </c>
      <c r="AH32" s="106">
        <f t="shared" si="3"/>
        <v>0</v>
      </c>
      <c r="AJ32" s="93">
        <f t="shared" si="4"/>
        <v>0</v>
      </c>
      <c r="AL32" s="206">
        <v>3627416.5700000003</v>
      </c>
      <c r="AM32" s="207">
        <f t="shared" si="5"/>
        <v>3805332.5700000003</v>
      </c>
      <c r="AN32" s="151">
        <f t="shared" si="6"/>
        <v>0.57000000029802322</v>
      </c>
      <c r="AO32" s="93">
        <f t="shared" si="7"/>
        <v>3627416</v>
      </c>
      <c r="AP32" s="93">
        <f t="shared" si="8"/>
        <v>-12583.330000000002</v>
      </c>
    </row>
    <row r="33" spans="2:42" s="27" customFormat="1">
      <c r="B33" s="97">
        <v>28</v>
      </c>
      <c r="C33" s="98" t="s">
        <v>301</v>
      </c>
      <c r="D33" s="42" t="s">
        <v>302</v>
      </c>
      <c r="E33" s="43" t="s">
        <v>362</v>
      </c>
      <c r="F33" s="41" t="s">
        <v>303</v>
      </c>
      <c r="G33" s="107" t="s">
        <v>88</v>
      </c>
      <c r="H33" s="44" t="s">
        <v>39</v>
      </c>
      <c r="I33" s="45" t="s">
        <v>11</v>
      </c>
      <c r="J33" s="58" t="str">
        <f t="shared" si="2"/>
        <v>TER B</v>
      </c>
      <c r="K33" s="210">
        <v>3639999.9</v>
      </c>
      <c r="L33" s="101">
        <f t="shared" si="9"/>
        <v>30575.999999999996</v>
      </c>
      <c r="M33" s="101">
        <f>'[17]MAINTENANCE-2'!AP38</f>
        <v>147480</v>
      </c>
      <c r="N33" s="101"/>
      <c r="O33" s="101"/>
      <c r="P33" s="101"/>
      <c r="Q33" s="46"/>
      <c r="R33" s="46"/>
      <c r="S33" s="46"/>
      <c r="T33" s="46">
        <f>'[17]MAINTENANCE-2'!X38</f>
        <v>151200</v>
      </c>
      <c r="U33" s="46"/>
      <c r="V33" s="101"/>
      <c r="W33" s="46"/>
      <c r="X33" s="46">
        <f>'[17]MAINTENANCE-2'!AC38</f>
        <v>47000</v>
      </c>
      <c r="Y33" s="46"/>
      <c r="Z33" s="46"/>
      <c r="AA33" s="46"/>
      <c r="AB33" s="46"/>
      <c r="AC33" s="231">
        <v>-242666.66</v>
      </c>
      <c r="AD33" s="46"/>
      <c r="AE33" s="46"/>
      <c r="AF33" s="62">
        <f t="shared" si="10"/>
        <v>3773589</v>
      </c>
      <c r="AG33" s="63">
        <f t="shared" si="1"/>
        <v>0</v>
      </c>
      <c r="AH33" s="106">
        <f t="shared" si="3"/>
        <v>0</v>
      </c>
      <c r="AJ33" s="93">
        <f t="shared" si="4"/>
        <v>0</v>
      </c>
      <c r="AL33" s="206">
        <v>3595533.2399999998</v>
      </c>
      <c r="AM33" s="207">
        <f t="shared" si="5"/>
        <v>3773589.2399999998</v>
      </c>
      <c r="AN33" s="151">
        <f t="shared" si="6"/>
        <v>0.23999999975785613</v>
      </c>
      <c r="AO33" s="93">
        <f t="shared" si="7"/>
        <v>3595533</v>
      </c>
      <c r="AP33" s="93">
        <f t="shared" si="8"/>
        <v>-44466.66</v>
      </c>
    </row>
    <row r="34" spans="2:42" s="27" customFormat="1">
      <c r="B34" s="97">
        <v>29</v>
      </c>
      <c r="C34" s="98" t="s">
        <v>304</v>
      </c>
      <c r="D34" s="42" t="s">
        <v>305</v>
      </c>
      <c r="E34" s="209" t="s">
        <v>73</v>
      </c>
      <c r="F34" s="41" t="s">
        <v>306</v>
      </c>
      <c r="G34" s="107" t="s">
        <v>88</v>
      </c>
      <c r="H34" s="44" t="s">
        <v>39</v>
      </c>
      <c r="I34" s="45" t="s">
        <v>11</v>
      </c>
      <c r="J34" s="58" t="str">
        <f t="shared" si="2"/>
        <v>TER B</v>
      </c>
      <c r="K34" s="210">
        <v>3639999.9</v>
      </c>
      <c r="L34" s="101">
        <f t="shared" si="9"/>
        <v>30575.999999999996</v>
      </c>
      <c r="M34" s="101">
        <f>'[17]MAINTENANCE-2'!AP39</f>
        <v>146440</v>
      </c>
      <c r="N34" s="101"/>
      <c r="O34" s="101"/>
      <c r="P34" s="101"/>
      <c r="Q34" s="46"/>
      <c r="R34" s="46"/>
      <c r="S34" s="46"/>
      <c r="T34" s="46">
        <f>'[17]MAINTENANCE-2'!X39</f>
        <v>151200</v>
      </c>
      <c r="U34" s="46"/>
      <c r="V34" s="101"/>
      <c r="W34" s="46"/>
      <c r="X34" s="46">
        <f>'[17]MAINTENANCE-2'!AC39</f>
        <v>21000</v>
      </c>
      <c r="Y34" s="46"/>
      <c r="Z34" s="46"/>
      <c r="AA34" s="46"/>
      <c r="AB34" s="46"/>
      <c r="AC34" s="231">
        <v>-242666.66</v>
      </c>
      <c r="AD34" s="46"/>
      <c r="AE34" s="46"/>
      <c r="AF34" s="62">
        <f t="shared" si="10"/>
        <v>3746549</v>
      </c>
      <c r="AG34" s="63">
        <f t="shared" si="1"/>
        <v>0</v>
      </c>
      <c r="AH34" s="106">
        <f t="shared" si="3"/>
        <v>0</v>
      </c>
      <c r="AJ34" s="93">
        <f t="shared" si="4"/>
        <v>0</v>
      </c>
      <c r="AL34" s="206">
        <v>3569533.24</v>
      </c>
      <c r="AM34" s="207">
        <f t="shared" si="5"/>
        <v>3746549.24</v>
      </c>
      <c r="AN34" s="151">
        <f t="shared" si="6"/>
        <v>0.24000000022351742</v>
      </c>
      <c r="AO34" s="93">
        <f t="shared" si="7"/>
        <v>3569533</v>
      </c>
      <c r="AP34" s="93">
        <f t="shared" si="8"/>
        <v>-70466.66</v>
      </c>
    </row>
    <row r="35" spans="2:42" s="27" customFormat="1">
      <c r="B35" s="97">
        <v>30</v>
      </c>
      <c r="C35" s="98" t="s">
        <v>307</v>
      </c>
      <c r="D35" s="42" t="s">
        <v>308</v>
      </c>
      <c r="E35" s="43" t="s">
        <v>363</v>
      </c>
      <c r="F35" s="41" t="s">
        <v>309</v>
      </c>
      <c r="G35" s="107" t="s">
        <v>88</v>
      </c>
      <c r="H35" s="44" t="s">
        <v>38</v>
      </c>
      <c r="I35" s="45" t="s">
        <v>7</v>
      </c>
      <c r="J35" s="58" t="str">
        <f t="shared" si="2"/>
        <v>TER A</v>
      </c>
      <c r="K35" s="210">
        <v>3639999.9</v>
      </c>
      <c r="L35" s="101">
        <f t="shared" si="9"/>
        <v>30575.999999999996</v>
      </c>
      <c r="M35" s="101">
        <f>'[17]MAINTENANCE-2'!AP40</f>
        <v>146200</v>
      </c>
      <c r="N35" s="101"/>
      <c r="O35" s="101"/>
      <c r="P35" s="101"/>
      <c r="Q35" s="46"/>
      <c r="R35" s="46"/>
      <c r="S35" s="46"/>
      <c r="T35" s="46">
        <f>'[17]MAINTENANCE-2'!X40</f>
        <v>67500</v>
      </c>
      <c r="U35" s="46"/>
      <c r="V35" s="101"/>
      <c r="W35" s="46"/>
      <c r="X35" s="46">
        <f>'[17]MAINTENANCE-2'!AC40</f>
        <v>15000</v>
      </c>
      <c r="Y35" s="46"/>
      <c r="Z35" s="46"/>
      <c r="AA35" s="46"/>
      <c r="AB35" s="46"/>
      <c r="AC35" s="231">
        <v>0</v>
      </c>
      <c r="AD35" s="46"/>
      <c r="AE35" s="46"/>
      <c r="AF35" s="62">
        <f t="shared" si="10"/>
        <v>3899275</v>
      </c>
      <c r="AG35" s="63">
        <f t="shared" si="1"/>
        <v>0</v>
      </c>
      <c r="AH35" s="106">
        <f t="shared" si="3"/>
        <v>0</v>
      </c>
      <c r="AJ35" s="93">
        <f t="shared" si="4"/>
        <v>0</v>
      </c>
      <c r="AL35" s="206">
        <v>3722499.9</v>
      </c>
      <c r="AM35" s="207">
        <f t="shared" si="5"/>
        <v>3899275.9</v>
      </c>
      <c r="AN35" s="151">
        <f t="shared" si="6"/>
        <v>0.89999999990686774</v>
      </c>
      <c r="AO35" s="93">
        <f t="shared" si="7"/>
        <v>3722499</v>
      </c>
      <c r="AP35" s="93">
        <f t="shared" si="8"/>
        <v>82500</v>
      </c>
    </row>
    <row r="36" spans="2:42" s="27" customFormat="1">
      <c r="B36" s="97">
        <v>31</v>
      </c>
      <c r="C36" s="98" t="s">
        <v>313</v>
      </c>
      <c r="D36" s="42" t="s">
        <v>314</v>
      </c>
      <c r="E36" s="43" t="s">
        <v>364</v>
      </c>
      <c r="F36" s="41" t="s">
        <v>315</v>
      </c>
      <c r="G36" s="107" t="s">
        <v>88</v>
      </c>
      <c r="H36" s="44" t="s">
        <v>38</v>
      </c>
      <c r="I36" s="45" t="s">
        <v>7</v>
      </c>
      <c r="J36" s="58" t="str">
        <f t="shared" si="2"/>
        <v>TER A</v>
      </c>
      <c r="K36" s="210">
        <v>3639999.9</v>
      </c>
      <c r="L36" s="101">
        <f t="shared" si="9"/>
        <v>30575.999999999996</v>
      </c>
      <c r="M36" s="101">
        <f>'[17]MAINTENANCE-2'!AP41</f>
        <v>147480</v>
      </c>
      <c r="N36" s="101"/>
      <c r="O36" s="101"/>
      <c r="P36" s="101"/>
      <c r="Q36" s="46"/>
      <c r="R36" s="46"/>
      <c r="S36" s="46"/>
      <c r="T36" s="46">
        <f>'[17]MAINTENANCE-2'!X41</f>
        <v>65250</v>
      </c>
      <c r="U36" s="46"/>
      <c r="V36" s="101"/>
      <c r="W36" s="46"/>
      <c r="X36" s="46">
        <f>'[17]MAINTENANCE-2'!AC41</f>
        <v>47000</v>
      </c>
      <c r="Y36" s="46"/>
      <c r="Z36" s="46"/>
      <c r="AA36" s="46"/>
      <c r="AB36" s="46"/>
      <c r="AC36" s="231">
        <v>-121333.33</v>
      </c>
      <c r="AD36" s="46"/>
      <c r="AE36" s="46"/>
      <c r="AF36" s="62">
        <f t="shared" si="10"/>
        <v>3808972</v>
      </c>
      <c r="AG36" s="63">
        <f t="shared" si="1"/>
        <v>0</v>
      </c>
      <c r="AH36" s="106">
        <f t="shared" si="3"/>
        <v>0</v>
      </c>
      <c r="AJ36" s="93">
        <f t="shared" si="4"/>
        <v>0</v>
      </c>
      <c r="AL36" s="206">
        <v>3630916.5700000003</v>
      </c>
      <c r="AM36" s="207">
        <f t="shared" si="5"/>
        <v>3808972.5700000003</v>
      </c>
      <c r="AN36" s="151">
        <f t="shared" si="6"/>
        <v>0.57000000029802322</v>
      </c>
      <c r="AO36" s="93">
        <f t="shared" si="7"/>
        <v>3630916</v>
      </c>
      <c r="AP36" s="93">
        <f t="shared" si="8"/>
        <v>-9083.3300000000017</v>
      </c>
    </row>
    <row r="37" spans="2:42" s="27" customFormat="1">
      <c r="B37" s="97">
        <v>32</v>
      </c>
      <c r="C37" s="98" t="s">
        <v>365</v>
      </c>
      <c r="D37" s="42" t="s">
        <v>366</v>
      </c>
      <c r="E37" s="43" t="s">
        <v>367</v>
      </c>
      <c r="F37" s="41" t="s">
        <v>368</v>
      </c>
      <c r="G37" s="107" t="s">
        <v>88</v>
      </c>
      <c r="H37" s="44" t="s">
        <v>369</v>
      </c>
      <c r="I37" s="45" t="s">
        <v>11</v>
      </c>
      <c r="J37" s="58" t="str">
        <f t="shared" si="2"/>
        <v>TER B</v>
      </c>
      <c r="K37" s="60">
        <v>3714999.9</v>
      </c>
      <c r="L37" s="101">
        <f>3715000*0.84%</f>
        <v>31205.999999999996</v>
      </c>
      <c r="M37" s="101">
        <f>'[17]MAINTENANCE-2'!AP42</f>
        <v>150340</v>
      </c>
      <c r="N37" s="101"/>
      <c r="O37" s="101"/>
      <c r="P37" s="101"/>
      <c r="Q37" s="46"/>
      <c r="R37" s="101"/>
      <c r="S37" s="101"/>
      <c r="T37" s="46">
        <f>'[17]MAINTENANCE-2'!X42</f>
        <v>156600</v>
      </c>
      <c r="U37" s="46"/>
      <c r="V37" s="101">
        <v>300635.84000000003</v>
      </c>
      <c r="W37" s="46"/>
      <c r="X37" s="46">
        <f>'[17]MAINTENANCE-2'!AC42</f>
        <v>43500</v>
      </c>
      <c r="Y37" s="46"/>
      <c r="Z37" s="46"/>
      <c r="AA37" s="46"/>
      <c r="AB37" s="46"/>
      <c r="AC37" s="231">
        <v>-123833.33</v>
      </c>
      <c r="AD37" s="46"/>
      <c r="AE37" s="46"/>
      <c r="AF37" s="62">
        <f t="shared" si="10"/>
        <v>4273448</v>
      </c>
      <c r="AG37" s="63">
        <f t="shared" si="1"/>
        <v>0</v>
      </c>
      <c r="AH37" s="106">
        <f t="shared" si="3"/>
        <v>0</v>
      </c>
      <c r="AJ37" s="93">
        <f t="shared" si="4"/>
        <v>0</v>
      </c>
      <c r="AL37" s="206">
        <v>4091902.4099999997</v>
      </c>
      <c r="AM37" s="207">
        <f t="shared" si="5"/>
        <v>4273448.41</v>
      </c>
      <c r="AN37" s="151">
        <f t="shared" si="6"/>
        <v>0.41000000014901161</v>
      </c>
      <c r="AO37" s="93">
        <f t="shared" si="7"/>
        <v>4091902</v>
      </c>
      <c r="AP37" s="93">
        <f t="shared" si="8"/>
        <v>376902.51</v>
      </c>
    </row>
    <row r="38" spans="2:42" s="27" customFormat="1">
      <c r="B38" s="97">
        <v>33</v>
      </c>
      <c r="C38" s="98" t="s">
        <v>316</v>
      </c>
      <c r="D38" s="42" t="s">
        <v>317</v>
      </c>
      <c r="E38" s="43" t="s">
        <v>370</v>
      </c>
      <c r="F38" s="41" t="s">
        <v>318</v>
      </c>
      <c r="G38" s="107" t="s">
        <v>87</v>
      </c>
      <c r="H38" s="44" t="s">
        <v>39</v>
      </c>
      <c r="I38" s="45" t="s">
        <v>9</v>
      </c>
      <c r="J38" s="58" t="str">
        <f t="shared" si="2"/>
        <v>TER B</v>
      </c>
      <c r="K38" s="210">
        <v>3639999.9</v>
      </c>
      <c r="L38" s="46">
        <f>3640000*0.84%</f>
        <v>30575.999999999996</v>
      </c>
      <c r="M38" s="101">
        <f>[17]TRANSPORT!AJ11</f>
        <v>147480</v>
      </c>
      <c r="N38" s="101">
        <v>612500</v>
      </c>
      <c r="O38" s="101">
        <v>147000</v>
      </c>
      <c r="P38" s="101">
        <v>79000</v>
      </c>
      <c r="Q38" s="46">
        <v>149400</v>
      </c>
      <c r="R38" s="46"/>
      <c r="S38" s="46"/>
      <c r="T38" s="46">
        <f>[17]TRANSPORT!T11</f>
        <v>135000</v>
      </c>
      <c r="U38" s="46">
        <v>60000</v>
      </c>
      <c r="V38" s="101">
        <v>883699.32</v>
      </c>
      <c r="W38" s="46"/>
      <c r="X38" s="46">
        <f>[17]TRANSPORT!Y11</f>
        <v>47000</v>
      </c>
      <c r="Y38" s="46"/>
      <c r="Z38" s="46"/>
      <c r="AA38" s="46"/>
      <c r="AB38" s="46"/>
      <c r="AC38" s="231"/>
      <c r="AD38" s="46"/>
      <c r="AE38" s="46"/>
      <c r="AF38" s="62">
        <f t="shared" si="10"/>
        <v>5931655</v>
      </c>
      <c r="AG38" s="63">
        <f t="shared" ref="AG38:AG43" si="11">IF(J38="TER A",VLOOKUP(AF38,Ter_A,4,TRUE),IF(J38="TER B",VLOOKUP(AF38,Ter_B,4,TRUE),VLOOKUP(AF38,Ter_C,4,TRUE)))</f>
        <v>0</v>
      </c>
      <c r="AH38" s="106">
        <f t="shared" si="3"/>
        <v>0</v>
      </c>
      <c r="AJ38" s="93">
        <f t="shared" si="4"/>
        <v>0</v>
      </c>
      <c r="AL38" s="92">
        <v>5753599.2200000007</v>
      </c>
      <c r="AM38" s="207">
        <f t="shared" si="5"/>
        <v>5931655.2200000007</v>
      </c>
      <c r="AN38" s="151">
        <f t="shared" si="6"/>
        <v>0.22000000067055225</v>
      </c>
      <c r="AO38" s="93">
        <f t="shared" si="7"/>
        <v>5753599</v>
      </c>
      <c r="AP38" s="93">
        <f t="shared" si="8"/>
        <v>2113599.3199999998</v>
      </c>
    </row>
    <row r="39" spans="2:42" s="27" customFormat="1">
      <c r="B39" s="97">
        <v>34</v>
      </c>
      <c r="C39" s="98" t="s">
        <v>393</v>
      </c>
      <c r="D39" s="42" t="s">
        <v>320</v>
      </c>
      <c r="E39" s="43" t="s">
        <v>371</v>
      </c>
      <c r="F39" s="41" t="s">
        <v>321</v>
      </c>
      <c r="G39" s="107" t="s">
        <v>372</v>
      </c>
      <c r="H39" s="44" t="s">
        <v>39</v>
      </c>
      <c r="I39" s="45" t="s">
        <v>9</v>
      </c>
      <c r="J39" s="58" t="str">
        <f t="shared" si="2"/>
        <v>TER B</v>
      </c>
      <c r="K39" s="210">
        <v>3639999.9</v>
      </c>
      <c r="L39" s="46">
        <f t="shared" ref="L39:L43" si="12">3640000*0.84%</f>
        <v>30575.999999999996</v>
      </c>
      <c r="M39" s="101">
        <f>[17]TRANSPORT!AJ12</f>
        <v>146800</v>
      </c>
      <c r="N39" s="101">
        <v>754700</v>
      </c>
      <c r="O39" s="101">
        <v>147000</v>
      </c>
      <c r="P39" s="101">
        <v>108000</v>
      </c>
      <c r="Q39" s="46">
        <v>177000</v>
      </c>
      <c r="R39" s="46"/>
      <c r="S39" s="46"/>
      <c r="T39" s="46">
        <f>[17]TRANSPORT!T12</f>
        <v>135000</v>
      </c>
      <c r="U39" s="46">
        <v>42000</v>
      </c>
      <c r="V39" s="46">
        <v>957340.93</v>
      </c>
      <c r="W39" s="46"/>
      <c r="X39" s="46">
        <f>[17]TRANSPORT!Y12</f>
        <v>30000</v>
      </c>
      <c r="Y39" s="46"/>
      <c r="Z39" s="46"/>
      <c r="AA39" s="46"/>
      <c r="AB39" s="46"/>
      <c r="AC39" s="231"/>
      <c r="AD39" s="46"/>
      <c r="AE39" s="46"/>
      <c r="AF39" s="62">
        <f t="shared" si="10"/>
        <v>6168416</v>
      </c>
      <c r="AG39" s="63">
        <f t="shared" si="11"/>
        <v>0</v>
      </c>
      <c r="AH39" s="106">
        <f t="shared" si="3"/>
        <v>0</v>
      </c>
      <c r="AJ39" s="93">
        <f t="shared" si="4"/>
        <v>0</v>
      </c>
      <c r="AL39" s="92">
        <v>5991040.8300000001</v>
      </c>
      <c r="AM39" s="207">
        <f t="shared" si="5"/>
        <v>6168416.8300000001</v>
      </c>
      <c r="AN39" s="151">
        <f t="shared" si="6"/>
        <v>0.83000000007450581</v>
      </c>
      <c r="AO39" s="93">
        <f t="shared" si="7"/>
        <v>5991040</v>
      </c>
      <c r="AP39" s="93">
        <f t="shared" si="8"/>
        <v>2351040.9300000002</v>
      </c>
    </row>
    <row r="40" spans="2:42" s="27" customFormat="1">
      <c r="B40" s="97">
        <v>35</v>
      </c>
      <c r="C40" s="98" t="s">
        <v>322</v>
      </c>
      <c r="D40" s="42" t="s">
        <v>323</v>
      </c>
      <c r="E40" s="43" t="s">
        <v>373</v>
      </c>
      <c r="F40" s="41" t="s">
        <v>223</v>
      </c>
      <c r="G40" s="107" t="s">
        <v>87</v>
      </c>
      <c r="H40" s="44" t="s">
        <v>39</v>
      </c>
      <c r="I40" s="45" t="s">
        <v>11</v>
      </c>
      <c r="J40" s="58" t="str">
        <f t="shared" si="2"/>
        <v>TER B</v>
      </c>
      <c r="K40" s="210">
        <v>3639999.9</v>
      </c>
      <c r="L40" s="46">
        <f t="shared" si="12"/>
        <v>30575.999999999996</v>
      </c>
      <c r="M40" s="101">
        <f>[17]TRANSPORT!AJ13</f>
        <v>148040</v>
      </c>
      <c r="N40" s="101">
        <v>148500</v>
      </c>
      <c r="O40" s="101">
        <v>471000</v>
      </c>
      <c r="P40" s="101">
        <v>151500</v>
      </c>
      <c r="Q40" s="46">
        <v>19200</v>
      </c>
      <c r="R40" s="46"/>
      <c r="S40" s="46"/>
      <c r="T40" s="46">
        <f>[17]TRANSPORT!T13</f>
        <v>162000</v>
      </c>
      <c r="U40" s="46">
        <v>63000</v>
      </c>
      <c r="V40" s="46">
        <v>967861.16</v>
      </c>
      <c r="W40" s="46"/>
      <c r="X40" s="46">
        <f>[17]TRANSPORT!Y13</f>
        <v>61000</v>
      </c>
      <c r="Y40" s="46"/>
      <c r="Z40" s="46"/>
      <c r="AA40" s="46"/>
      <c r="AB40" s="46"/>
      <c r="AC40" s="231"/>
      <c r="AD40" s="46"/>
      <c r="AE40" s="46"/>
      <c r="AF40" s="62">
        <f t="shared" si="10"/>
        <v>5862677</v>
      </c>
      <c r="AG40" s="63">
        <f t="shared" si="11"/>
        <v>0</v>
      </c>
      <c r="AH40" s="106">
        <f t="shared" si="3"/>
        <v>0</v>
      </c>
      <c r="AJ40" s="93">
        <f t="shared" si="4"/>
        <v>0</v>
      </c>
      <c r="AL40" s="92">
        <v>5684061.0600000005</v>
      </c>
      <c r="AM40" s="207">
        <f t="shared" si="5"/>
        <v>5862677.0600000005</v>
      </c>
      <c r="AN40" s="151">
        <f t="shared" si="6"/>
        <v>6.0000000521540642E-2</v>
      </c>
      <c r="AO40" s="93">
        <f t="shared" si="7"/>
        <v>5684061</v>
      </c>
      <c r="AP40" s="93">
        <f t="shared" si="8"/>
        <v>2044061.1600000001</v>
      </c>
    </row>
    <row r="41" spans="2:42" s="27" customFormat="1">
      <c r="B41" s="97">
        <v>36</v>
      </c>
      <c r="C41" s="98" t="s">
        <v>324</v>
      </c>
      <c r="D41" s="42" t="s">
        <v>325</v>
      </c>
      <c r="E41" s="43" t="s">
        <v>374</v>
      </c>
      <c r="F41" s="41" t="s">
        <v>223</v>
      </c>
      <c r="G41" s="107" t="s">
        <v>372</v>
      </c>
      <c r="H41" s="44" t="s">
        <v>39</v>
      </c>
      <c r="I41" s="45" t="s">
        <v>11</v>
      </c>
      <c r="J41" s="58" t="str">
        <f t="shared" si="2"/>
        <v>TER B</v>
      </c>
      <c r="K41" s="210">
        <v>3639999.9</v>
      </c>
      <c r="L41" s="46">
        <f t="shared" si="12"/>
        <v>30575.999999999996</v>
      </c>
      <c r="M41" s="101">
        <f>[17]TRANSPORT!AJ14</f>
        <v>148040</v>
      </c>
      <c r="N41" s="101">
        <v>148500</v>
      </c>
      <c r="O41" s="101">
        <v>471000</v>
      </c>
      <c r="P41" s="101">
        <v>151000</v>
      </c>
      <c r="Q41" s="46">
        <v>19200</v>
      </c>
      <c r="R41" s="46"/>
      <c r="S41" s="46"/>
      <c r="T41" s="46">
        <f>[17]TRANSPORT!T14</f>
        <v>162000</v>
      </c>
      <c r="U41" s="46">
        <v>42000</v>
      </c>
      <c r="V41" s="46">
        <v>852138.63</v>
      </c>
      <c r="W41" s="46"/>
      <c r="X41" s="46">
        <f>[17]TRANSPORT!Y14</f>
        <v>61000</v>
      </c>
      <c r="Y41" s="46"/>
      <c r="Z41" s="46"/>
      <c r="AA41" s="46"/>
      <c r="AB41" s="46"/>
      <c r="AC41" s="231"/>
      <c r="AD41" s="46"/>
      <c r="AE41" s="46"/>
      <c r="AF41" s="62">
        <f t="shared" si="10"/>
        <v>5725454</v>
      </c>
      <c r="AG41" s="63">
        <f t="shared" si="11"/>
        <v>0</v>
      </c>
      <c r="AH41" s="106">
        <f t="shared" si="3"/>
        <v>0</v>
      </c>
      <c r="AJ41" s="93">
        <f t="shared" si="4"/>
        <v>0</v>
      </c>
      <c r="AL41" s="92">
        <v>5546838.5300000003</v>
      </c>
      <c r="AM41" s="207">
        <f t="shared" si="5"/>
        <v>5725454.5300000003</v>
      </c>
      <c r="AN41" s="151">
        <f t="shared" si="6"/>
        <v>0.53000000026077032</v>
      </c>
      <c r="AO41" s="93">
        <f t="shared" si="7"/>
        <v>5546838</v>
      </c>
      <c r="AP41" s="93">
        <f t="shared" si="8"/>
        <v>1906838.63</v>
      </c>
    </row>
    <row r="42" spans="2:42" s="27" customFormat="1">
      <c r="B42" s="97">
        <v>37</v>
      </c>
      <c r="C42" s="98" t="s">
        <v>209</v>
      </c>
      <c r="D42" s="42" t="s">
        <v>210</v>
      </c>
      <c r="E42" s="209" t="s">
        <v>73</v>
      </c>
      <c r="F42" s="41" t="s">
        <v>211</v>
      </c>
      <c r="G42" s="107" t="s">
        <v>375</v>
      </c>
      <c r="H42" s="44" t="s">
        <v>39</v>
      </c>
      <c r="I42" s="45" t="s">
        <v>9</v>
      </c>
      <c r="J42" s="58" t="str">
        <f t="shared" si="2"/>
        <v>TER B</v>
      </c>
      <c r="K42" s="210">
        <v>3639999.9</v>
      </c>
      <c r="L42" s="46">
        <f t="shared" si="12"/>
        <v>30575.999999999996</v>
      </c>
      <c r="M42" s="46">
        <f>[17]HARVESTING!AS11</f>
        <v>146100</v>
      </c>
      <c r="N42" s="46"/>
      <c r="O42" s="46"/>
      <c r="P42" s="46"/>
      <c r="Q42" s="46"/>
      <c r="R42" s="46"/>
      <c r="S42" s="46">
        <v>297150</v>
      </c>
      <c r="T42" s="46">
        <f>[17]HARVESTING!X11</f>
        <v>130500</v>
      </c>
      <c r="U42" s="46"/>
      <c r="V42" s="46"/>
      <c r="W42" s="46"/>
      <c r="X42" s="46">
        <f>[17]HARVESTING!AC11</f>
        <v>12500</v>
      </c>
      <c r="Y42" s="46"/>
      <c r="Z42" s="46"/>
      <c r="AA42" s="46"/>
      <c r="AB42" s="46"/>
      <c r="AC42" s="231">
        <v>-121333.33</v>
      </c>
      <c r="AD42" s="46"/>
      <c r="AE42" s="46"/>
      <c r="AF42" s="62">
        <f t="shared" si="10"/>
        <v>4135492</v>
      </c>
      <c r="AG42" s="63">
        <f t="shared" si="11"/>
        <v>0</v>
      </c>
      <c r="AH42" s="106">
        <f t="shared" si="3"/>
        <v>0</v>
      </c>
      <c r="AJ42" s="93">
        <f t="shared" si="4"/>
        <v>0</v>
      </c>
      <c r="AL42" s="92">
        <v>3958816.57</v>
      </c>
      <c r="AM42" s="207">
        <f t="shared" si="5"/>
        <v>4135492.57</v>
      </c>
      <c r="AN42" s="151">
        <f t="shared" si="6"/>
        <v>0.56999999983236194</v>
      </c>
      <c r="AO42" s="93">
        <f t="shared" si="7"/>
        <v>3958816</v>
      </c>
      <c r="AP42" s="93">
        <f t="shared" si="8"/>
        <v>318816.67</v>
      </c>
    </row>
    <row r="43" spans="2:42" s="27" customFormat="1">
      <c r="B43" s="97">
        <v>38</v>
      </c>
      <c r="C43" s="98" t="s">
        <v>212</v>
      </c>
      <c r="D43" s="42" t="s">
        <v>213</v>
      </c>
      <c r="E43" s="209" t="s">
        <v>73</v>
      </c>
      <c r="F43" s="41" t="s">
        <v>214</v>
      </c>
      <c r="G43" s="107" t="s">
        <v>375</v>
      </c>
      <c r="H43" s="44" t="s">
        <v>39</v>
      </c>
      <c r="I43" s="45" t="s">
        <v>9</v>
      </c>
      <c r="J43" s="58" t="str">
        <f t="shared" si="2"/>
        <v>TER B</v>
      </c>
      <c r="K43" s="210">
        <v>3639999.9</v>
      </c>
      <c r="L43" s="46">
        <f t="shared" si="12"/>
        <v>30575.999999999996</v>
      </c>
      <c r="M43" s="46">
        <f>[17]HARVESTING!AS12</f>
        <v>146100</v>
      </c>
      <c r="N43" s="46"/>
      <c r="O43" s="46"/>
      <c r="P43" s="46"/>
      <c r="Q43" s="46"/>
      <c r="R43" s="46"/>
      <c r="S43" s="46">
        <v>301350</v>
      </c>
      <c r="T43" s="46">
        <f>[17]HARVESTING!X12</f>
        <v>130500</v>
      </c>
      <c r="U43" s="46"/>
      <c r="V43" s="46"/>
      <c r="W43" s="46"/>
      <c r="X43" s="46">
        <f>[17]HARVESTING!AC12</f>
        <v>12500</v>
      </c>
      <c r="Y43" s="46"/>
      <c r="Z43" s="46"/>
      <c r="AA43" s="46"/>
      <c r="AB43" s="46"/>
      <c r="AC43" s="231">
        <v>-121333.33</v>
      </c>
      <c r="AD43" s="46"/>
      <c r="AE43" s="46"/>
      <c r="AF43" s="62">
        <f t="shared" si="10"/>
        <v>4139692</v>
      </c>
      <c r="AG43" s="63">
        <f t="shared" si="11"/>
        <v>0</v>
      </c>
      <c r="AH43" s="106">
        <f t="shared" si="3"/>
        <v>0</v>
      </c>
      <c r="AJ43" s="93">
        <f t="shared" si="4"/>
        <v>0</v>
      </c>
      <c r="AL43" s="92">
        <v>3963016.57</v>
      </c>
      <c r="AM43" s="207">
        <f t="shared" si="5"/>
        <v>4139692.57</v>
      </c>
      <c r="AN43" s="151">
        <f t="shared" si="6"/>
        <v>0.56999999983236194</v>
      </c>
      <c r="AO43" s="93">
        <f t="shared" si="7"/>
        <v>3963016</v>
      </c>
      <c r="AP43" s="93">
        <f t="shared" si="8"/>
        <v>323016.67</v>
      </c>
    </row>
    <row r="44" spans="2:42" s="27" customFormat="1" ht="13.5" thickBot="1">
      <c r="B44" s="97"/>
      <c r="C44" s="98"/>
      <c r="D44" s="42"/>
      <c r="E44" s="43"/>
      <c r="F44" s="41"/>
      <c r="G44" s="107"/>
      <c r="H44" s="44"/>
      <c r="I44" s="45"/>
      <c r="J44" s="58"/>
      <c r="K44" s="60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62"/>
      <c r="AG44" s="63"/>
      <c r="AH44" s="108"/>
      <c r="AJ44" s="93">
        <f t="shared" ref="AJ44" si="13">AI44-AH44</f>
        <v>0</v>
      </c>
      <c r="AM44" s="207">
        <f t="shared" ref="AM44" si="14">AL44+L44+M44</f>
        <v>0</v>
      </c>
      <c r="AO44" s="93">
        <f t="shared" ref="AO44" si="15">AF44-L44-M44</f>
        <v>0</v>
      </c>
    </row>
    <row r="45" spans="2:42" s="52" customFormat="1" ht="13.5" thickBot="1">
      <c r="B45" s="82"/>
      <c r="C45" s="83"/>
      <c r="D45" s="83"/>
      <c r="E45" s="83"/>
      <c r="F45" s="83"/>
      <c r="G45" s="83"/>
      <c r="H45" s="83"/>
      <c r="I45" s="83"/>
      <c r="J45" s="83"/>
      <c r="K45" s="84">
        <f t="shared" ref="K45:AH45" si="16">SUM(K6:K44)</f>
        <v>138424996.20000008</v>
      </c>
      <c r="L45" s="84">
        <f t="shared" si="16"/>
        <v>1162769.9999999998</v>
      </c>
      <c r="M45" s="84">
        <f t="shared" si="16"/>
        <v>5591620</v>
      </c>
      <c r="N45" s="84">
        <f t="shared" si="16"/>
        <v>1664200</v>
      </c>
      <c r="O45" s="84">
        <f t="shared" si="16"/>
        <v>1236000</v>
      </c>
      <c r="P45" s="84">
        <f t="shared" si="16"/>
        <v>489500</v>
      </c>
      <c r="Q45" s="84">
        <f t="shared" si="16"/>
        <v>364800</v>
      </c>
      <c r="R45" s="84">
        <f t="shared" si="16"/>
        <v>0</v>
      </c>
      <c r="S45" s="84">
        <f t="shared" si="16"/>
        <v>598500</v>
      </c>
      <c r="T45" s="84">
        <f t="shared" si="16"/>
        <v>3683250</v>
      </c>
      <c r="U45" s="84">
        <f t="shared" si="16"/>
        <v>292000</v>
      </c>
      <c r="V45" s="84">
        <f t="shared" si="16"/>
        <v>5960519.5800000001</v>
      </c>
      <c r="W45" s="84">
        <f t="shared" si="16"/>
        <v>0</v>
      </c>
      <c r="X45" s="84">
        <f t="shared" si="16"/>
        <v>1365500</v>
      </c>
      <c r="Y45" s="84">
        <f t="shared" si="16"/>
        <v>0</v>
      </c>
      <c r="Z45" s="84">
        <f t="shared" si="16"/>
        <v>0</v>
      </c>
      <c r="AA45" s="84">
        <f t="shared" si="16"/>
        <v>0</v>
      </c>
      <c r="AB45" s="84">
        <f t="shared" si="16"/>
        <v>0</v>
      </c>
      <c r="AC45" s="84">
        <f t="shared" si="16"/>
        <v>-3280499.9100000011</v>
      </c>
      <c r="AD45" s="84">
        <f t="shared" si="16"/>
        <v>0</v>
      </c>
      <c r="AE45" s="84">
        <f t="shared" si="16"/>
        <v>0</v>
      </c>
      <c r="AF45" s="84">
        <f t="shared" si="16"/>
        <v>157553133</v>
      </c>
      <c r="AG45" s="84">
        <f t="shared" si="16"/>
        <v>0</v>
      </c>
      <c r="AH45" s="84">
        <f t="shared" si="16"/>
        <v>0</v>
      </c>
      <c r="AI45" s="51"/>
      <c r="AJ45" s="51"/>
      <c r="AK45" s="51"/>
      <c r="AL45" s="211">
        <f>SUM(AL6:AL44)</f>
        <v>150798765.86999997</v>
      </c>
      <c r="AM45" s="211">
        <f>SUM(AM6:AM44)</f>
        <v>157553155.87</v>
      </c>
      <c r="AN45" s="211">
        <f>SUM(AN6:AN44)</f>
        <v>22.870000003837049</v>
      </c>
    </row>
    <row r="46" spans="2:42">
      <c r="K46" s="28">
        <v>138424996.20000005</v>
      </c>
      <c r="M46" s="28">
        <v>5591620</v>
      </c>
      <c r="S46" s="28">
        <v>598500</v>
      </c>
      <c r="T46" s="28">
        <v>3683250</v>
      </c>
      <c r="U46" s="28">
        <v>292000</v>
      </c>
      <c r="V46" s="28">
        <v>5960519.5800000001</v>
      </c>
      <c r="X46" s="28">
        <v>1365500</v>
      </c>
      <c r="AC46" s="28">
        <v>-3280499.9100000011</v>
      </c>
      <c r="AF46" s="28">
        <f>+'[18]PPH21-STAFF'!$S$81</f>
        <v>146559230.55268797</v>
      </c>
      <c r="AL46" s="232">
        <v>150798765.87</v>
      </c>
    </row>
    <row r="47" spans="2:42">
      <c r="B47" s="51" t="s">
        <v>48</v>
      </c>
      <c r="M47" s="54"/>
      <c r="N47" s="54"/>
      <c r="O47" s="54"/>
      <c r="P47" s="54"/>
      <c r="Q47" s="54"/>
      <c r="R47" s="54"/>
      <c r="S47" s="54"/>
      <c r="T47" s="54"/>
      <c r="U47" s="54"/>
      <c r="V47" s="54"/>
    </row>
    <row r="48" spans="2:42">
      <c r="B48" s="27" t="s">
        <v>49</v>
      </c>
      <c r="M48" s="54"/>
      <c r="N48" s="54"/>
      <c r="O48" s="54"/>
      <c r="P48" s="54"/>
      <c r="Q48" s="54"/>
      <c r="R48" s="54"/>
      <c r="S48" s="54"/>
      <c r="T48" s="54"/>
      <c r="U48" s="54"/>
      <c r="V48" s="54"/>
    </row>
    <row r="49" spans="2:59">
      <c r="B49" s="27" t="s">
        <v>57</v>
      </c>
      <c r="M49" s="54"/>
      <c r="N49" s="54"/>
      <c r="O49" s="54"/>
      <c r="P49" s="54"/>
      <c r="Q49" s="54"/>
      <c r="R49" s="54"/>
      <c r="S49" s="54"/>
      <c r="T49" s="54"/>
      <c r="U49" s="54"/>
      <c r="V49" s="54"/>
    </row>
    <row r="50" spans="2:59">
      <c r="B50" s="27" t="s">
        <v>50</v>
      </c>
      <c r="M50" s="54"/>
      <c r="N50" s="54"/>
      <c r="O50" s="54"/>
      <c r="P50" s="54"/>
      <c r="Q50" s="54"/>
      <c r="R50" s="54"/>
      <c r="S50" s="54"/>
      <c r="T50" s="54"/>
      <c r="U50" s="54"/>
      <c r="V50" s="54"/>
    </row>
    <row r="51" spans="2:59" s="31" customFormat="1" ht="15" hidden="1" customHeight="1">
      <c r="B51" s="27" t="s">
        <v>58</v>
      </c>
      <c r="C51" s="28"/>
      <c r="D51" s="194"/>
      <c r="E51" s="29"/>
      <c r="F51" s="28"/>
      <c r="G51" s="30"/>
      <c r="H51" s="195"/>
      <c r="I51" s="195"/>
      <c r="J51" s="195"/>
      <c r="K51" s="28"/>
      <c r="L51" s="28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57"/>
      <c r="AH51" s="28"/>
      <c r="AI51" s="27"/>
      <c r="AJ51" s="27"/>
      <c r="AK51" s="27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</row>
    <row r="52" spans="2:59" s="31" customFormat="1" ht="15" hidden="1" customHeight="1">
      <c r="B52" s="27" t="s">
        <v>51</v>
      </c>
      <c r="C52" s="28"/>
      <c r="D52" s="194"/>
      <c r="E52" s="29"/>
      <c r="F52" s="28"/>
      <c r="G52" s="30"/>
      <c r="H52" s="195"/>
      <c r="I52" s="195"/>
      <c r="J52" s="195"/>
      <c r="K52" s="28"/>
      <c r="L52" s="28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57"/>
      <c r="AH52" s="28"/>
      <c r="AI52" s="27"/>
      <c r="AJ52" s="27"/>
      <c r="AK52" s="27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</row>
    <row r="53" spans="2:59" s="31" customFormat="1" ht="15" hidden="1" customHeight="1">
      <c r="B53" s="27" t="s">
        <v>52</v>
      </c>
      <c r="C53" s="28"/>
      <c r="D53" s="194"/>
      <c r="E53" s="29"/>
      <c r="F53" s="28"/>
      <c r="G53" s="30"/>
      <c r="H53" s="195"/>
      <c r="I53" s="195"/>
      <c r="J53" s="195"/>
      <c r="K53" s="28"/>
      <c r="L53" s="28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57"/>
      <c r="AH53" s="28"/>
      <c r="AI53" s="27"/>
      <c r="AJ53" s="27"/>
      <c r="AK53" s="27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</row>
    <row r="54" spans="2:59" s="31" customFormat="1" ht="15" hidden="1" customHeight="1">
      <c r="B54" s="27" t="s">
        <v>53</v>
      </c>
      <c r="C54" s="28"/>
      <c r="D54" s="194"/>
      <c r="E54" s="29"/>
      <c r="F54" s="28"/>
      <c r="G54" s="30"/>
      <c r="H54" s="195"/>
      <c r="I54" s="195"/>
      <c r="J54" s="195"/>
      <c r="K54" s="28"/>
      <c r="L54" s="28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57"/>
      <c r="AH54" s="28"/>
      <c r="AI54" s="27"/>
      <c r="AJ54" s="27"/>
      <c r="AK54" s="27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</row>
    <row r="55" spans="2:59" s="31" customFormat="1" ht="15" hidden="1" customHeight="1">
      <c r="B55" s="27" t="s">
        <v>59</v>
      </c>
      <c r="C55" s="28"/>
      <c r="D55" s="194"/>
      <c r="E55" s="29"/>
      <c r="F55" s="28"/>
      <c r="G55" s="30"/>
      <c r="H55" s="195"/>
      <c r="I55" s="195"/>
      <c r="J55" s="195"/>
      <c r="K55" s="28"/>
      <c r="L55" s="28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57"/>
      <c r="AH55" s="28"/>
      <c r="AI55" s="27"/>
      <c r="AJ55" s="27"/>
      <c r="AK55" s="27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</row>
    <row r="56" spans="2:59" s="31" customFormat="1" ht="15" hidden="1" customHeight="1">
      <c r="B56" s="27" t="s">
        <v>60</v>
      </c>
      <c r="C56" s="28"/>
      <c r="D56" s="194"/>
      <c r="E56" s="29"/>
      <c r="F56" s="28"/>
      <c r="G56" s="30"/>
      <c r="H56" s="195"/>
      <c r="I56" s="195"/>
      <c r="J56" s="195"/>
      <c r="K56" s="28"/>
      <c r="L56" s="28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57"/>
      <c r="AH56" s="28"/>
      <c r="AI56" s="27"/>
      <c r="AJ56" s="27"/>
      <c r="AK56" s="27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</row>
    <row r="57" spans="2:59" s="31" customFormat="1" ht="15" hidden="1" customHeight="1">
      <c r="B57" s="27" t="s">
        <v>65</v>
      </c>
      <c r="C57" s="28"/>
      <c r="D57" s="194"/>
      <c r="E57" s="29"/>
      <c r="F57" s="28"/>
      <c r="G57" s="30"/>
      <c r="H57" s="195"/>
      <c r="I57" s="195"/>
      <c r="J57" s="195"/>
      <c r="K57" s="28"/>
      <c r="L57" s="28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57"/>
      <c r="AH57" s="28"/>
      <c r="AI57" s="27"/>
      <c r="AJ57" s="27"/>
      <c r="AK57" s="27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</row>
    <row r="58" spans="2:59" s="31" customFormat="1" ht="15" hidden="1" customHeight="1">
      <c r="B58" s="27"/>
      <c r="C58" s="28"/>
      <c r="D58" s="194"/>
      <c r="E58" s="29"/>
      <c r="F58" s="28"/>
      <c r="G58" s="30"/>
      <c r="H58" s="195"/>
      <c r="I58" s="195"/>
      <c r="J58" s="195"/>
      <c r="K58" s="28"/>
      <c r="L58" s="28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57"/>
      <c r="AH58" s="28"/>
      <c r="AI58" s="27"/>
      <c r="AJ58" s="27"/>
      <c r="AK58" s="27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</row>
    <row r="59" spans="2:59" s="31" customFormat="1" ht="15" hidden="1" customHeight="1">
      <c r="B59" s="27"/>
      <c r="C59" s="28"/>
      <c r="D59" s="194"/>
      <c r="E59" s="29"/>
      <c r="F59" s="28"/>
      <c r="G59" s="30"/>
      <c r="H59" s="195"/>
      <c r="I59" s="195"/>
      <c r="J59" s="195"/>
      <c r="K59" s="28"/>
      <c r="L59" s="28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57"/>
      <c r="AH59" s="28"/>
      <c r="AI59" s="27"/>
      <c r="AJ59" s="27"/>
      <c r="AK59" s="27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</row>
    <row r="60" spans="2:59" s="31" customFormat="1" ht="15" hidden="1" customHeight="1">
      <c r="B60" s="27"/>
      <c r="C60" s="28"/>
      <c r="D60" s="194"/>
      <c r="E60" s="29"/>
      <c r="F60" s="28"/>
      <c r="G60" s="30"/>
      <c r="H60" s="195"/>
      <c r="I60" s="195"/>
      <c r="J60" s="195"/>
      <c r="K60" s="28"/>
      <c r="L60" s="28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57"/>
      <c r="AH60" s="28"/>
      <c r="AI60" s="27"/>
      <c r="AJ60" s="27"/>
      <c r="AK60" s="27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</row>
    <row r="61" spans="2:59" hidden="1"/>
    <row r="62" spans="2:59" ht="19.5" customHeight="1">
      <c r="M62" s="28">
        <f>[17]TRANSPORT!$AJ$15+[17]HARVESTING!$AS$13+'[17]MAINTENANCE-2'!$AP$43</f>
        <v>5591620</v>
      </c>
      <c r="V62" s="28">
        <f>[17]TRANSPORT!$AA$15+[17]HARVESTING!$AF$13+'[17]MAINTENANCE-2'!$AH$43</f>
        <v>6559019.5800000001</v>
      </c>
      <c r="AF62" s="28">
        <f>AF45-L45-M45</f>
        <v>150798743</v>
      </c>
    </row>
    <row r="64" spans="2:59" ht="18">
      <c r="C64" s="214" t="s">
        <v>378</v>
      </c>
      <c r="Z64" s="215"/>
      <c r="AA64" s="215"/>
      <c r="AB64" s="215"/>
      <c r="AC64" s="601" t="s">
        <v>379</v>
      </c>
      <c r="AD64" s="601"/>
      <c r="AE64" s="601"/>
      <c r="AF64" s="601"/>
    </row>
    <row r="65" spans="2:37" ht="20.25" customHeight="1">
      <c r="C65" s="214"/>
      <c r="Z65" s="215"/>
      <c r="AA65" s="215"/>
      <c r="AB65" s="215"/>
      <c r="AC65" s="216"/>
      <c r="AD65" s="216"/>
      <c r="AE65" s="216"/>
    </row>
    <row r="66" spans="2:37" ht="20.25" customHeight="1">
      <c r="C66" s="214"/>
      <c r="Z66" s="215"/>
      <c r="AA66" s="215"/>
      <c r="AB66" s="215"/>
      <c r="AC66" s="216"/>
      <c r="AD66" s="216"/>
      <c r="AE66" s="216"/>
    </row>
    <row r="67" spans="2:37" ht="18">
      <c r="B67" s="53"/>
      <c r="C67" s="214"/>
      <c r="Z67" s="215"/>
      <c r="AA67" s="215"/>
      <c r="AB67" s="215"/>
      <c r="AC67" s="216"/>
      <c r="AD67" s="216"/>
      <c r="AE67" s="216"/>
      <c r="AG67" s="53"/>
      <c r="AH67" s="53"/>
      <c r="AI67" s="53"/>
      <c r="AJ67" s="53"/>
      <c r="AK67" s="53"/>
    </row>
    <row r="68" spans="2:37" ht="18">
      <c r="B68" s="53"/>
      <c r="C68" s="214"/>
      <c r="Z68" s="215"/>
      <c r="AA68" s="215"/>
      <c r="AB68" s="215"/>
      <c r="AC68" s="216"/>
      <c r="AD68" s="216"/>
      <c r="AE68" s="216"/>
      <c r="AG68" s="53"/>
      <c r="AH68" s="53"/>
      <c r="AI68" s="53"/>
      <c r="AJ68" s="53"/>
      <c r="AK68" s="53"/>
    </row>
    <row r="69" spans="2:37" ht="18">
      <c r="B69" s="53"/>
      <c r="C69" s="214"/>
      <c r="Z69" s="215"/>
      <c r="AA69" s="215"/>
      <c r="AB69" s="215"/>
      <c r="AC69" s="216"/>
      <c r="AD69" s="216"/>
      <c r="AE69" s="216"/>
      <c r="AG69" s="53"/>
      <c r="AH69" s="53"/>
      <c r="AI69" s="53"/>
      <c r="AJ69" s="53"/>
      <c r="AK69" s="53"/>
    </row>
    <row r="70" spans="2:37" ht="20.25">
      <c r="B70" s="53"/>
      <c r="C70" s="217" t="s">
        <v>380</v>
      </c>
      <c r="AA70" s="218"/>
      <c r="AB70" s="218"/>
      <c r="AC70" s="602" t="s">
        <v>381</v>
      </c>
      <c r="AD70" s="602"/>
      <c r="AE70" s="602"/>
      <c r="AF70" s="602"/>
      <c r="AG70" s="53"/>
      <c r="AH70" s="53"/>
      <c r="AI70" s="53"/>
      <c r="AJ70" s="53"/>
      <c r="AK70" s="53"/>
    </row>
    <row r="71" spans="2:37" ht="18">
      <c r="B71" s="53"/>
      <c r="C71" s="214" t="s">
        <v>382</v>
      </c>
      <c r="AA71" s="215"/>
      <c r="AB71" s="215"/>
      <c r="AC71" s="601" t="s">
        <v>383</v>
      </c>
      <c r="AD71" s="601"/>
      <c r="AE71" s="601"/>
      <c r="AF71" s="601"/>
      <c r="AG71" s="53"/>
      <c r="AH71" s="53"/>
      <c r="AI71" s="53"/>
      <c r="AJ71" s="53"/>
      <c r="AK71" s="53"/>
    </row>
  </sheetData>
  <mergeCells count="3">
    <mergeCell ref="AC64:AF64"/>
    <mergeCell ref="AC70:AF70"/>
    <mergeCell ref="AC71:AF71"/>
  </mergeCells>
  <dataValidations count="2">
    <dataValidation type="list" allowBlank="1" showInputMessage="1" showErrorMessage="1" sqref="H6:H44">
      <formula1>"L,P"</formula1>
    </dataValidation>
    <dataValidation type="list" allowBlank="1" showInputMessage="1" showErrorMessage="1" sqref="I6:I44">
      <formula1>"TK/0,TK/1,TK/2,TK/3,K/0,K/1,K/2,K/3"</formula1>
    </dataValidation>
  </dataValidations>
  <pageMargins left="0.19685039370078741" right="0" top="0.15748031496062992" bottom="0.15748031496062992" header="0.31496062992125984" footer="0.31496062992125984"/>
  <pageSetup paperSize="9" scale="44" orientation="landscape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51"/>
  <sheetViews>
    <sheetView topLeftCell="G1" zoomScale="67" zoomScaleNormal="67" workbookViewId="0">
      <selection activeCell="O46" sqref="O46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19.140625" style="28" customWidth="1"/>
    <col min="4" max="4" width="22.85546875" style="167" customWidth="1" outlineLevel="1"/>
    <col min="5" max="5" width="22.85546875" style="29" customWidth="1" outlineLevel="1"/>
    <col min="6" max="6" width="26" style="28" customWidth="1" outlineLevel="1"/>
    <col min="7" max="7" width="26" style="30" customWidth="1" outlineLevel="1"/>
    <col min="8" max="8" width="5.5703125" style="168" customWidth="1" outlineLevel="1"/>
    <col min="9" max="9" width="8.5703125" style="168" customWidth="1" outlineLevel="1"/>
    <col min="10" max="10" width="10.85546875" style="168" customWidth="1" outlineLevel="1"/>
    <col min="11" max="11" width="14.140625" style="28" customWidth="1"/>
    <col min="12" max="12" width="11.7109375" style="28" customWidth="1"/>
    <col min="13" max="15" width="12.7109375" style="28" customWidth="1"/>
    <col min="16" max="16" width="13.140625" style="28" customWidth="1"/>
    <col min="17" max="19" width="12.7109375" style="28" customWidth="1"/>
    <col min="20" max="22" width="12.7109375" style="28" hidden="1" customWidth="1"/>
    <col min="23" max="23" width="15.5703125" style="28" customWidth="1"/>
    <col min="24" max="24" width="12.7109375" style="28" hidden="1" customWidth="1"/>
    <col min="25" max="25" width="12.7109375" style="28" customWidth="1"/>
    <col min="26" max="26" width="15.28515625" style="28" customWidth="1" collapsed="1"/>
    <col min="27" max="27" width="7.7109375" style="57" customWidth="1"/>
    <col min="28" max="30" width="13.140625" style="28" customWidth="1"/>
    <col min="31" max="31" width="18.7109375" style="27" customWidth="1"/>
    <col min="32" max="33" width="16.5703125" style="27" customWidth="1"/>
    <col min="34" max="34" width="13.5703125" style="53" customWidth="1"/>
    <col min="35" max="16384" width="9.28515625" style="53"/>
  </cols>
  <sheetData>
    <row r="1" spans="2:34" ht="35.1" customHeight="1">
      <c r="B1" s="27" t="s">
        <v>71</v>
      </c>
    </row>
    <row r="2" spans="2:34" ht="35.1" customHeight="1">
      <c r="B2" s="27" t="s">
        <v>176</v>
      </c>
    </row>
    <row r="3" spans="2:34" ht="35.1" customHeight="1">
      <c r="B3" s="27" t="s">
        <v>171</v>
      </c>
    </row>
    <row r="4" spans="2:34" s="27" customFormat="1" ht="35.1" customHeight="1" thickBot="1">
      <c r="C4" s="56" t="s">
        <v>40</v>
      </c>
      <c r="D4" s="167"/>
      <c r="E4" s="29"/>
      <c r="F4" s="28"/>
      <c r="G4" s="30"/>
      <c r="H4" s="168"/>
      <c r="I4" s="168"/>
      <c r="J4" s="168"/>
      <c r="K4" s="28"/>
      <c r="L4" s="28"/>
      <c r="M4" s="28"/>
      <c r="N4" s="28" t="s">
        <v>91</v>
      </c>
      <c r="O4" s="28" t="s">
        <v>90</v>
      </c>
      <c r="P4" s="28" t="s">
        <v>89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57"/>
      <c r="AB4" s="28"/>
      <c r="AC4" s="28"/>
      <c r="AD4" s="28"/>
    </row>
    <row r="5" spans="2:34" s="27" customFormat="1" ht="59.25" customHeight="1" thickBot="1">
      <c r="B5" s="164" t="s">
        <v>64</v>
      </c>
      <c r="C5" s="164" t="s">
        <v>25</v>
      </c>
      <c r="D5" s="165" t="s">
        <v>26</v>
      </c>
      <c r="E5" s="166" t="s">
        <v>27</v>
      </c>
      <c r="F5" s="164" t="s">
        <v>28</v>
      </c>
      <c r="G5" s="163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62" t="s">
        <v>67</v>
      </c>
      <c r="M5" s="162" t="s">
        <v>68</v>
      </c>
      <c r="N5" s="162" t="s">
        <v>76</v>
      </c>
      <c r="O5" s="162" t="s">
        <v>77</v>
      </c>
      <c r="P5" s="162" t="s">
        <v>81</v>
      </c>
      <c r="Q5" s="162" t="s">
        <v>163</v>
      </c>
      <c r="R5" s="162" t="s">
        <v>164</v>
      </c>
      <c r="S5" s="94" t="s">
        <v>82</v>
      </c>
      <c r="T5" s="94" t="s">
        <v>83</v>
      </c>
      <c r="U5" s="94" t="s">
        <v>84</v>
      </c>
      <c r="V5" s="94" t="s">
        <v>85</v>
      </c>
      <c r="W5" s="94" t="s">
        <v>78</v>
      </c>
      <c r="X5" s="94" t="s">
        <v>79</v>
      </c>
      <c r="Y5" s="94" t="s">
        <v>80</v>
      </c>
      <c r="Z5" s="94" t="s">
        <v>41</v>
      </c>
      <c r="AA5" s="102" t="s">
        <v>42</v>
      </c>
      <c r="AB5" s="94" t="s">
        <v>179</v>
      </c>
      <c r="AC5" s="170" t="s">
        <v>181</v>
      </c>
      <c r="AD5" s="174" t="s">
        <v>180</v>
      </c>
      <c r="AE5" s="155" t="s">
        <v>174</v>
      </c>
      <c r="AF5" s="155" t="s">
        <v>178</v>
      </c>
      <c r="AG5" s="155" t="s">
        <v>175</v>
      </c>
    </row>
    <row r="6" spans="2:34" s="27" customFormat="1" ht="35.1" customHeight="1">
      <c r="B6" s="127">
        <v>1</v>
      </c>
      <c r="C6" s="122" t="s">
        <v>92</v>
      </c>
      <c r="D6" s="109" t="s">
        <v>114</v>
      </c>
      <c r="E6" s="110">
        <v>972282958305000</v>
      </c>
      <c r="F6" s="111" t="s">
        <v>138</v>
      </c>
      <c r="G6" s="107" t="s">
        <v>88</v>
      </c>
      <c r="H6" s="37" t="s">
        <v>39</v>
      </c>
      <c r="I6" s="38" t="s">
        <v>17</v>
      </c>
      <c r="J6" s="128" t="str">
        <f>IF(ISBLANK(I6),"",IF(OR(I6="TK/0",I6="TK/1",I6="K/0"),"TER A",IF(I6="K/3","TER C","TER B")))</f>
        <v>TER A</v>
      </c>
      <c r="K6" s="39">
        <f>30*121333.33</f>
        <v>3639999.9</v>
      </c>
      <c r="L6" s="39">
        <f>3640000*0.84%</f>
        <v>30575.999999999996</v>
      </c>
      <c r="M6" s="153">
        <f>(3640000+61000)*4%</f>
        <v>148040</v>
      </c>
      <c r="N6" s="39">
        <v>108000</v>
      </c>
      <c r="O6" s="39"/>
      <c r="P6" s="39"/>
      <c r="Q6" s="39"/>
      <c r="R6" s="39"/>
      <c r="S6" s="39">
        <v>61000</v>
      </c>
      <c r="T6" s="101"/>
      <c r="U6" s="101"/>
      <c r="V6" s="101"/>
      <c r="W6" s="39">
        <v>0</v>
      </c>
      <c r="X6" s="39"/>
      <c r="Y6" s="39">
        <v>280000</v>
      </c>
      <c r="Z6" s="104">
        <f>ROUNDDOWN(SUM(K6:Y6),0)</f>
        <v>4267615</v>
      </c>
      <c r="AA6" s="105">
        <f t="shared" ref="AA6:AA29" si="0">IF(J6="TER A",VLOOKUP(Z6,Ter_A,4,TRUE),IF(J6="TER B",VLOOKUP(Z6,Ter_B,4,TRUE),VLOOKUP(Z6,Ter_C,4,TRUE)))</f>
        <v>0</v>
      </c>
      <c r="AB6" s="106">
        <f t="shared" ref="AB6:AB29" si="1">ROUNDDOWN(IF(E6=0,Z6*AA6*120%,Z6*AA6),0)</f>
        <v>0</v>
      </c>
      <c r="AC6" s="171">
        <v>0</v>
      </c>
      <c r="AD6" s="175">
        <f>AB6-AC6</f>
        <v>0</v>
      </c>
      <c r="AE6" s="120">
        <v>3809000</v>
      </c>
      <c r="AF6" s="93">
        <f t="shared" ref="AF6:AF29" si="2">L6+M6</f>
        <v>178616</v>
      </c>
      <c r="AG6" s="93">
        <f>AE6+AF6</f>
        <v>3987616</v>
      </c>
      <c r="AH6" s="157">
        <f t="shared" ref="AH6:AH15" si="3">Z6-AG6</f>
        <v>279999</v>
      </c>
    </row>
    <row r="7" spans="2:34" s="27" customFormat="1" ht="35.1" customHeight="1">
      <c r="B7" s="129">
        <v>2</v>
      </c>
      <c r="C7" s="123" t="s">
        <v>93</v>
      </c>
      <c r="D7" s="112" t="s">
        <v>115</v>
      </c>
      <c r="E7" s="113">
        <v>972282982305000</v>
      </c>
      <c r="F7" s="114" t="s">
        <v>139</v>
      </c>
      <c r="G7" s="107" t="s">
        <v>88</v>
      </c>
      <c r="H7" s="99" t="s">
        <v>38</v>
      </c>
      <c r="I7" s="100" t="s">
        <v>7</v>
      </c>
      <c r="J7" s="132" t="str">
        <f t="shared" ref="J7:J29" si="4">IF(ISBLANK(I7),"",IF(OR(I7="TK/0",I7="TK/1",I7="K/0"),"TER A",IF(I7="K/3","TER C","TER B")))</f>
        <v>TER A</v>
      </c>
      <c r="K7" s="46">
        <f>30*121333.33</f>
        <v>3639999.9</v>
      </c>
      <c r="L7" s="46">
        <f t="shared" ref="L7:L21" si="5">3640000*0.84%</f>
        <v>30575.999999999996</v>
      </c>
      <c r="M7" s="154">
        <f>(3640000+61000)*4%</f>
        <v>148040</v>
      </c>
      <c r="N7" s="101">
        <v>67500</v>
      </c>
      <c r="O7" s="101"/>
      <c r="P7" s="101">
        <v>1693757.03</v>
      </c>
      <c r="Q7" s="101"/>
      <c r="R7" s="101"/>
      <c r="S7" s="101">
        <v>61000</v>
      </c>
      <c r="T7" s="101"/>
      <c r="U7" s="101"/>
      <c r="V7" s="101"/>
      <c r="W7" s="101">
        <v>0</v>
      </c>
      <c r="X7" s="101"/>
      <c r="Y7" s="101">
        <v>600000</v>
      </c>
      <c r="Z7" s="62">
        <f>ROUNDDOWN(SUM(K7:Y7),0)</f>
        <v>6240872</v>
      </c>
      <c r="AA7" s="63">
        <f t="shared" si="0"/>
        <v>7.4999999999999997E-3</v>
      </c>
      <c r="AB7" s="106">
        <f t="shared" si="1"/>
        <v>46806</v>
      </c>
      <c r="AC7" s="172">
        <v>14102</v>
      </c>
      <c r="AD7" s="176">
        <f t="shared" ref="AD7:AD29" si="6">AB7-AC7</f>
        <v>32704</v>
      </c>
      <c r="AE7" s="120">
        <v>5462257.0299999993</v>
      </c>
      <c r="AF7" s="93">
        <f t="shared" si="2"/>
        <v>178616</v>
      </c>
      <c r="AG7" s="93">
        <f t="shared" ref="AG7:AG29" si="7">AE7+AF7</f>
        <v>5640873.0299999993</v>
      </c>
      <c r="AH7" s="157">
        <f t="shared" si="3"/>
        <v>599998.97000000067</v>
      </c>
    </row>
    <row r="8" spans="2:34" s="27" customFormat="1" ht="35.1" customHeight="1">
      <c r="B8" s="129">
        <v>3</v>
      </c>
      <c r="C8" s="123" t="s">
        <v>94</v>
      </c>
      <c r="D8" s="112" t="s">
        <v>116</v>
      </c>
      <c r="E8" s="113">
        <v>972283055305000</v>
      </c>
      <c r="F8" s="114" t="s">
        <v>140</v>
      </c>
      <c r="G8" s="107" t="s">
        <v>88</v>
      </c>
      <c r="H8" s="99" t="s">
        <v>39</v>
      </c>
      <c r="I8" s="100" t="s">
        <v>9</v>
      </c>
      <c r="J8" s="132" t="str">
        <f t="shared" si="4"/>
        <v>TER B</v>
      </c>
      <c r="K8" s="46">
        <f t="shared" ref="K8:K15" si="8">30*121333.33</f>
        <v>3639999.9</v>
      </c>
      <c r="L8" s="46">
        <f t="shared" si="5"/>
        <v>30575.999999999996</v>
      </c>
      <c r="M8" s="152">
        <f>(3640000+43500)*4%</f>
        <v>147340</v>
      </c>
      <c r="N8" s="101">
        <v>135000</v>
      </c>
      <c r="O8" s="101"/>
      <c r="P8" s="101">
        <v>883699.32</v>
      </c>
      <c r="Q8" s="101"/>
      <c r="R8" s="101"/>
      <c r="S8" s="101">
        <v>43500</v>
      </c>
      <c r="T8" s="101"/>
      <c r="U8" s="101"/>
      <c r="V8" s="101"/>
      <c r="W8" s="101">
        <v>0</v>
      </c>
      <c r="X8" s="101"/>
      <c r="Y8" s="101">
        <v>490000</v>
      </c>
      <c r="Z8" s="62">
        <f t="shared" ref="Z8:Z29" si="9">ROUNDDOWN(SUM(K8:Y8),0)</f>
        <v>5370115</v>
      </c>
      <c r="AA8" s="63">
        <f t="shared" si="0"/>
        <v>0</v>
      </c>
      <c r="AB8" s="106">
        <f t="shared" si="1"/>
        <v>0</v>
      </c>
      <c r="AC8" s="172">
        <v>0</v>
      </c>
      <c r="AD8" s="176">
        <f t="shared" si="6"/>
        <v>0</v>
      </c>
      <c r="AE8" s="120">
        <v>4702199.32</v>
      </c>
      <c r="AF8" s="93">
        <f t="shared" si="2"/>
        <v>177916</v>
      </c>
      <c r="AG8" s="93">
        <f t="shared" si="7"/>
        <v>4880115.32</v>
      </c>
      <c r="AH8" s="157">
        <f t="shared" si="3"/>
        <v>489999.6799999997</v>
      </c>
    </row>
    <row r="9" spans="2:34" s="27" customFormat="1" ht="35.1" customHeight="1">
      <c r="B9" s="129">
        <v>4</v>
      </c>
      <c r="C9" s="123" t="s">
        <v>95</v>
      </c>
      <c r="D9" s="112" t="s">
        <v>117</v>
      </c>
      <c r="E9" s="113">
        <v>972282974305000</v>
      </c>
      <c r="F9" s="114" t="s">
        <v>74</v>
      </c>
      <c r="G9" s="107" t="s">
        <v>88</v>
      </c>
      <c r="H9" s="99" t="s">
        <v>39</v>
      </c>
      <c r="I9" s="100" t="s">
        <v>9</v>
      </c>
      <c r="J9" s="132" t="str">
        <f t="shared" si="4"/>
        <v>TER B</v>
      </c>
      <c r="K9" s="46">
        <f t="shared" si="8"/>
        <v>3639999.9</v>
      </c>
      <c r="L9" s="46">
        <f t="shared" si="5"/>
        <v>30575.999999999996</v>
      </c>
      <c r="M9" s="152">
        <f>(3640000+43500)*4%</f>
        <v>147340</v>
      </c>
      <c r="N9" s="101">
        <v>135000</v>
      </c>
      <c r="O9" s="101"/>
      <c r="P9" s="101">
        <v>147283.21999999997</v>
      </c>
      <c r="Q9" s="101">
        <v>480000</v>
      </c>
      <c r="R9" s="101"/>
      <c r="S9" s="101">
        <v>43500</v>
      </c>
      <c r="T9" s="101"/>
      <c r="U9" s="101"/>
      <c r="V9" s="101"/>
      <c r="W9" s="101">
        <v>0</v>
      </c>
      <c r="X9" s="101"/>
      <c r="Y9" s="101">
        <v>600000</v>
      </c>
      <c r="Z9" s="62">
        <f>ROUNDDOWN(SUM(K9:Y9),0)</f>
        <v>5223699</v>
      </c>
      <c r="AA9" s="63">
        <f t="shared" si="0"/>
        <v>0</v>
      </c>
      <c r="AB9" s="106">
        <f t="shared" si="1"/>
        <v>0</v>
      </c>
      <c r="AC9" s="172">
        <v>0</v>
      </c>
      <c r="AD9" s="176">
        <f t="shared" si="6"/>
        <v>0</v>
      </c>
      <c r="AE9" s="120">
        <v>4445783.22</v>
      </c>
      <c r="AF9" s="93">
        <f t="shared" si="2"/>
        <v>177916</v>
      </c>
      <c r="AG9" s="93">
        <f t="shared" si="7"/>
        <v>4623699.22</v>
      </c>
      <c r="AH9" s="157">
        <f t="shared" si="3"/>
        <v>599999.78000000026</v>
      </c>
    </row>
    <row r="10" spans="2:34" s="27" customFormat="1" ht="35.1" customHeight="1">
      <c r="B10" s="129">
        <v>5</v>
      </c>
      <c r="C10" s="124" t="s">
        <v>96</v>
      </c>
      <c r="D10" s="112" t="s">
        <v>118</v>
      </c>
      <c r="E10" s="113">
        <v>972280226305000</v>
      </c>
      <c r="F10" s="114" t="s">
        <v>141</v>
      </c>
      <c r="G10" s="107" t="s">
        <v>86</v>
      </c>
      <c r="H10" s="99" t="s">
        <v>38</v>
      </c>
      <c r="I10" s="100" t="s">
        <v>7</v>
      </c>
      <c r="J10" s="132" t="str">
        <f t="shared" si="4"/>
        <v>TER A</v>
      </c>
      <c r="K10" s="46">
        <f t="shared" si="8"/>
        <v>3639999.9</v>
      </c>
      <c r="L10" s="46">
        <f t="shared" si="5"/>
        <v>30575.999999999996</v>
      </c>
      <c r="M10" s="152">
        <f>(3640000+43500)*4%</f>
        <v>147340</v>
      </c>
      <c r="N10" s="101">
        <v>67500</v>
      </c>
      <c r="O10" s="101">
        <v>36000</v>
      </c>
      <c r="P10" s="101">
        <v>1125664.6100000001</v>
      </c>
      <c r="Q10" s="101"/>
      <c r="R10" s="101"/>
      <c r="S10" s="101">
        <v>43500</v>
      </c>
      <c r="T10" s="101"/>
      <c r="U10" s="101"/>
      <c r="V10" s="101"/>
      <c r="W10" s="101">
        <v>0</v>
      </c>
      <c r="X10" s="101"/>
      <c r="Y10" s="101">
        <v>540000</v>
      </c>
      <c r="Z10" s="62">
        <f t="shared" si="9"/>
        <v>5630580</v>
      </c>
      <c r="AA10" s="63">
        <f t="shared" si="0"/>
        <v>2.5000000000000001E-3</v>
      </c>
      <c r="AB10" s="106">
        <f t="shared" si="1"/>
        <v>14076</v>
      </c>
      <c r="AC10" s="172">
        <v>0</v>
      </c>
      <c r="AD10" s="176">
        <f t="shared" si="6"/>
        <v>14076</v>
      </c>
      <c r="AE10" s="120">
        <v>4912664.6100000003</v>
      </c>
      <c r="AF10" s="93">
        <f t="shared" si="2"/>
        <v>177916</v>
      </c>
      <c r="AG10" s="93">
        <f t="shared" si="7"/>
        <v>5090580.6100000003</v>
      </c>
      <c r="AH10" s="157">
        <f t="shared" si="3"/>
        <v>539999.38999999966</v>
      </c>
    </row>
    <row r="11" spans="2:34" s="27" customFormat="1" ht="35.1" customHeight="1">
      <c r="B11" s="129">
        <v>6</v>
      </c>
      <c r="C11" s="123" t="s">
        <v>97</v>
      </c>
      <c r="D11" s="112" t="s">
        <v>119</v>
      </c>
      <c r="E11" s="113">
        <v>972283014305000</v>
      </c>
      <c r="F11" s="114" t="s">
        <v>142</v>
      </c>
      <c r="G11" s="107" t="s">
        <v>88</v>
      </c>
      <c r="H11" s="99" t="s">
        <v>39</v>
      </c>
      <c r="I11" s="100" t="s">
        <v>11</v>
      </c>
      <c r="J11" s="132" t="str">
        <f t="shared" si="4"/>
        <v>TER B</v>
      </c>
      <c r="K11" s="46">
        <f t="shared" si="8"/>
        <v>3639999.9</v>
      </c>
      <c r="L11" s="46">
        <f t="shared" si="5"/>
        <v>30575.999999999996</v>
      </c>
      <c r="M11" s="152">
        <f>(3640000+47000)*4%</f>
        <v>147480</v>
      </c>
      <c r="N11" s="101">
        <v>156600</v>
      </c>
      <c r="O11" s="101"/>
      <c r="P11" s="101"/>
      <c r="Q11" s="101"/>
      <c r="R11" s="101"/>
      <c r="S11" s="101">
        <v>47000</v>
      </c>
      <c r="T11" s="101"/>
      <c r="U11" s="101"/>
      <c r="V11" s="101"/>
      <c r="W11" s="101">
        <v>-121333.33</v>
      </c>
      <c r="X11" s="101"/>
      <c r="Y11" s="101">
        <v>490000</v>
      </c>
      <c r="Z11" s="62">
        <f t="shared" si="9"/>
        <v>4390322</v>
      </c>
      <c r="AA11" s="63">
        <f t="shared" si="0"/>
        <v>0</v>
      </c>
      <c r="AB11" s="106">
        <f t="shared" si="1"/>
        <v>0</v>
      </c>
      <c r="AC11" s="172">
        <v>0</v>
      </c>
      <c r="AD11" s="176">
        <f t="shared" si="6"/>
        <v>0</v>
      </c>
      <c r="AE11" s="120">
        <v>3722266.6666666665</v>
      </c>
      <c r="AF11" s="93">
        <f t="shared" si="2"/>
        <v>178056</v>
      </c>
      <c r="AG11" s="93">
        <f t="shared" si="7"/>
        <v>3900322.6666666665</v>
      </c>
      <c r="AH11" s="157">
        <f t="shared" si="3"/>
        <v>489999.33333333349</v>
      </c>
    </row>
    <row r="12" spans="2:34" s="27" customFormat="1" ht="35.1" customHeight="1">
      <c r="B12" s="129">
        <v>7</v>
      </c>
      <c r="C12" s="123" t="s">
        <v>98</v>
      </c>
      <c r="D12" s="112" t="s">
        <v>120</v>
      </c>
      <c r="E12" s="113">
        <v>972283048305000</v>
      </c>
      <c r="F12" s="114" t="s">
        <v>143</v>
      </c>
      <c r="G12" s="107" t="s">
        <v>88</v>
      </c>
      <c r="H12" s="99" t="s">
        <v>38</v>
      </c>
      <c r="I12" s="100" t="s">
        <v>7</v>
      </c>
      <c r="J12" s="132" t="str">
        <f t="shared" si="4"/>
        <v>TER A</v>
      </c>
      <c r="K12" s="46">
        <f t="shared" si="8"/>
        <v>3639999.9</v>
      </c>
      <c r="L12" s="46">
        <f t="shared" si="5"/>
        <v>30575.999999999996</v>
      </c>
      <c r="M12" s="152">
        <f>(3640000+36500)*4%</f>
        <v>147060</v>
      </c>
      <c r="N12" s="101">
        <v>67500</v>
      </c>
      <c r="O12" s="101"/>
      <c r="P12" s="101">
        <v>2693178.92</v>
      </c>
      <c r="Q12" s="101"/>
      <c r="R12" s="101"/>
      <c r="S12" s="101">
        <v>36500</v>
      </c>
      <c r="T12" s="101"/>
      <c r="U12" s="101"/>
      <c r="V12" s="101"/>
      <c r="W12" s="101">
        <v>0</v>
      </c>
      <c r="X12" s="101"/>
      <c r="Y12" s="101">
        <v>600000</v>
      </c>
      <c r="Z12" s="62">
        <f t="shared" si="9"/>
        <v>7214814</v>
      </c>
      <c r="AA12" s="63">
        <f t="shared" si="0"/>
        <v>1.2500000000000001E-2</v>
      </c>
      <c r="AB12" s="106">
        <f t="shared" si="1"/>
        <v>90185</v>
      </c>
      <c r="AC12" s="172">
        <v>66148</v>
      </c>
      <c r="AD12" s="176">
        <f t="shared" si="6"/>
        <v>24037</v>
      </c>
      <c r="AE12" s="120">
        <v>6437178.9199999999</v>
      </c>
      <c r="AF12" s="93">
        <f t="shared" si="2"/>
        <v>177636</v>
      </c>
      <c r="AG12" s="161">
        <f t="shared" si="7"/>
        <v>6614814.9199999999</v>
      </c>
      <c r="AH12" s="157">
        <f t="shared" si="3"/>
        <v>599999.08000000007</v>
      </c>
    </row>
    <row r="13" spans="2:34" s="27" customFormat="1" ht="35.1" customHeight="1">
      <c r="B13" s="129">
        <v>8</v>
      </c>
      <c r="C13" s="123" t="s">
        <v>99</v>
      </c>
      <c r="D13" s="112" t="s">
        <v>121</v>
      </c>
      <c r="E13" s="113">
        <v>972280150305000</v>
      </c>
      <c r="F13" s="114" t="s">
        <v>144</v>
      </c>
      <c r="G13" s="107" t="s">
        <v>88</v>
      </c>
      <c r="H13" s="99" t="s">
        <v>39</v>
      </c>
      <c r="I13" s="100" t="s">
        <v>11</v>
      </c>
      <c r="J13" s="132" t="str">
        <f t="shared" si="4"/>
        <v>TER B</v>
      </c>
      <c r="K13" s="46">
        <f t="shared" si="8"/>
        <v>3639999.9</v>
      </c>
      <c r="L13" s="46">
        <f t="shared" si="5"/>
        <v>30575.999999999996</v>
      </c>
      <c r="M13" s="152">
        <f>(3640000+43500)*4%</f>
        <v>147340</v>
      </c>
      <c r="N13" s="101">
        <v>162000</v>
      </c>
      <c r="O13" s="101"/>
      <c r="P13" s="101">
        <v>631213.80000000005</v>
      </c>
      <c r="Q13" s="101"/>
      <c r="R13" s="101"/>
      <c r="S13" s="101">
        <v>43500</v>
      </c>
      <c r="T13" s="101"/>
      <c r="U13" s="101"/>
      <c r="V13" s="101"/>
      <c r="W13" s="101">
        <v>0</v>
      </c>
      <c r="X13" s="101"/>
      <c r="Y13" s="101">
        <v>600000</v>
      </c>
      <c r="Z13" s="62">
        <f t="shared" si="9"/>
        <v>5254629</v>
      </c>
      <c r="AA13" s="63">
        <f t="shared" si="0"/>
        <v>0</v>
      </c>
      <c r="AB13" s="106">
        <f t="shared" si="1"/>
        <v>0</v>
      </c>
      <c r="AC13" s="172">
        <v>0</v>
      </c>
      <c r="AD13" s="176">
        <f t="shared" si="6"/>
        <v>0</v>
      </c>
      <c r="AE13" s="120">
        <v>4476713.8</v>
      </c>
      <c r="AF13" s="93">
        <f t="shared" si="2"/>
        <v>177916</v>
      </c>
      <c r="AG13" s="93">
        <f t="shared" si="7"/>
        <v>4654629.8</v>
      </c>
      <c r="AH13" s="157">
        <f t="shared" si="3"/>
        <v>599999.20000000019</v>
      </c>
    </row>
    <row r="14" spans="2:34" s="27" customFormat="1" ht="35.1" customHeight="1">
      <c r="B14" s="129">
        <v>9</v>
      </c>
      <c r="C14" s="123" t="s">
        <v>102</v>
      </c>
      <c r="D14" s="112" t="s">
        <v>124</v>
      </c>
      <c r="E14" s="113">
        <v>972285720305000</v>
      </c>
      <c r="F14" s="114" t="s">
        <v>147</v>
      </c>
      <c r="G14" s="107" t="s">
        <v>88</v>
      </c>
      <c r="H14" s="99" t="s">
        <v>39</v>
      </c>
      <c r="I14" s="100" t="s">
        <v>17</v>
      </c>
      <c r="J14" s="132" t="str">
        <f t="shared" si="4"/>
        <v>TER A</v>
      </c>
      <c r="K14" s="46">
        <f t="shared" si="8"/>
        <v>3639999.9</v>
      </c>
      <c r="L14" s="46">
        <f t="shared" si="5"/>
        <v>30575.999999999996</v>
      </c>
      <c r="M14" s="152">
        <f>(3640000+61000)*4%</f>
        <v>148040</v>
      </c>
      <c r="N14" s="101">
        <v>108000</v>
      </c>
      <c r="O14" s="101"/>
      <c r="P14" s="101"/>
      <c r="Q14" s="101"/>
      <c r="R14" s="101"/>
      <c r="S14" s="101">
        <v>61000</v>
      </c>
      <c r="T14" s="101"/>
      <c r="U14" s="101"/>
      <c r="V14" s="101"/>
      <c r="W14" s="101">
        <v>0</v>
      </c>
      <c r="X14" s="101"/>
      <c r="Y14" s="101">
        <v>490000</v>
      </c>
      <c r="Z14" s="62">
        <f t="shared" si="9"/>
        <v>4477615</v>
      </c>
      <c r="AA14" s="63">
        <f t="shared" si="0"/>
        <v>0</v>
      </c>
      <c r="AB14" s="106">
        <f t="shared" si="1"/>
        <v>0</v>
      </c>
      <c r="AC14" s="172">
        <v>0</v>
      </c>
      <c r="AD14" s="176">
        <f t="shared" si="6"/>
        <v>0</v>
      </c>
      <c r="AE14" s="120">
        <v>3809000</v>
      </c>
      <c r="AF14" s="93">
        <f t="shared" si="2"/>
        <v>178616</v>
      </c>
      <c r="AG14" s="93">
        <f t="shared" si="7"/>
        <v>3987616</v>
      </c>
      <c r="AH14" s="157">
        <f t="shared" si="3"/>
        <v>489999</v>
      </c>
    </row>
    <row r="15" spans="2:34" s="27" customFormat="1" ht="35.1" customHeight="1">
      <c r="B15" s="129">
        <v>10</v>
      </c>
      <c r="C15" s="123" t="s">
        <v>103</v>
      </c>
      <c r="D15" s="112" t="s">
        <v>125</v>
      </c>
      <c r="E15" s="113">
        <v>743653768305000</v>
      </c>
      <c r="F15" s="114" t="s">
        <v>148</v>
      </c>
      <c r="G15" s="107" t="s">
        <v>88</v>
      </c>
      <c r="H15" s="99" t="s">
        <v>39</v>
      </c>
      <c r="I15" s="100" t="s">
        <v>9</v>
      </c>
      <c r="J15" s="132" t="str">
        <f t="shared" si="4"/>
        <v>TER B</v>
      </c>
      <c r="K15" s="46">
        <f t="shared" si="8"/>
        <v>3639999.9</v>
      </c>
      <c r="L15" s="46">
        <f t="shared" si="5"/>
        <v>30575.999999999996</v>
      </c>
      <c r="M15" s="152">
        <f>(3640000+30000)*4%</f>
        <v>146800</v>
      </c>
      <c r="N15" s="101">
        <v>130500</v>
      </c>
      <c r="O15" s="101"/>
      <c r="P15" s="101"/>
      <c r="Q15" s="101"/>
      <c r="R15" s="101"/>
      <c r="S15" s="101">
        <v>30000</v>
      </c>
      <c r="T15" s="101"/>
      <c r="U15" s="101"/>
      <c r="V15" s="101"/>
      <c r="W15" s="101">
        <v>-121333.33</v>
      </c>
      <c r="X15" s="101"/>
      <c r="Y15" s="101">
        <v>490000</v>
      </c>
      <c r="Z15" s="62">
        <f t="shared" si="9"/>
        <v>4346542</v>
      </c>
      <c r="AA15" s="63">
        <f t="shared" si="0"/>
        <v>0</v>
      </c>
      <c r="AB15" s="106">
        <f t="shared" si="1"/>
        <v>0</v>
      </c>
      <c r="AC15" s="172">
        <v>0</v>
      </c>
      <c r="AD15" s="176">
        <f t="shared" si="6"/>
        <v>0</v>
      </c>
      <c r="AE15" s="120">
        <v>3679166.6666666665</v>
      </c>
      <c r="AF15" s="93">
        <f t="shared" si="2"/>
        <v>177376</v>
      </c>
      <c r="AG15" s="93">
        <f t="shared" si="7"/>
        <v>3856542.6666666665</v>
      </c>
      <c r="AH15" s="157">
        <f t="shared" si="3"/>
        <v>489999.33333333349</v>
      </c>
    </row>
    <row r="16" spans="2:34" s="27" customFormat="1" ht="35.1" customHeight="1">
      <c r="B16" s="129"/>
      <c r="C16" s="123" t="s">
        <v>104</v>
      </c>
      <c r="D16" s="112" t="s">
        <v>126</v>
      </c>
      <c r="E16" s="113">
        <v>972283287305000</v>
      </c>
      <c r="F16" s="114" t="s">
        <v>149</v>
      </c>
      <c r="G16" s="107" t="s">
        <v>88</v>
      </c>
      <c r="H16" s="99" t="s">
        <v>39</v>
      </c>
      <c r="I16" s="100" t="s">
        <v>9</v>
      </c>
      <c r="J16" s="132" t="str">
        <f t="shared" si="4"/>
        <v>TER B</v>
      </c>
      <c r="K16" s="46"/>
      <c r="L16" s="46"/>
      <c r="M16" s="152">
        <v>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62">
        <f t="shared" si="9"/>
        <v>0</v>
      </c>
      <c r="AA16" s="63">
        <f t="shared" si="0"/>
        <v>0</v>
      </c>
      <c r="AB16" s="106">
        <f t="shared" si="1"/>
        <v>0</v>
      </c>
      <c r="AC16" s="172">
        <v>0</v>
      </c>
      <c r="AD16" s="176">
        <f t="shared" si="6"/>
        <v>0</v>
      </c>
      <c r="AE16" s="120"/>
      <c r="AF16" s="93">
        <f t="shared" si="2"/>
        <v>0</v>
      </c>
      <c r="AG16" s="93">
        <f t="shared" si="7"/>
        <v>0</v>
      </c>
    </row>
    <row r="17" spans="2:34" s="27" customFormat="1" ht="35.1" customHeight="1">
      <c r="B17" s="129">
        <v>11</v>
      </c>
      <c r="C17" s="123" t="s">
        <v>105</v>
      </c>
      <c r="D17" s="112" t="s">
        <v>127</v>
      </c>
      <c r="E17" s="115">
        <v>972282966305000</v>
      </c>
      <c r="F17" s="114" t="s">
        <v>150</v>
      </c>
      <c r="G17" s="107" t="s">
        <v>88</v>
      </c>
      <c r="H17" s="99" t="s">
        <v>39</v>
      </c>
      <c r="I17" s="100" t="s">
        <v>9</v>
      </c>
      <c r="J17" s="132" t="str">
        <f t="shared" si="4"/>
        <v>TER B</v>
      </c>
      <c r="K17" s="46">
        <f>30*121333.33</f>
        <v>3639999.9</v>
      </c>
      <c r="L17" s="46">
        <f t="shared" si="5"/>
        <v>30575.999999999996</v>
      </c>
      <c r="M17" s="152">
        <f>(3640000+61000)*4%</f>
        <v>148040</v>
      </c>
      <c r="N17" s="101">
        <v>135000</v>
      </c>
      <c r="O17" s="101"/>
      <c r="P17" s="101"/>
      <c r="Q17" s="101">
        <v>140000</v>
      </c>
      <c r="R17" s="101"/>
      <c r="S17" s="101">
        <v>61000</v>
      </c>
      <c r="T17" s="101"/>
      <c r="U17" s="101"/>
      <c r="V17" s="101"/>
      <c r="W17" s="101">
        <v>0</v>
      </c>
      <c r="X17" s="101"/>
      <c r="Y17" s="101">
        <v>490000</v>
      </c>
      <c r="Z17" s="62">
        <f>ROUNDDOWN(SUM(K17:Y17),0)</f>
        <v>4644615</v>
      </c>
      <c r="AA17" s="63">
        <f t="shared" si="0"/>
        <v>0</v>
      </c>
      <c r="AB17" s="106">
        <f t="shared" si="1"/>
        <v>0</v>
      </c>
      <c r="AC17" s="172">
        <v>0</v>
      </c>
      <c r="AD17" s="176">
        <f t="shared" si="6"/>
        <v>0</v>
      </c>
      <c r="AE17" s="120">
        <v>3976000</v>
      </c>
      <c r="AF17" s="93">
        <f t="shared" si="2"/>
        <v>178616</v>
      </c>
      <c r="AG17" s="93">
        <f t="shared" si="7"/>
        <v>4154616</v>
      </c>
      <c r="AH17" s="93">
        <f t="shared" ref="AH17:AH29" si="10">Z17-AG17</f>
        <v>489999</v>
      </c>
    </row>
    <row r="18" spans="2:34" s="27" customFormat="1" ht="35.1" customHeight="1">
      <c r="B18" s="129">
        <v>12</v>
      </c>
      <c r="C18" s="123" t="s">
        <v>100</v>
      </c>
      <c r="D18" s="116" t="s">
        <v>122</v>
      </c>
      <c r="E18" s="113">
        <v>972280218305000</v>
      </c>
      <c r="F18" s="114" t="s">
        <v>145</v>
      </c>
      <c r="G18" s="107" t="s">
        <v>88</v>
      </c>
      <c r="H18" s="99" t="s">
        <v>39</v>
      </c>
      <c r="I18" s="100" t="s">
        <v>17</v>
      </c>
      <c r="J18" s="132" t="str">
        <f t="shared" si="4"/>
        <v>TER A</v>
      </c>
      <c r="K18" s="46">
        <f>30*121333.33</f>
        <v>3639999.9</v>
      </c>
      <c r="L18" s="46">
        <f t="shared" si="5"/>
        <v>30575.999999999996</v>
      </c>
      <c r="M18" s="152">
        <f>(3640000+47000)*4%</f>
        <v>147480</v>
      </c>
      <c r="N18" s="101">
        <v>108000</v>
      </c>
      <c r="O18" s="101"/>
      <c r="P18" s="101">
        <v>31560.69</v>
      </c>
      <c r="Q18" s="101"/>
      <c r="R18" s="101"/>
      <c r="S18" s="101">
        <v>47000</v>
      </c>
      <c r="T18" s="101"/>
      <c r="U18" s="101"/>
      <c r="V18" s="101"/>
      <c r="W18" s="101">
        <v>0</v>
      </c>
      <c r="X18" s="101"/>
      <c r="Y18" s="101">
        <v>490000</v>
      </c>
      <c r="Z18" s="62">
        <f t="shared" si="9"/>
        <v>4494616</v>
      </c>
      <c r="AA18" s="63">
        <f t="shared" si="0"/>
        <v>0</v>
      </c>
      <c r="AB18" s="106">
        <f t="shared" si="1"/>
        <v>0</v>
      </c>
      <c r="AC18" s="172">
        <v>0</v>
      </c>
      <c r="AD18" s="176">
        <f t="shared" si="6"/>
        <v>0</v>
      </c>
      <c r="AE18" s="120">
        <v>3826560.69</v>
      </c>
      <c r="AF18" s="93">
        <f t="shared" si="2"/>
        <v>178056</v>
      </c>
      <c r="AG18" s="93">
        <f t="shared" si="7"/>
        <v>4004616.69</v>
      </c>
      <c r="AH18" s="93">
        <f t="shared" si="10"/>
        <v>489999.31000000006</v>
      </c>
    </row>
    <row r="19" spans="2:34" s="27" customFormat="1" ht="35.1" customHeight="1">
      <c r="B19" s="129">
        <v>13</v>
      </c>
      <c r="C19" s="123" t="s">
        <v>106</v>
      </c>
      <c r="D19" s="112" t="s">
        <v>128</v>
      </c>
      <c r="E19" s="115">
        <v>972285506305000</v>
      </c>
      <c r="F19" s="114" t="s">
        <v>151</v>
      </c>
      <c r="G19" s="107" t="s">
        <v>88</v>
      </c>
      <c r="H19" s="99" t="s">
        <v>39</v>
      </c>
      <c r="I19" s="100" t="s">
        <v>9</v>
      </c>
      <c r="J19" s="132" t="str">
        <f t="shared" si="4"/>
        <v>TER B</v>
      </c>
      <c r="K19" s="46">
        <f t="shared" ref="K19:K21" si="11">30*121333.33</f>
        <v>3639999.9</v>
      </c>
      <c r="L19" s="46">
        <f t="shared" si="5"/>
        <v>30575.999999999996</v>
      </c>
      <c r="M19" s="152">
        <f>(3640000+43500)*4%</f>
        <v>147340</v>
      </c>
      <c r="N19" s="101">
        <v>130500</v>
      </c>
      <c r="O19" s="101"/>
      <c r="P19" s="101">
        <v>31560.69</v>
      </c>
      <c r="Q19" s="101"/>
      <c r="R19" s="101"/>
      <c r="S19" s="101">
        <v>43500</v>
      </c>
      <c r="T19" s="101"/>
      <c r="U19" s="101"/>
      <c r="V19" s="101"/>
      <c r="W19" s="101">
        <v>-121333.33</v>
      </c>
      <c r="X19" s="101"/>
      <c r="Y19" s="101">
        <v>280000</v>
      </c>
      <c r="Z19" s="62">
        <f t="shared" si="9"/>
        <v>4182143</v>
      </c>
      <c r="AA19" s="63">
        <f t="shared" si="0"/>
        <v>0</v>
      </c>
      <c r="AB19" s="106">
        <f t="shared" si="1"/>
        <v>0</v>
      </c>
      <c r="AC19" s="172">
        <v>0</v>
      </c>
      <c r="AD19" s="176">
        <f t="shared" si="6"/>
        <v>0</v>
      </c>
      <c r="AE19" s="120">
        <v>3724227.3566666665</v>
      </c>
      <c r="AF19" s="93">
        <f t="shared" si="2"/>
        <v>177916</v>
      </c>
      <c r="AG19" s="93">
        <f t="shared" si="7"/>
        <v>3902143.3566666665</v>
      </c>
      <c r="AH19" s="93">
        <f t="shared" si="10"/>
        <v>279999.64333333354</v>
      </c>
    </row>
    <row r="20" spans="2:34" s="27" customFormat="1" ht="35.1" customHeight="1">
      <c r="B20" s="129">
        <v>14</v>
      </c>
      <c r="C20" s="123" t="s">
        <v>108</v>
      </c>
      <c r="D20" s="112" t="s">
        <v>130</v>
      </c>
      <c r="E20" s="115">
        <v>972374425305000</v>
      </c>
      <c r="F20" s="114" t="s">
        <v>153</v>
      </c>
      <c r="G20" s="107" t="s">
        <v>161</v>
      </c>
      <c r="H20" s="99" t="s">
        <v>39</v>
      </c>
      <c r="I20" s="100" t="s">
        <v>11</v>
      </c>
      <c r="J20" s="132" t="str">
        <f t="shared" si="4"/>
        <v>TER B</v>
      </c>
      <c r="K20" s="46">
        <f t="shared" si="11"/>
        <v>3639999.9</v>
      </c>
      <c r="L20" s="46">
        <f t="shared" si="5"/>
        <v>30575.999999999996</v>
      </c>
      <c r="M20" s="152">
        <f>(3640000+50500)*4%</f>
        <v>147620</v>
      </c>
      <c r="N20" s="101">
        <v>162000</v>
      </c>
      <c r="O20" s="101"/>
      <c r="P20" s="101">
        <v>2430173.13</v>
      </c>
      <c r="Q20" s="101"/>
      <c r="R20" s="101"/>
      <c r="S20" s="101">
        <v>50500</v>
      </c>
      <c r="T20" s="101"/>
      <c r="U20" s="101"/>
      <c r="V20" s="101"/>
      <c r="W20" s="101">
        <v>0</v>
      </c>
      <c r="X20" s="101"/>
      <c r="Y20" s="101">
        <v>600000</v>
      </c>
      <c r="Z20" s="62">
        <f t="shared" si="9"/>
        <v>7060869</v>
      </c>
      <c r="AA20" s="63">
        <f t="shared" si="0"/>
        <v>7.4999999999999997E-3</v>
      </c>
      <c r="AB20" s="106">
        <f t="shared" si="1"/>
        <v>52956</v>
      </c>
      <c r="AC20" s="172">
        <v>16152</v>
      </c>
      <c r="AD20" s="176">
        <f t="shared" si="6"/>
        <v>36804</v>
      </c>
      <c r="AE20" s="120">
        <v>6282673.1299999999</v>
      </c>
      <c r="AF20" s="93">
        <f t="shared" si="2"/>
        <v>178196</v>
      </c>
      <c r="AG20" s="93">
        <f t="shared" si="7"/>
        <v>6460869.1299999999</v>
      </c>
      <c r="AH20" s="93">
        <f t="shared" si="10"/>
        <v>599999.87000000011</v>
      </c>
    </row>
    <row r="21" spans="2:34" s="27" customFormat="1" ht="35.1" customHeight="1">
      <c r="B21" s="129">
        <v>15</v>
      </c>
      <c r="C21" s="123" t="s">
        <v>111</v>
      </c>
      <c r="D21" s="112" t="s">
        <v>133</v>
      </c>
      <c r="E21" s="115">
        <v>972285704305000</v>
      </c>
      <c r="F21" s="114" t="s">
        <v>155</v>
      </c>
      <c r="G21" s="107" t="s">
        <v>88</v>
      </c>
      <c r="H21" s="44" t="s">
        <v>39</v>
      </c>
      <c r="I21" s="45" t="s">
        <v>9</v>
      </c>
      <c r="J21" s="132" t="str">
        <f t="shared" si="4"/>
        <v>TER B</v>
      </c>
      <c r="K21" s="46">
        <f t="shared" si="11"/>
        <v>3639999.9</v>
      </c>
      <c r="L21" s="46">
        <f t="shared" si="5"/>
        <v>30575.999999999996</v>
      </c>
      <c r="M21" s="152">
        <f>(3640000+61000)*4%</f>
        <v>148040</v>
      </c>
      <c r="N21" s="101">
        <v>130500</v>
      </c>
      <c r="O21" s="101"/>
      <c r="P21" s="101">
        <v>189364.14</v>
      </c>
      <c r="Q21" s="101"/>
      <c r="R21" s="101"/>
      <c r="S21" s="101">
        <v>61000</v>
      </c>
      <c r="T21" s="101"/>
      <c r="U21" s="101"/>
      <c r="V21" s="101"/>
      <c r="W21" s="101">
        <v>-121333.33</v>
      </c>
      <c r="X21" s="101"/>
      <c r="Y21" s="101">
        <v>280000</v>
      </c>
      <c r="Z21" s="62">
        <f t="shared" si="9"/>
        <v>4358146</v>
      </c>
      <c r="AA21" s="63">
        <f t="shared" si="0"/>
        <v>0</v>
      </c>
      <c r="AB21" s="106">
        <f t="shared" si="1"/>
        <v>0</v>
      </c>
      <c r="AC21" s="172">
        <v>0</v>
      </c>
      <c r="AD21" s="176">
        <f t="shared" si="6"/>
        <v>0</v>
      </c>
      <c r="AE21" s="120">
        <v>3899530.8066666671</v>
      </c>
      <c r="AF21" s="93">
        <f t="shared" si="2"/>
        <v>178616</v>
      </c>
      <c r="AG21" s="93">
        <f t="shared" si="7"/>
        <v>4078146.8066666671</v>
      </c>
      <c r="AH21" s="93">
        <f t="shared" si="10"/>
        <v>279999.19333333289</v>
      </c>
    </row>
    <row r="22" spans="2:34" s="27" customFormat="1" ht="35.1" customHeight="1">
      <c r="B22" s="129">
        <v>16</v>
      </c>
      <c r="C22" s="124" t="s">
        <v>162</v>
      </c>
      <c r="D22" s="112" t="s">
        <v>134</v>
      </c>
      <c r="E22" s="121" t="s">
        <v>73</v>
      </c>
      <c r="F22" s="114" t="s">
        <v>156</v>
      </c>
      <c r="G22" s="107" t="s">
        <v>160</v>
      </c>
      <c r="H22" s="44" t="s">
        <v>39</v>
      </c>
      <c r="I22" s="45" t="s">
        <v>7</v>
      </c>
      <c r="J22" s="132" t="str">
        <f t="shared" si="4"/>
        <v>TER A</v>
      </c>
      <c r="K22" s="138">
        <f>29*123833.33</f>
        <v>3591166.57</v>
      </c>
      <c r="L22" s="139">
        <f>3715000*0.84%</f>
        <v>31205.999999999996</v>
      </c>
      <c r="M22" s="154">
        <f>(3715000+5000)*4%</f>
        <v>148800</v>
      </c>
      <c r="N22" s="101">
        <v>47250</v>
      </c>
      <c r="O22" s="101"/>
      <c r="P22" s="101">
        <v>955593.36</v>
      </c>
      <c r="Q22" s="101"/>
      <c r="R22" s="101"/>
      <c r="S22" s="160">
        <v>5000</v>
      </c>
      <c r="T22" s="101"/>
      <c r="U22" s="101"/>
      <c r="V22" s="101"/>
      <c r="W22" s="101">
        <v>-990666.64</v>
      </c>
      <c r="X22" s="101"/>
      <c r="Y22" s="101">
        <v>600000</v>
      </c>
      <c r="Z22" s="62">
        <f t="shared" si="9"/>
        <v>4388349</v>
      </c>
      <c r="AA22" s="63">
        <f t="shared" si="0"/>
        <v>0</v>
      </c>
      <c r="AB22" s="106">
        <f t="shared" si="1"/>
        <v>0</v>
      </c>
      <c r="AC22" s="172">
        <v>0</v>
      </c>
      <c r="AD22" s="176">
        <f t="shared" si="6"/>
        <v>0</v>
      </c>
      <c r="AE22" s="120">
        <v>3608343.3599999994</v>
      </c>
      <c r="AF22" s="93">
        <f t="shared" si="2"/>
        <v>180006</v>
      </c>
      <c r="AG22" s="161">
        <f t="shared" si="7"/>
        <v>3788349.3599999994</v>
      </c>
      <c r="AH22" s="93">
        <f t="shared" si="10"/>
        <v>599999.6400000006</v>
      </c>
    </row>
    <row r="23" spans="2:34" s="27" customFormat="1" ht="35.1" customHeight="1">
      <c r="B23" s="129">
        <v>17</v>
      </c>
      <c r="C23" s="125" t="s">
        <v>113</v>
      </c>
      <c r="D23" s="117" t="s">
        <v>137</v>
      </c>
      <c r="E23" s="118">
        <v>972285225305000</v>
      </c>
      <c r="F23" s="114" t="s">
        <v>159</v>
      </c>
      <c r="G23" s="107" t="s">
        <v>88</v>
      </c>
      <c r="H23" s="44" t="s">
        <v>39</v>
      </c>
      <c r="I23" s="45" t="s">
        <v>17</v>
      </c>
      <c r="J23" s="132" t="str">
        <f t="shared" si="4"/>
        <v>TER A</v>
      </c>
      <c r="K23" s="60">
        <f>30*121333.33</f>
        <v>3639999.9</v>
      </c>
      <c r="L23" s="46">
        <f>3640000*0.84%</f>
        <v>30575.999999999996</v>
      </c>
      <c r="M23" s="152">
        <f>(3640000+43500)*4%</f>
        <v>147340</v>
      </c>
      <c r="N23" s="46">
        <v>108000</v>
      </c>
      <c r="O23" s="46"/>
      <c r="P23" s="46">
        <v>336647.36</v>
      </c>
      <c r="Q23" s="46">
        <v>100000</v>
      </c>
      <c r="R23" s="46"/>
      <c r="S23" s="46">
        <v>43500</v>
      </c>
      <c r="T23" s="46"/>
      <c r="U23" s="46"/>
      <c r="V23" s="46"/>
      <c r="W23" s="46">
        <v>0</v>
      </c>
      <c r="X23" s="46"/>
      <c r="Y23" s="46">
        <v>600000</v>
      </c>
      <c r="Z23" s="62">
        <f t="shared" si="9"/>
        <v>5006063</v>
      </c>
      <c r="AA23" s="63">
        <f t="shared" si="0"/>
        <v>0</v>
      </c>
      <c r="AB23" s="106">
        <f t="shared" si="1"/>
        <v>0</v>
      </c>
      <c r="AC23" s="172">
        <v>0</v>
      </c>
      <c r="AD23" s="176">
        <f t="shared" si="6"/>
        <v>0</v>
      </c>
      <c r="AE23" s="120">
        <v>4228147.3599999994</v>
      </c>
      <c r="AF23" s="93">
        <f t="shared" si="2"/>
        <v>177916</v>
      </c>
      <c r="AG23" s="93">
        <f t="shared" si="7"/>
        <v>4406063.3599999994</v>
      </c>
      <c r="AH23" s="93">
        <f t="shared" si="10"/>
        <v>599999.6400000006</v>
      </c>
    </row>
    <row r="24" spans="2:34" s="27" customFormat="1" ht="35.1" customHeight="1">
      <c r="B24" s="129">
        <v>18</v>
      </c>
      <c r="C24" s="123" t="s">
        <v>101</v>
      </c>
      <c r="D24" s="116" t="s">
        <v>123</v>
      </c>
      <c r="E24" s="113">
        <v>972280259305000</v>
      </c>
      <c r="F24" s="114" t="s">
        <v>146</v>
      </c>
      <c r="G24" s="107" t="s">
        <v>87</v>
      </c>
      <c r="H24" s="99" t="s">
        <v>39</v>
      </c>
      <c r="I24" s="100" t="s">
        <v>11</v>
      </c>
      <c r="J24" s="132" t="str">
        <f t="shared" si="4"/>
        <v>TER B</v>
      </c>
      <c r="K24" s="60">
        <f>30*121333.33</f>
        <v>3639999.9</v>
      </c>
      <c r="L24" s="46">
        <f t="shared" ref="L24:L29" si="12">3640000*0.84%</f>
        <v>30575.999999999996</v>
      </c>
      <c r="M24" s="152">
        <f>(3640000+47000)*4%</f>
        <v>147480</v>
      </c>
      <c r="N24" s="46">
        <v>162000</v>
      </c>
      <c r="O24" s="46">
        <v>60000</v>
      </c>
      <c r="P24" s="46">
        <v>3282311.76</v>
      </c>
      <c r="Q24" s="46"/>
      <c r="R24" s="46"/>
      <c r="S24" s="46">
        <v>47000</v>
      </c>
      <c r="T24" s="46"/>
      <c r="U24" s="46"/>
      <c r="V24" s="46"/>
      <c r="W24" s="46">
        <v>0</v>
      </c>
      <c r="X24" s="46"/>
      <c r="Y24" s="46">
        <v>650000</v>
      </c>
      <c r="Z24" s="62">
        <f t="shared" si="9"/>
        <v>8019367</v>
      </c>
      <c r="AA24" s="63">
        <f t="shared" si="0"/>
        <v>0.01</v>
      </c>
      <c r="AB24" s="106">
        <f t="shared" si="1"/>
        <v>80193</v>
      </c>
      <c r="AC24" s="172">
        <v>73693</v>
      </c>
      <c r="AD24" s="176">
        <f t="shared" si="6"/>
        <v>6500</v>
      </c>
      <c r="AE24" s="120">
        <v>7191311.7599999998</v>
      </c>
      <c r="AF24" s="93">
        <f t="shared" si="2"/>
        <v>178056</v>
      </c>
      <c r="AG24" s="93">
        <f t="shared" si="7"/>
        <v>7369367.7599999998</v>
      </c>
      <c r="AH24" s="93">
        <f t="shared" si="10"/>
        <v>649999.24000000022</v>
      </c>
    </row>
    <row r="25" spans="2:34" s="27" customFormat="1" ht="35.1" customHeight="1">
      <c r="B25" s="129">
        <v>19</v>
      </c>
      <c r="C25" s="123" t="s">
        <v>107</v>
      </c>
      <c r="D25" s="112" t="s">
        <v>129</v>
      </c>
      <c r="E25" s="115">
        <v>972286066305000</v>
      </c>
      <c r="F25" s="114" t="s">
        <v>152</v>
      </c>
      <c r="G25" s="107" t="s">
        <v>87</v>
      </c>
      <c r="H25" s="99" t="s">
        <v>39</v>
      </c>
      <c r="I25" s="100" t="s">
        <v>11</v>
      </c>
      <c r="J25" s="132" t="str">
        <f t="shared" si="4"/>
        <v>TER B</v>
      </c>
      <c r="K25" s="60">
        <f t="shared" ref="K25:K29" si="13">30*121333.33</f>
        <v>3639999.9</v>
      </c>
      <c r="L25" s="46">
        <f t="shared" si="12"/>
        <v>30575.999999999996</v>
      </c>
      <c r="M25" s="152">
        <f>(3640000+61000)*4%</f>
        <v>148040</v>
      </c>
      <c r="N25" s="46">
        <v>162000</v>
      </c>
      <c r="O25" s="46">
        <v>40000</v>
      </c>
      <c r="P25" s="46">
        <v>3282311.76</v>
      </c>
      <c r="Q25" s="46"/>
      <c r="R25" s="46"/>
      <c r="S25" s="46">
        <v>61000</v>
      </c>
      <c r="T25" s="46"/>
      <c r="U25" s="46"/>
      <c r="V25" s="46"/>
      <c r="W25" s="46">
        <v>0</v>
      </c>
      <c r="X25" s="46"/>
      <c r="Y25" s="46">
        <v>540000</v>
      </c>
      <c r="Z25" s="62">
        <f t="shared" si="9"/>
        <v>7903927</v>
      </c>
      <c r="AA25" s="63">
        <f t="shared" si="0"/>
        <v>0.01</v>
      </c>
      <c r="AB25" s="106">
        <f t="shared" si="1"/>
        <v>79039</v>
      </c>
      <c r="AC25" s="172">
        <v>73639</v>
      </c>
      <c r="AD25" s="176">
        <f t="shared" si="6"/>
        <v>5400</v>
      </c>
      <c r="AE25" s="120">
        <v>7185311.7599999998</v>
      </c>
      <c r="AF25" s="93">
        <f t="shared" si="2"/>
        <v>178616</v>
      </c>
      <c r="AG25" s="93">
        <f t="shared" si="7"/>
        <v>7363927.7599999998</v>
      </c>
      <c r="AH25" s="93">
        <f t="shared" si="10"/>
        <v>539999.24000000022</v>
      </c>
    </row>
    <row r="26" spans="2:34" s="27" customFormat="1" ht="35.1" customHeight="1">
      <c r="B26" s="129">
        <v>20</v>
      </c>
      <c r="C26" s="123" t="s">
        <v>109</v>
      </c>
      <c r="D26" s="112" t="s">
        <v>131</v>
      </c>
      <c r="E26" s="115">
        <v>743653420305000</v>
      </c>
      <c r="F26" s="114" t="s">
        <v>154</v>
      </c>
      <c r="G26" s="107" t="s">
        <v>87</v>
      </c>
      <c r="H26" s="44" t="s">
        <v>39</v>
      </c>
      <c r="I26" s="45" t="s">
        <v>17</v>
      </c>
      <c r="J26" s="132" t="str">
        <f t="shared" si="4"/>
        <v>TER A</v>
      </c>
      <c r="K26" s="60">
        <f t="shared" si="13"/>
        <v>3639999.9</v>
      </c>
      <c r="L26" s="46">
        <f t="shared" si="12"/>
        <v>30575.999999999996</v>
      </c>
      <c r="M26" s="152">
        <f>(3640000+24000)*4%</f>
        <v>146560</v>
      </c>
      <c r="N26" s="46">
        <v>108000</v>
      </c>
      <c r="O26" s="46">
        <v>57000</v>
      </c>
      <c r="P26" s="46">
        <v>2030404.3900000001</v>
      </c>
      <c r="Q26" s="46"/>
      <c r="R26" s="46">
        <v>461066.73</v>
      </c>
      <c r="S26" s="46">
        <v>24000</v>
      </c>
      <c r="T26" s="46"/>
      <c r="U26" s="46"/>
      <c r="V26" s="46"/>
      <c r="W26" s="46">
        <v>0</v>
      </c>
      <c r="X26" s="46"/>
      <c r="Y26" s="46">
        <v>540000</v>
      </c>
      <c r="Z26" s="62">
        <f t="shared" si="9"/>
        <v>7037607</v>
      </c>
      <c r="AA26" s="63">
        <f t="shared" si="0"/>
        <v>1.2500000000000001E-2</v>
      </c>
      <c r="AB26" s="106">
        <f t="shared" si="1"/>
        <v>87970</v>
      </c>
      <c r="AC26" s="172">
        <v>64976</v>
      </c>
      <c r="AD26" s="176">
        <f t="shared" si="6"/>
        <v>22994</v>
      </c>
      <c r="AE26" s="120">
        <v>6320471.120000001</v>
      </c>
      <c r="AF26" s="93">
        <f t="shared" si="2"/>
        <v>177136</v>
      </c>
      <c r="AG26" s="93">
        <f t="shared" si="7"/>
        <v>6497607.120000001</v>
      </c>
      <c r="AH26" s="93">
        <f t="shared" si="10"/>
        <v>539999.87999999896</v>
      </c>
    </row>
    <row r="27" spans="2:34" s="27" customFormat="1" ht="35.1" customHeight="1">
      <c r="B27" s="129">
        <v>21</v>
      </c>
      <c r="C27" s="126" t="s">
        <v>110</v>
      </c>
      <c r="D27" s="112" t="s">
        <v>132</v>
      </c>
      <c r="E27" s="115">
        <v>972285597305000</v>
      </c>
      <c r="F27" s="114" t="s">
        <v>147</v>
      </c>
      <c r="G27" s="107" t="s">
        <v>87</v>
      </c>
      <c r="H27" s="44" t="s">
        <v>39</v>
      </c>
      <c r="I27" s="45" t="s">
        <v>9</v>
      </c>
      <c r="J27" s="132" t="str">
        <f t="shared" si="4"/>
        <v>TER B</v>
      </c>
      <c r="K27" s="60">
        <f t="shared" si="13"/>
        <v>3639999.9</v>
      </c>
      <c r="L27" s="46">
        <f t="shared" si="12"/>
        <v>30575.999999999996</v>
      </c>
      <c r="M27" s="152">
        <f>(3640000+43500)*4%</f>
        <v>147340</v>
      </c>
      <c r="N27" s="46">
        <v>135000</v>
      </c>
      <c r="O27" s="46">
        <v>60000</v>
      </c>
      <c r="P27" s="46">
        <v>73641.61</v>
      </c>
      <c r="Q27" s="46"/>
      <c r="R27" s="46"/>
      <c r="S27" s="46">
        <v>43500</v>
      </c>
      <c r="T27" s="46"/>
      <c r="U27" s="46"/>
      <c r="V27" s="46"/>
      <c r="W27" s="46">
        <v>0</v>
      </c>
      <c r="X27" s="46"/>
      <c r="Y27" s="46">
        <v>540000</v>
      </c>
      <c r="Z27" s="62">
        <f t="shared" si="9"/>
        <v>4670057</v>
      </c>
      <c r="AA27" s="63">
        <f t="shared" si="0"/>
        <v>0</v>
      </c>
      <c r="AB27" s="106">
        <f t="shared" si="1"/>
        <v>0</v>
      </c>
      <c r="AC27" s="172">
        <v>0</v>
      </c>
      <c r="AD27" s="176">
        <f t="shared" si="6"/>
        <v>0</v>
      </c>
      <c r="AE27" s="120">
        <v>3952141.61</v>
      </c>
      <c r="AF27" s="93">
        <f t="shared" si="2"/>
        <v>177916</v>
      </c>
      <c r="AG27" s="93">
        <f t="shared" si="7"/>
        <v>4130057.61</v>
      </c>
      <c r="AH27" s="93">
        <f t="shared" si="10"/>
        <v>539999.39000000013</v>
      </c>
    </row>
    <row r="28" spans="2:34" s="27" customFormat="1" ht="35.1" customHeight="1">
      <c r="B28" s="129">
        <v>22</v>
      </c>
      <c r="C28" s="126" t="s">
        <v>112</v>
      </c>
      <c r="D28" s="112" t="s">
        <v>135</v>
      </c>
      <c r="E28" s="113">
        <v>972280192305000</v>
      </c>
      <c r="F28" s="114" t="s">
        <v>157</v>
      </c>
      <c r="G28" s="107" t="s">
        <v>87</v>
      </c>
      <c r="H28" s="44" t="s">
        <v>39</v>
      </c>
      <c r="I28" s="45" t="s">
        <v>9</v>
      </c>
      <c r="J28" s="132" t="str">
        <f t="shared" si="4"/>
        <v>TER B</v>
      </c>
      <c r="K28" s="60">
        <f t="shared" si="13"/>
        <v>3639999.9</v>
      </c>
      <c r="L28" s="46">
        <f t="shared" si="12"/>
        <v>30575.999999999996</v>
      </c>
      <c r="M28" s="152">
        <f>(3640000+43500)*4%</f>
        <v>147340</v>
      </c>
      <c r="N28" s="46">
        <v>130500</v>
      </c>
      <c r="O28" s="46">
        <v>57000</v>
      </c>
      <c r="P28" s="46">
        <v>3082427.39</v>
      </c>
      <c r="Q28" s="46"/>
      <c r="R28" s="46">
        <v>461066.73</v>
      </c>
      <c r="S28" s="46">
        <v>43500</v>
      </c>
      <c r="T28" s="46"/>
      <c r="U28" s="46"/>
      <c r="V28" s="46"/>
      <c r="W28" s="46">
        <v>-121333.33</v>
      </c>
      <c r="X28" s="46"/>
      <c r="Y28" s="46">
        <v>540000</v>
      </c>
      <c r="Z28" s="62">
        <f t="shared" si="9"/>
        <v>8011076</v>
      </c>
      <c r="AA28" s="63">
        <f t="shared" si="0"/>
        <v>0.01</v>
      </c>
      <c r="AB28" s="106">
        <f t="shared" si="1"/>
        <v>80110</v>
      </c>
      <c r="AC28" s="172">
        <v>74710</v>
      </c>
      <c r="AD28" s="176">
        <f t="shared" si="6"/>
        <v>5400</v>
      </c>
      <c r="AE28" s="120">
        <v>7293160.7866666671</v>
      </c>
      <c r="AF28" s="93">
        <f t="shared" si="2"/>
        <v>177916</v>
      </c>
      <c r="AG28" s="93">
        <f t="shared" si="7"/>
        <v>7471076.7866666671</v>
      </c>
      <c r="AH28" s="93">
        <f t="shared" si="10"/>
        <v>539999.21333333291</v>
      </c>
    </row>
    <row r="29" spans="2:34" s="27" customFormat="1" ht="35.1" customHeight="1" thickBot="1">
      <c r="B29" s="129">
        <v>23</v>
      </c>
      <c r="C29" s="126" t="s">
        <v>106</v>
      </c>
      <c r="D29" s="112" t="s">
        <v>136</v>
      </c>
      <c r="E29" s="115">
        <v>972283733305000</v>
      </c>
      <c r="F29" s="114" t="s">
        <v>158</v>
      </c>
      <c r="G29" s="107" t="s">
        <v>87</v>
      </c>
      <c r="H29" s="44" t="s">
        <v>39</v>
      </c>
      <c r="I29" s="45" t="s">
        <v>9</v>
      </c>
      <c r="J29" s="132" t="str">
        <f t="shared" si="4"/>
        <v>TER B</v>
      </c>
      <c r="K29" s="60">
        <f t="shared" si="13"/>
        <v>3639999.9</v>
      </c>
      <c r="L29" s="46">
        <f t="shared" si="12"/>
        <v>30575.999999999996</v>
      </c>
      <c r="M29" s="154">
        <f>(3640000+47000)*4%</f>
        <v>147480</v>
      </c>
      <c r="N29" s="46">
        <v>130500</v>
      </c>
      <c r="O29" s="46">
        <v>60000</v>
      </c>
      <c r="P29" s="46">
        <v>2745780.03</v>
      </c>
      <c r="Q29" s="46"/>
      <c r="R29" s="46">
        <v>461066.73</v>
      </c>
      <c r="S29" s="159">
        <v>47000</v>
      </c>
      <c r="T29" s="46"/>
      <c r="U29" s="46"/>
      <c r="V29" s="46"/>
      <c r="W29" s="46">
        <v>-121333.33</v>
      </c>
      <c r="X29" s="46"/>
      <c r="Y29" s="46">
        <v>540000</v>
      </c>
      <c r="Z29" s="62">
        <f t="shared" si="9"/>
        <v>7681069</v>
      </c>
      <c r="AA29" s="63">
        <f t="shared" si="0"/>
        <v>0.01</v>
      </c>
      <c r="AB29" s="106">
        <f t="shared" si="1"/>
        <v>76810</v>
      </c>
      <c r="AC29" s="173">
        <v>53558</v>
      </c>
      <c r="AD29" s="177">
        <f t="shared" si="6"/>
        <v>23252</v>
      </c>
      <c r="AE29" s="120">
        <v>6963013.4266666658</v>
      </c>
      <c r="AF29" s="93">
        <f t="shared" si="2"/>
        <v>178056</v>
      </c>
      <c r="AG29" s="93">
        <f t="shared" si="7"/>
        <v>7141069.4266666658</v>
      </c>
      <c r="AH29" s="93">
        <f t="shared" si="10"/>
        <v>539999.57333333418</v>
      </c>
    </row>
    <row r="30" spans="2:34" s="52" customFormat="1" ht="35.1" customHeight="1" thickBot="1">
      <c r="B30" s="82"/>
      <c r="C30" s="83"/>
      <c r="D30" s="83"/>
      <c r="E30" s="83"/>
      <c r="F30" s="83"/>
      <c r="G30" s="83"/>
      <c r="H30" s="83"/>
      <c r="I30" s="83"/>
      <c r="J30" s="83"/>
      <c r="K30" s="84">
        <f t="shared" ref="K30:S30" si="14">SUM(K6:K29)</f>
        <v>83671164.370000005</v>
      </c>
      <c r="L30" s="84">
        <f t="shared" si="14"/>
        <v>703877.99999999988</v>
      </c>
      <c r="M30" s="84">
        <f t="shared" si="14"/>
        <v>3393720</v>
      </c>
      <c r="N30" s="84">
        <f t="shared" si="14"/>
        <v>2786850</v>
      </c>
      <c r="O30" s="84">
        <f t="shared" si="14"/>
        <v>370000</v>
      </c>
      <c r="P30" s="84">
        <f>SUM(P6:P29)</f>
        <v>25646573.210000001</v>
      </c>
      <c r="Q30" s="84">
        <f t="shared" si="14"/>
        <v>720000</v>
      </c>
      <c r="R30" s="84">
        <f t="shared" si="14"/>
        <v>1383200.19</v>
      </c>
      <c r="S30" s="84">
        <f t="shared" si="14"/>
        <v>1048000</v>
      </c>
      <c r="T30" s="84"/>
      <c r="U30" s="84"/>
      <c r="V30" s="84"/>
      <c r="W30" s="84">
        <f>SUM(W6:W29)</f>
        <v>-1718666.62</v>
      </c>
      <c r="X30" s="84"/>
      <c r="Y30" s="84">
        <f>SUM(Y6:Y29)</f>
        <v>11870000</v>
      </c>
      <c r="Z30" s="84">
        <f t="shared" ref="Z30:AG30" si="15">SUM(Z6:Z29)</f>
        <v>129874707</v>
      </c>
      <c r="AA30" s="84">
        <f t="shared" si="15"/>
        <v>8.249999999999999E-2</v>
      </c>
      <c r="AB30" s="84">
        <f>SUM(AB6:AB29)</f>
        <v>608145</v>
      </c>
      <c r="AC30" s="84">
        <f>SUM(AC6:AC29)</f>
        <v>436978</v>
      </c>
      <c r="AD30" s="84">
        <f>SUM(AD6:AD29)</f>
        <v>171167</v>
      </c>
      <c r="AE30" s="158">
        <f>SUM(AE6:AE29)</f>
        <v>113907123.40000001</v>
      </c>
      <c r="AF30" s="156">
        <f>SUM(AF6:AF29)</f>
        <v>4097598</v>
      </c>
      <c r="AG30" s="156">
        <f t="shared" si="15"/>
        <v>118004721.40000001</v>
      </c>
      <c r="AH30" s="169">
        <f>SUM(AH6:AH29)</f>
        <v>11869985.600000003</v>
      </c>
    </row>
    <row r="31" spans="2:34" ht="15" customHeight="1"/>
    <row r="32" spans="2:34" ht="15" hidden="1" customHeight="1">
      <c r="B32" s="51" t="s">
        <v>48</v>
      </c>
      <c r="M32" s="54"/>
      <c r="N32" s="54"/>
      <c r="O32" s="54"/>
      <c r="P32" s="54"/>
      <c r="Q32" s="54"/>
    </row>
    <row r="33" spans="2:55" ht="15" hidden="1" customHeight="1">
      <c r="B33" s="27" t="s">
        <v>49</v>
      </c>
      <c r="M33" s="54"/>
      <c r="N33" s="54"/>
      <c r="O33" s="54"/>
      <c r="P33" s="54"/>
      <c r="Q33" s="54"/>
    </row>
    <row r="34" spans="2:55" ht="15" hidden="1" customHeight="1">
      <c r="B34" s="27" t="s">
        <v>57</v>
      </c>
      <c r="M34" s="54"/>
      <c r="N34" s="54"/>
      <c r="O34" s="54"/>
      <c r="P34" s="54"/>
      <c r="Q34" s="54"/>
    </row>
    <row r="35" spans="2:55" ht="15" hidden="1" customHeight="1">
      <c r="B35" s="27" t="s">
        <v>50</v>
      </c>
      <c r="M35" s="54"/>
      <c r="N35" s="54"/>
      <c r="O35" s="54"/>
      <c r="P35" s="54"/>
      <c r="Q35" s="54"/>
    </row>
    <row r="36" spans="2:55" s="31" customFormat="1" ht="15" hidden="1" customHeight="1">
      <c r="B36" s="27" t="s">
        <v>58</v>
      </c>
      <c r="C36" s="28"/>
      <c r="D36" s="167"/>
      <c r="E36" s="29"/>
      <c r="F36" s="28"/>
      <c r="G36" s="30"/>
      <c r="H36" s="168"/>
      <c r="I36" s="168"/>
      <c r="J36" s="168"/>
      <c r="K36" s="28"/>
      <c r="L36" s="28"/>
      <c r="M36" s="54"/>
      <c r="N36" s="54"/>
      <c r="O36" s="54"/>
      <c r="P36" s="54"/>
      <c r="Q36" s="54"/>
      <c r="R36" s="28"/>
      <c r="S36" s="28"/>
      <c r="T36" s="28"/>
      <c r="U36" s="28"/>
      <c r="V36" s="28"/>
      <c r="W36" s="28"/>
      <c r="X36" s="28"/>
      <c r="Y36" s="28"/>
      <c r="Z36" s="28"/>
      <c r="AA36" s="57"/>
      <c r="AB36" s="28"/>
      <c r="AC36" s="28"/>
      <c r="AD36" s="28"/>
      <c r="AE36" s="27"/>
      <c r="AF36" s="27"/>
      <c r="AG36" s="27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</row>
    <row r="37" spans="2:55" s="31" customFormat="1" ht="15" hidden="1" customHeight="1">
      <c r="B37" s="27" t="s">
        <v>51</v>
      </c>
      <c r="C37" s="28"/>
      <c r="D37" s="167"/>
      <c r="E37" s="29"/>
      <c r="F37" s="28"/>
      <c r="G37" s="30"/>
      <c r="H37" s="168"/>
      <c r="I37" s="168"/>
      <c r="J37" s="168"/>
      <c r="K37" s="28"/>
      <c r="L37" s="28"/>
      <c r="M37" s="54"/>
      <c r="N37" s="54"/>
      <c r="O37" s="54"/>
      <c r="P37" s="54"/>
      <c r="Q37" s="54"/>
      <c r="R37" s="28"/>
      <c r="S37" s="28"/>
      <c r="T37" s="28"/>
      <c r="U37" s="28"/>
      <c r="V37" s="28"/>
      <c r="W37" s="28"/>
      <c r="X37" s="28"/>
      <c r="Y37" s="28"/>
      <c r="Z37" s="28"/>
      <c r="AA37" s="57"/>
      <c r="AB37" s="28"/>
      <c r="AC37" s="28"/>
      <c r="AD37" s="28"/>
      <c r="AE37" s="27"/>
      <c r="AF37" s="27"/>
      <c r="AG37" s="27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</row>
    <row r="38" spans="2:55" s="31" customFormat="1" ht="15" hidden="1" customHeight="1">
      <c r="B38" s="27" t="s">
        <v>52</v>
      </c>
      <c r="C38" s="28"/>
      <c r="D38" s="167"/>
      <c r="E38" s="29"/>
      <c r="F38" s="28"/>
      <c r="G38" s="30"/>
      <c r="H38" s="168"/>
      <c r="I38" s="168"/>
      <c r="J38" s="168"/>
      <c r="K38" s="28"/>
      <c r="L38" s="28"/>
      <c r="M38" s="54"/>
      <c r="N38" s="54"/>
      <c r="O38" s="54"/>
      <c r="P38" s="54"/>
      <c r="Q38" s="54"/>
      <c r="R38" s="28"/>
      <c r="S38" s="28"/>
      <c r="T38" s="28"/>
      <c r="U38" s="28"/>
      <c r="V38" s="28"/>
      <c r="W38" s="28"/>
      <c r="X38" s="28"/>
      <c r="Y38" s="28"/>
      <c r="Z38" s="28"/>
      <c r="AA38" s="57"/>
      <c r="AB38" s="28"/>
      <c r="AC38" s="28"/>
      <c r="AD38" s="28"/>
      <c r="AE38" s="27"/>
      <c r="AF38" s="27"/>
      <c r="AG38" s="27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</row>
    <row r="39" spans="2:55" s="31" customFormat="1" ht="15" hidden="1" customHeight="1">
      <c r="B39" s="27" t="s">
        <v>53</v>
      </c>
      <c r="C39" s="28"/>
      <c r="D39" s="167"/>
      <c r="E39" s="29"/>
      <c r="F39" s="28"/>
      <c r="G39" s="30"/>
      <c r="H39" s="168"/>
      <c r="I39" s="168"/>
      <c r="J39" s="168"/>
      <c r="K39" s="28"/>
      <c r="L39" s="28"/>
      <c r="M39" s="54"/>
      <c r="N39" s="54"/>
      <c r="O39" s="54"/>
      <c r="P39" s="54"/>
      <c r="Q39" s="54"/>
      <c r="R39" s="28"/>
      <c r="S39" s="28"/>
      <c r="T39" s="28"/>
      <c r="U39" s="28"/>
      <c r="V39" s="28"/>
      <c r="W39" s="28"/>
      <c r="X39" s="28"/>
      <c r="Y39" s="28"/>
      <c r="Z39" s="28"/>
      <c r="AA39" s="57"/>
      <c r="AB39" s="28"/>
      <c r="AC39" s="28"/>
      <c r="AD39" s="28"/>
      <c r="AE39" s="27"/>
      <c r="AF39" s="27"/>
      <c r="AG39" s="27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</row>
    <row r="40" spans="2:55" s="31" customFormat="1" ht="15" hidden="1" customHeight="1">
      <c r="B40" s="27" t="s">
        <v>59</v>
      </c>
      <c r="C40" s="28"/>
      <c r="D40" s="167"/>
      <c r="E40" s="29"/>
      <c r="F40" s="28"/>
      <c r="G40" s="30"/>
      <c r="H40" s="168"/>
      <c r="I40" s="168"/>
      <c r="J40" s="168"/>
      <c r="K40" s="28"/>
      <c r="L40" s="28"/>
      <c r="M40" s="54"/>
      <c r="N40" s="54"/>
      <c r="O40" s="54"/>
      <c r="P40" s="54"/>
      <c r="Q40" s="54"/>
      <c r="R40" s="28"/>
      <c r="S40" s="28"/>
      <c r="T40" s="28"/>
      <c r="U40" s="28"/>
      <c r="V40" s="28"/>
      <c r="W40" s="28"/>
      <c r="X40" s="28"/>
      <c r="Y40" s="28"/>
      <c r="Z40" s="28"/>
      <c r="AA40" s="57"/>
      <c r="AB40" s="28"/>
      <c r="AC40" s="28"/>
      <c r="AD40" s="28"/>
      <c r="AE40" s="27"/>
      <c r="AF40" s="27"/>
      <c r="AG40" s="27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</row>
    <row r="41" spans="2:55" s="31" customFormat="1" ht="15" hidden="1" customHeight="1">
      <c r="B41" s="27" t="s">
        <v>60</v>
      </c>
      <c r="C41" s="28"/>
      <c r="D41" s="167"/>
      <c r="E41" s="29"/>
      <c r="F41" s="28"/>
      <c r="G41" s="30"/>
      <c r="H41" s="168"/>
      <c r="I41" s="168"/>
      <c r="J41" s="168"/>
      <c r="K41" s="28"/>
      <c r="L41" s="28"/>
      <c r="M41" s="54"/>
      <c r="N41" s="54"/>
      <c r="O41" s="54"/>
      <c r="P41" s="54"/>
      <c r="Q41" s="54"/>
      <c r="R41" s="28"/>
      <c r="S41" s="28"/>
      <c r="T41" s="28"/>
      <c r="U41" s="28"/>
      <c r="V41" s="28"/>
      <c r="W41" s="28"/>
      <c r="X41" s="28"/>
      <c r="Y41" s="28"/>
      <c r="Z41" s="28"/>
      <c r="AA41" s="57"/>
      <c r="AB41" s="28"/>
      <c r="AC41" s="28"/>
      <c r="AD41" s="28"/>
      <c r="AE41" s="27"/>
      <c r="AF41" s="27"/>
      <c r="AG41" s="27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</row>
    <row r="42" spans="2:55" s="31" customFormat="1" ht="15" hidden="1" customHeight="1">
      <c r="B42" s="27" t="s">
        <v>65</v>
      </c>
      <c r="C42" s="28"/>
      <c r="D42" s="167"/>
      <c r="E42" s="29"/>
      <c r="F42" s="28"/>
      <c r="G42" s="30"/>
      <c r="H42" s="168"/>
      <c r="I42" s="168"/>
      <c r="J42" s="168"/>
      <c r="K42" s="28"/>
      <c r="L42" s="28"/>
      <c r="M42" s="54"/>
      <c r="N42" s="54"/>
      <c r="O42" s="54"/>
      <c r="P42" s="54"/>
      <c r="Q42" s="54"/>
      <c r="R42" s="28"/>
      <c r="S42" s="28"/>
      <c r="T42" s="28"/>
      <c r="U42" s="28"/>
      <c r="V42" s="28"/>
      <c r="W42" s="28"/>
      <c r="X42" s="28"/>
      <c r="Y42" s="28"/>
      <c r="Z42" s="28"/>
      <c r="AA42" s="57"/>
      <c r="AB42" s="28"/>
      <c r="AC42" s="28"/>
      <c r="AD42" s="28"/>
      <c r="AE42" s="27"/>
      <c r="AF42" s="27"/>
      <c r="AG42" s="27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</row>
    <row r="43" spans="2:55" s="31" customFormat="1" ht="15" hidden="1" customHeight="1">
      <c r="B43" s="27"/>
      <c r="C43" s="28"/>
      <c r="D43" s="167"/>
      <c r="E43" s="29"/>
      <c r="F43" s="28"/>
      <c r="G43" s="30"/>
      <c r="H43" s="168"/>
      <c r="I43" s="168"/>
      <c r="J43" s="168"/>
      <c r="K43" s="28"/>
      <c r="L43" s="28"/>
      <c r="M43" s="54"/>
      <c r="N43" s="54"/>
      <c r="O43" s="54"/>
      <c r="P43" s="54"/>
      <c r="Q43" s="54"/>
      <c r="R43" s="28"/>
      <c r="S43" s="28"/>
      <c r="T43" s="28"/>
      <c r="U43" s="28"/>
      <c r="V43" s="28"/>
      <c r="W43" s="28"/>
      <c r="X43" s="28"/>
      <c r="Y43" s="28"/>
      <c r="Z43" s="28"/>
      <c r="AA43" s="57"/>
      <c r="AB43" s="28"/>
      <c r="AC43" s="28"/>
      <c r="AD43" s="28"/>
      <c r="AE43" s="27"/>
      <c r="AF43" s="27"/>
      <c r="AG43" s="27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</row>
    <row r="44" spans="2:55" s="31" customFormat="1" ht="15" hidden="1" customHeight="1">
      <c r="B44" s="27"/>
      <c r="C44" s="28"/>
      <c r="D44" s="167"/>
      <c r="E44" s="29"/>
      <c r="F44" s="28"/>
      <c r="G44" s="30"/>
      <c r="H44" s="168"/>
      <c r="I44" s="168"/>
      <c r="J44" s="168"/>
      <c r="K44" s="28"/>
      <c r="L44" s="28"/>
      <c r="M44" s="54"/>
      <c r="N44" s="54"/>
      <c r="O44" s="54"/>
      <c r="P44" s="54"/>
      <c r="Q44" s="54"/>
      <c r="R44" s="28"/>
      <c r="S44" s="28"/>
      <c r="T44" s="28"/>
      <c r="U44" s="28"/>
      <c r="V44" s="28"/>
      <c r="W44" s="28"/>
      <c r="X44" s="28"/>
      <c r="Y44" s="28"/>
      <c r="Z44" s="28"/>
      <c r="AA44" s="57"/>
      <c r="AB44" s="28"/>
      <c r="AC44" s="28"/>
      <c r="AD44" s="28"/>
      <c r="AE44" s="27"/>
      <c r="AF44" s="27"/>
      <c r="AG44" s="27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</row>
    <row r="45" spans="2:55" s="31" customFormat="1" ht="24.95" customHeight="1">
      <c r="B45" s="27"/>
      <c r="C45" s="28"/>
      <c r="D45" s="167"/>
      <c r="E45" s="29"/>
      <c r="F45" s="28"/>
      <c r="G45" s="30"/>
      <c r="H45" s="168"/>
      <c r="I45" s="168"/>
      <c r="J45" s="168"/>
      <c r="K45" s="28"/>
      <c r="L45" s="28"/>
      <c r="M45" s="54"/>
      <c r="N45" s="54"/>
      <c r="O45" s="54"/>
      <c r="P45" s="54"/>
      <c r="Q45" s="54"/>
      <c r="R45" s="28"/>
      <c r="S45" s="28"/>
      <c r="T45" s="28"/>
      <c r="U45" s="28"/>
      <c r="V45" s="28"/>
      <c r="W45" s="28"/>
      <c r="X45" s="28"/>
      <c r="Y45" s="28"/>
      <c r="Z45" s="28"/>
      <c r="AA45" s="57"/>
      <c r="AB45" s="28"/>
      <c r="AC45" s="28"/>
      <c r="AD45" s="28"/>
      <c r="AE45" s="27"/>
      <c r="AF45" s="27"/>
      <c r="AG45" s="151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</row>
    <row r="46" spans="2:55" ht="35.1" customHeight="1">
      <c r="D46" s="603" t="s">
        <v>165</v>
      </c>
      <c r="E46" s="603"/>
      <c r="K46" s="603" t="s">
        <v>167</v>
      </c>
      <c r="L46" s="603"/>
      <c r="M46" s="603"/>
      <c r="N46" s="603"/>
      <c r="O46" s="54"/>
      <c r="P46" s="54"/>
      <c r="Q46" s="54"/>
    </row>
    <row r="47" spans="2:55" ht="35.1" customHeight="1"/>
    <row r="48" spans="2:55" ht="35.1" customHeight="1"/>
    <row r="49" spans="4:14" ht="35.1" customHeight="1">
      <c r="D49" s="603" t="s">
        <v>96</v>
      </c>
      <c r="E49" s="603"/>
      <c r="K49" s="603" t="s">
        <v>168</v>
      </c>
      <c r="L49" s="603"/>
      <c r="M49" s="603"/>
      <c r="N49" s="603"/>
    </row>
    <row r="50" spans="4:14" ht="35.1" customHeight="1">
      <c r="D50" s="603" t="s">
        <v>166</v>
      </c>
      <c r="E50" s="603"/>
      <c r="K50" s="603" t="s">
        <v>169</v>
      </c>
      <c r="L50" s="603"/>
      <c r="M50" s="603"/>
      <c r="N50" s="603"/>
    </row>
    <row r="51" spans="4:14" ht="24.95" customHeight="1"/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41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G71"/>
  <sheetViews>
    <sheetView zoomScale="67" zoomScaleNormal="67" workbookViewId="0">
      <pane xSplit="6" ySplit="1" topLeftCell="N2" activePane="bottomRight" state="frozen"/>
      <selection pane="topRight" activeCell="G1" sqref="G1"/>
      <selection pane="bottomLeft" activeCell="A6" sqref="A6"/>
      <selection pane="bottomRight" activeCell="AR7" sqref="AR7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" style="28" customWidth="1"/>
    <col min="4" max="4" width="18.5703125" style="194" customWidth="1" outlineLevel="1"/>
    <col min="5" max="5" width="19.42578125" style="29" customWidth="1" outlineLevel="1"/>
    <col min="6" max="6" width="48.28515625" style="28" customWidth="1" outlineLevel="1"/>
    <col min="7" max="7" width="25.140625" style="30" customWidth="1" outlineLevel="1"/>
    <col min="8" max="8" width="6" style="195" customWidth="1" outlineLevel="1"/>
    <col min="9" max="9" width="6.7109375" style="195" customWidth="1" outlineLevel="1"/>
    <col min="10" max="10" width="10.85546875" style="195" customWidth="1" outlineLevel="1"/>
    <col min="11" max="11" width="14.140625" style="28" customWidth="1"/>
    <col min="12" max="12" width="11.7109375" style="28" customWidth="1"/>
    <col min="13" max="13" width="12.7109375" style="28" customWidth="1"/>
    <col min="14" max="14" width="12" style="28" customWidth="1"/>
    <col min="15" max="15" width="11.42578125" style="28" customWidth="1"/>
    <col min="16" max="16" width="12" style="28" customWidth="1"/>
    <col min="17" max="17" width="11" style="28" customWidth="1"/>
    <col min="18" max="18" width="9.85546875" style="28" customWidth="1"/>
    <col min="19" max="20" width="12" style="28" customWidth="1"/>
    <col min="21" max="21" width="10.140625" style="28" customWidth="1"/>
    <col min="22" max="22" width="11.28515625" style="28" customWidth="1"/>
    <col min="23" max="23" width="10.7109375" style="28" customWidth="1"/>
    <col min="24" max="24" width="12.7109375" style="28" customWidth="1"/>
    <col min="25" max="25" width="11.42578125" style="28" hidden="1" customWidth="1"/>
    <col min="26" max="26" width="9.140625" style="28" customWidth="1"/>
    <col min="27" max="28" width="12.7109375" style="28" hidden="1" customWidth="1"/>
    <col min="29" max="29" width="15.7109375" style="28" customWidth="1"/>
    <col min="30" max="30" width="7" style="28" hidden="1" customWidth="1"/>
    <col min="31" max="31" width="12.5703125" style="28" customWidth="1"/>
    <col min="32" max="32" width="13.5703125" style="28" customWidth="1" collapsed="1"/>
    <col min="33" max="33" width="7.7109375" style="57" customWidth="1"/>
    <col min="34" max="34" width="10.85546875" style="28" customWidth="1"/>
    <col min="35" max="35" width="10.7109375" style="27" hidden="1" customWidth="1"/>
    <col min="36" max="36" width="13" style="27" hidden="1" customWidth="1"/>
    <col min="37" max="37" width="0" style="27" hidden="1" customWidth="1"/>
    <col min="38" max="38" width="13.85546875" style="53" hidden="1" customWidth="1"/>
    <col min="39" max="39" width="14" style="53" hidden="1" customWidth="1"/>
    <col min="40" max="40" width="11.5703125" style="53" hidden="1" customWidth="1"/>
    <col min="41" max="42" width="11" style="53" hidden="1" customWidth="1"/>
    <col min="43" max="43" width="12.28515625" style="53" customWidth="1"/>
    <col min="44" max="16384" width="9.28515625" style="53"/>
  </cols>
  <sheetData>
    <row r="1" spans="2:44">
      <c r="B1" s="27" t="s">
        <v>71</v>
      </c>
      <c r="AI1" s="53"/>
      <c r="AJ1" s="53"/>
      <c r="AK1" s="53"/>
    </row>
    <row r="2" spans="2:44">
      <c r="B2" s="27" t="s">
        <v>177</v>
      </c>
      <c r="AI2" s="53"/>
      <c r="AJ2" s="53"/>
      <c r="AK2" s="53"/>
    </row>
    <row r="3" spans="2:44">
      <c r="B3" s="27" t="s">
        <v>326</v>
      </c>
      <c r="AI3" s="53"/>
      <c r="AJ3" s="53"/>
      <c r="AK3" s="53"/>
    </row>
    <row r="4" spans="2:44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/>
      <c r="R4" s="28"/>
      <c r="S4" s="28"/>
      <c r="T4" s="28" t="s">
        <v>327</v>
      </c>
      <c r="U4" s="28" t="s">
        <v>328</v>
      </c>
      <c r="V4" s="28" t="s">
        <v>329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57"/>
      <c r="AH4" s="28"/>
    </row>
    <row r="5" spans="2:44" s="27" customFormat="1" ht="51.75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89" t="s">
        <v>67</v>
      </c>
      <c r="M5" s="188" t="s">
        <v>68</v>
      </c>
      <c r="N5" s="189" t="s">
        <v>385</v>
      </c>
      <c r="O5" s="189" t="s">
        <v>386</v>
      </c>
      <c r="P5" s="189" t="s">
        <v>387</v>
      </c>
      <c r="Q5" s="189" t="s">
        <v>388</v>
      </c>
      <c r="R5" s="188" t="s">
        <v>331</v>
      </c>
      <c r="S5" s="188" t="s">
        <v>332</v>
      </c>
      <c r="T5" s="189" t="s">
        <v>76</v>
      </c>
      <c r="U5" s="189" t="s">
        <v>77</v>
      </c>
      <c r="V5" s="189" t="s">
        <v>81</v>
      </c>
      <c r="W5" s="189" t="s">
        <v>333</v>
      </c>
      <c r="X5" s="188" t="s">
        <v>82</v>
      </c>
      <c r="Y5" s="188" t="s">
        <v>334</v>
      </c>
      <c r="Z5" s="188" t="s">
        <v>335</v>
      </c>
      <c r="AA5" s="188" t="s">
        <v>84</v>
      </c>
      <c r="AB5" s="188" t="s">
        <v>85</v>
      </c>
      <c r="AC5" s="188" t="s">
        <v>336</v>
      </c>
      <c r="AD5" s="188" t="s">
        <v>79</v>
      </c>
      <c r="AE5" s="188" t="s">
        <v>80</v>
      </c>
      <c r="AF5" s="188" t="s">
        <v>41</v>
      </c>
      <c r="AG5" s="102" t="s">
        <v>42</v>
      </c>
      <c r="AH5" s="103" t="s">
        <v>43</v>
      </c>
      <c r="AI5" s="188" t="s">
        <v>69</v>
      </c>
      <c r="AJ5" s="103" t="s">
        <v>70</v>
      </c>
      <c r="AK5" s="103" t="s">
        <v>337</v>
      </c>
    </row>
    <row r="6" spans="2:44" s="27" customFormat="1">
      <c r="B6" s="34">
        <v>1</v>
      </c>
      <c r="C6" s="35" t="s">
        <v>221</v>
      </c>
      <c r="D6" s="204" t="s">
        <v>222</v>
      </c>
      <c r="E6" s="36" t="s">
        <v>338</v>
      </c>
      <c r="F6" s="35" t="s">
        <v>223</v>
      </c>
      <c r="G6" s="205" t="s">
        <v>391</v>
      </c>
      <c r="H6" s="37" t="s">
        <v>39</v>
      </c>
      <c r="I6" s="38" t="s">
        <v>7</v>
      </c>
      <c r="J6" s="55" t="str">
        <f>IF(ISBLANK(I6),"",IF(OR(I6="TK/0",I6="TK/1",I6="K/0"),"TER A",IF(I6="K/3","TER C","TER B")))</f>
        <v>TER A</v>
      </c>
      <c r="K6" s="59">
        <v>3792333.23</v>
      </c>
      <c r="L6" s="39">
        <f>3670000*0.84%</f>
        <v>30827.999999999996</v>
      </c>
      <c r="M6" s="101">
        <f>'[19]MAINTENANCE-2'!AP11</f>
        <v>148540</v>
      </c>
      <c r="N6" s="119"/>
      <c r="O6" s="119"/>
      <c r="P6" s="119"/>
      <c r="Q6" s="39"/>
      <c r="R6" s="101"/>
      <c r="S6" s="101"/>
      <c r="T6" s="39">
        <f>'[20]MAINTENANCE-2'!X11</f>
        <v>65250</v>
      </c>
      <c r="U6" s="39">
        <v>57000</v>
      </c>
      <c r="V6" s="39"/>
      <c r="W6" s="39"/>
      <c r="X6" s="39">
        <f>'[20]MAINTENANCE-2'!AC11</f>
        <v>43500</v>
      </c>
      <c r="Y6" s="101"/>
      <c r="Z6" s="101"/>
      <c r="AA6" s="101"/>
      <c r="AB6" s="101"/>
      <c r="AC6" s="229">
        <v>-244666.66</v>
      </c>
      <c r="AD6" s="39"/>
      <c r="AE6" s="39">
        <v>300000</v>
      </c>
      <c r="AF6" s="104">
        <f>ROUNDDOWN(SUM(K6:AE6),0)</f>
        <v>4192784</v>
      </c>
      <c r="AG6" s="105">
        <f t="shared" ref="AG6:AG37" si="0">IF(J6="TER A",VLOOKUP(AF6,Ter_A,4,TRUE),IF(J6="TER B",VLOOKUP(AF6,Ter_B,4,TRUE),VLOOKUP(AF6,Ter_C,4,TRUE)))</f>
        <v>0</v>
      </c>
      <c r="AH6" s="106">
        <f>ROUNDDOWN(IF(E6=0,AF6*AG6*120%,AF6*AG6),0)</f>
        <v>0</v>
      </c>
      <c r="AJ6" s="93">
        <f>AI6-AH6</f>
        <v>0</v>
      </c>
      <c r="AL6" s="206">
        <v>3713416.5700000003</v>
      </c>
      <c r="AM6" s="207">
        <f>AL6+L6+M6+AE6</f>
        <v>4192784.5700000003</v>
      </c>
      <c r="AN6" s="151">
        <f>AM6-AF6</f>
        <v>0.57000000029802322</v>
      </c>
      <c r="AO6" s="93">
        <f>AF6-AE6</f>
        <v>3892784</v>
      </c>
      <c r="AP6" s="93">
        <f>AF6-AE6-L6-M6</f>
        <v>3713416</v>
      </c>
      <c r="AQ6" s="93">
        <f>SUM(N6:AC6)</f>
        <v>-78916.66</v>
      </c>
      <c r="AR6" s="93">
        <f>AF6-AE6-L6-M6-K6</f>
        <v>-78917.229999999981</v>
      </c>
    </row>
    <row r="7" spans="2:44" s="27" customFormat="1">
      <c r="B7" s="97">
        <v>2</v>
      </c>
      <c r="C7" s="98" t="s">
        <v>224</v>
      </c>
      <c r="D7" s="208" t="s">
        <v>225</v>
      </c>
      <c r="E7" s="209" t="s">
        <v>73</v>
      </c>
      <c r="F7" s="98" t="s">
        <v>226</v>
      </c>
      <c r="G7" s="107" t="s">
        <v>340</v>
      </c>
      <c r="H7" s="99" t="s">
        <v>38</v>
      </c>
      <c r="I7" s="100" t="s">
        <v>7</v>
      </c>
      <c r="J7" s="58" t="str">
        <f t="shared" ref="J7:J43" si="1">IF(ISBLANK(I7),"",IF(OR(I7="TK/0",I7="TK/1",I7="K/0"),"TER A",IF(I7="K/3","TER C","TER B")))</f>
        <v>TER A</v>
      </c>
      <c r="K7" s="210">
        <v>3761333.23</v>
      </c>
      <c r="L7" s="101">
        <f>3640000*0.84%</f>
        <v>30575.999999999996</v>
      </c>
      <c r="M7" s="101">
        <f>'[19]MAINTENANCE-2'!AP12</f>
        <v>146200</v>
      </c>
      <c r="N7" s="101"/>
      <c r="O7" s="101"/>
      <c r="P7" s="101"/>
      <c r="Q7" s="101"/>
      <c r="R7" s="101"/>
      <c r="S7" s="101"/>
      <c r="T7" s="101">
        <f>'[20]MAINTENANCE-2'!X12</f>
        <v>69750</v>
      </c>
      <c r="U7" s="46">
        <v>44000</v>
      </c>
      <c r="V7" s="101">
        <v>1546473.81</v>
      </c>
      <c r="W7" s="101"/>
      <c r="X7" s="101">
        <f>'[20]MAINTENANCE-2'!AC12</f>
        <v>15000</v>
      </c>
      <c r="Y7" s="101"/>
      <c r="Z7" s="101"/>
      <c r="AA7" s="101"/>
      <c r="AB7" s="101"/>
      <c r="AC7" s="230">
        <v>0</v>
      </c>
      <c r="AD7" s="101"/>
      <c r="AE7" s="101">
        <v>650000</v>
      </c>
      <c r="AF7" s="62">
        <f t="shared" ref="AF7:AF43" si="2">ROUNDDOWN(SUM(K7:AE7),0)</f>
        <v>6263333</v>
      </c>
      <c r="AG7" s="63">
        <f t="shared" si="0"/>
        <v>7.4999999999999997E-3</v>
      </c>
      <c r="AH7" s="106">
        <f t="shared" ref="AH7:AH43" si="3">ROUNDDOWN(IF(E7=0,AF7*AG7*120%,AF7*AG7),0)</f>
        <v>46974</v>
      </c>
      <c r="AJ7" s="93">
        <f t="shared" ref="AJ7:AJ43" si="4">AI7-AH7</f>
        <v>-46974</v>
      </c>
      <c r="AL7" s="206">
        <v>5436557.040000001</v>
      </c>
      <c r="AM7" s="207">
        <f t="shared" ref="AM7:AM43" si="5">AL7+L7+M7+AE7</f>
        <v>6263333.040000001</v>
      </c>
      <c r="AN7" s="151">
        <f t="shared" ref="AN7:AN42" si="6">AM7-AF7</f>
        <v>4.0000000968575478E-2</v>
      </c>
      <c r="AO7" s="93">
        <f t="shared" ref="AO7:AO43" si="7">AF7-AE7</f>
        <v>5613333</v>
      </c>
      <c r="AP7" s="93">
        <f t="shared" ref="AP7:AP43" si="8">AF7-AE7-L7-M7</f>
        <v>5436557</v>
      </c>
      <c r="AQ7" s="93">
        <f t="shared" ref="AQ7:AQ43" si="9">SUM(N7:AC7)</f>
        <v>1675223.81</v>
      </c>
    </row>
    <row r="8" spans="2:44" s="27" customFormat="1">
      <c r="B8" s="97">
        <v>3</v>
      </c>
      <c r="C8" s="98" t="s">
        <v>227</v>
      </c>
      <c r="D8" s="208" t="s">
        <v>228</v>
      </c>
      <c r="E8" s="209" t="s">
        <v>341</v>
      </c>
      <c r="F8" s="98" t="s">
        <v>229</v>
      </c>
      <c r="G8" s="107" t="s">
        <v>88</v>
      </c>
      <c r="H8" s="99" t="s">
        <v>39</v>
      </c>
      <c r="I8" s="100" t="s">
        <v>7</v>
      </c>
      <c r="J8" s="58" t="str">
        <f t="shared" si="1"/>
        <v>TER A</v>
      </c>
      <c r="K8" s="210">
        <v>3761333.23</v>
      </c>
      <c r="L8" s="101">
        <f t="shared" ref="L8:L36" si="10">3640000*0.84%</f>
        <v>30575.999999999996</v>
      </c>
      <c r="M8" s="101">
        <f>'[19]MAINTENANCE-2'!AP13</f>
        <v>147480</v>
      </c>
      <c r="N8" s="101"/>
      <c r="O8" s="101"/>
      <c r="P8" s="101"/>
      <c r="Q8" s="101"/>
      <c r="R8" s="101"/>
      <c r="S8" s="101"/>
      <c r="T8" s="101">
        <f>'[20]MAINTENANCE-2'!X13</f>
        <v>67500</v>
      </c>
      <c r="U8" s="101"/>
      <c r="V8" s="101"/>
      <c r="W8" s="101"/>
      <c r="X8" s="101">
        <f>'[20]MAINTENANCE-2'!AC13</f>
        <v>47000</v>
      </c>
      <c r="Y8" s="101"/>
      <c r="Z8" s="101"/>
      <c r="AA8" s="101"/>
      <c r="AB8" s="101"/>
      <c r="AC8" s="230">
        <v>-121333.33</v>
      </c>
      <c r="AD8" s="101"/>
      <c r="AE8" s="101">
        <v>280000</v>
      </c>
      <c r="AF8" s="62">
        <f t="shared" si="2"/>
        <v>4212555</v>
      </c>
      <c r="AG8" s="63">
        <f t="shared" si="0"/>
        <v>0</v>
      </c>
      <c r="AH8" s="106">
        <f t="shared" si="3"/>
        <v>0</v>
      </c>
      <c r="AJ8" s="93">
        <f t="shared" si="4"/>
        <v>0</v>
      </c>
      <c r="AL8" s="206">
        <v>3754499.9000000004</v>
      </c>
      <c r="AM8" s="207">
        <f t="shared" si="5"/>
        <v>4212555.9000000004</v>
      </c>
      <c r="AN8" s="151">
        <f t="shared" si="6"/>
        <v>0.90000000037252903</v>
      </c>
      <c r="AO8" s="93">
        <f t="shared" si="7"/>
        <v>3932555</v>
      </c>
      <c r="AP8" s="93">
        <f t="shared" si="8"/>
        <v>3754499</v>
      </c>
      <c r="AQ8" s="93">
        <f t="shared" si="9"/>
        <v>-6833.3300000000017</v>
      </c>
    </row>
    <row r="9" spans="2:44" s="27" customFormat="1">
      <c r="B9" s="97">
        <v>4</v>
      </c>
      <c r="C9" s="98" t="s">
        <v>230</v>
      </c>
      <c r="D9" s="208" t="s">
        <v>231</v>
      </c>
      <c r="E9" s="209" t="s">
        <v>73</v>
      </c>
      <c r="F9" s="98" t="s">
        <v>232</v>
      </c>
      <c r="G9" s="107" t="s">
        <v>88</v>
      </c>
      <c r="H9" s="99" t="s">
        <v>39</v>
      </c>
      <c r="I9" s="100" t="s">
        <v>9</v>
      </c>
      <c r="J9" s="58" t="str">
        <f t="shared" si="1"/>
        <v>TER B</v>
      </c>
      <c r="K9" s="210">
        <v>3761333.23</v>
      </c>
      <c r="L9" s="101">
        <f t="shared" si="10"/>
        <v>30575.999999999996</v>
      </c>
      <c r="M9" s="101">
        <f>'[19]MAINTENANCE-2'!AP14</f>
        <v>146680</v>
      </c>
      <c r="N9" s="101"/>
      <c r="O9" s="101"/>
      <c r="P9" s="101"/>
      <c r="Q9" s="101"/>
      <c r="R9" s="101"/>
      <c r="S9" s="101"/>
      <c r="T9" s="101">
        <f>'[20]MAINTENANCE-2'!X14</f>
        <v>135000</v>
      </c>
      <c r="U9" s="101"/>
      <c r="V9" s="101"/>
      <c r="W9" s="101"/>
      <c r="X9" s="101">
        <f>'[20]MAINTENANCE-2'!AC14</f>
        <v>27000</v>
      </c>
      <c r="Y9" s="101"/>
      <c r="Z9" s="101"/>
      <c r="AA9" s="101"/>
      <c r="AB9" s="101"/>
      <c r="AC9" s="230">
        <v>-121333.33</v>
      </c>
      <c r="AD9" s="101"/>
      <c r="AE9" s="101">
        <v>280000</v>
      </c>
      <c r="AF9" s="62">
        <f t="shared" si="2"/>
        <v>4259255</v>
      </c>
      <c r="AG9" s="63">
        <f t="shared" si="0"/>
        <v>0</v>
      </c>
      <c r="AH9" s="106">
        <f t="shared" si="3"/>
        <v>0</v>
      </c>
      <c r="AJ9" s="93">
        <f t="shared" si="4"/>
        <v>0</v>
      </c>
      <c r="AL9" s="206">
        <v>3801999.8999999994</v>
      </c>
      <c r="AM9" s="207">
        <f t="shared" si="5"/>
        <v>4259255.8999999994</v>
      </c>
      <c r="AN9" s="151">
        <f t="shared" si="6"/>
        <v>0.89999999944120646</v>
      </c>
      <c r="AO9" s="93">
        <f t="shared" si="7"/>
        <v>3979255</v>
      </c>
      <c r="AP9" s="93">
        <f t="shared" si="8"/>
        <v>3801999</v>
      </c>
      <c r="AQ9" s="93">
        <f t="shared" si="9"/>
        <v>40666.67</v>
      </c>
    </row>
    <row r="10" spans="2:44" s="27" customFormat="1">
      <c r="B10" s="97">
        <v>5</v>
      </c>
      <c r="C10" s="98" t="s">
        <v>233</v>
      </c>
      <c r="D10" s="208" t="s">
        <v>234</v>
      </c>
      <c r="E10" s="209" t="s">
        <v>342</v>
      </c>
      <c r="F10" s="98" t="s">
        <v>235</v>
      </c>
      <c r="G10" s="107" t="s">
        <v>88</v>
      </c>
      <c r="H10" s="99" t="s">
        <v>38</v>
      </c>
      <c r="I10" s="100" t="s">
        <v>7</v>
      </c>
      <c r="J10" s="58" t="str">
        <f t="shared" si="1"/>
        <v>TER A</v>
      </c>
      <c r="K10" s="210">
        <v>3761333.23</v>
      </c>
      <c r="L10" s="101">
        <f t="shared" si="10"/>
        <v>30575.999999999996</v>
      </c>
      <c r="M10" s="101">
        <f>'[19]MAINTENANCE-2'!AP15</f>
        <v>147620</v>
      </c>
      <c r="N10" s="101"/>
      <c r="O10" s="101"/>
      <c r="P10" s="101"/>
      <c r="Q10" s="101"/>
      <c r="R10" s="101"/>
      <c r="S10" s="101"/>
      <c r="T10" s="101">
        <f>'[20]MAINTENANCE-2'!X15</f>
        <v>69750</v>
      </c>
      <c r="U10" s="101"/>
      <c r="V10" s="101"/>
      <c r="W10" s="101"/>
      <c r="X10" s="101">
        <f>'[20]MAINTENANCE-2'!AC15</f>
        <v>50500</v>
      </c>
      <c r="Y10" s="101"/>
      <c r="Z10" s="101"/>
      <c r="AA10" s="101"/>
      <c r="AB10" s="101"/>
      <c r="AC10" s="230">
        <v>0</v>
      </c>
      <c r="AD10" s="101"/>
      <c r="AE10" s="101">
        <v>280000</v>
      </c>
      <c r="AF10" s="62">
        <f t="shared" si="2"/>
        <v>4339779</v>
      </c>
      <c r="AG10" s="63">
        <f t="shared" si="0"/>
        <v>0</v>
      </c>
      <c r="AH10" s="106">
        <f t="shared" si="3"/>
        <v>0</v>
      </c>
      <c r="AJ10" s="93">
        <f t="shared" si="4"/>
        <v>0</v>
      </c>
      <c r="AL10" s="206">
        <v>3881583.2300000004</v>
      </c>
      <c r="AM10" s="207">
        <f t="shared" si="5"/>
        <v>4339779.2300000004</v>
      </c>
      <c r="AN10" s="151">
        <f t="shared" si="6"/>
        <v>0.23000000044703484</v>
      </c>
      <c r="AO10" s="93">
        <f t="shared" si="7"/>
        <v>4059779</v>
      </c>
      <c r="AP10" s="93">
        <f t="shared" si="8"/>
        <v>3881583</v>
      </c>
      <c r="AQ10" s="93">
        <f t="shared" si="9"/>
        <v>120250</v>
      </c>
    </row>
    <row r="11" spans="2:44" s="27" customFormat="1">
      <c r="B11" s="97">
        <v>6</v>
      </c>
      <c r="C11" s="98" t="s">
        <v>236</v>
      </c>
      <c r="D11" s="208" t="s">
        <v>237</v>
      </c>
      <c r="E11" s="209" t="s">
        <v>343</v>
      </c>
      <c r="F11" s="98" t="s">
        <v>238</v>
      </c>
      <c r="G11" s="107" t="s">
        <v>88</v>
      </c>
      <c r="H11" s="99" t="s">
        <v>38</v>
      </c>
      <c r="I11" s="100" t="s">
        <v>7</v>
      </c>
      <c r="J11" s="58" t="str">
        <f t="shared" si="1"/>
        <v>TER A</v>
      </c>
      <c r="K11" s="210">
        <v>3761333.23</v>
      </c>
      <c r="L11" s="101">
        <f t="shared" si="10"/>
        <v>30575.999999999996</v>
      </c>
      <c r="M11" s="101">
        <f>'[19]MAINTENANCE-2'!AP16</f>
        <v>147620</v>
      </c>
      <c r="N11" s="101"/>
      <c r="O11" s="101"/>
      <c r="P11" s="101"/>
      <c r="Q11" s="101"/>
      <c r="R11" s="101"/>
      <c r="S11" s="101"/>
      <c r="T11" s="101">
        <f>'[20]MAINTENANCE-2'!X16</f>
        <v>69750</v>
      </c>
      <c r="U11" s="101"/>
      <c r="V11" s="101"/>
      <c r="W11" s="101"/>
      <c r="X11" s="101">
        <f>'[20]MAINTENANCE-2'!AC16</f>
        <v>50500</v>
      </c>
      <c r="Y11" s="101"/>
      <c r="Z11" s="101"/>
      <c r="AA11" s="101"/>
      <c r="AB11" s="101"/>
      <c r="AC11" s="230">
        <v>0</v>
      </c>
      <c r="AD11" s="101"/>
      <c r="AE11" s="101">
        <v>280000</v>
      </c>
      <c r="AF11" s="62">
        <f t="shared" si="2"/>
        <v>4339779</v>
      </c>
      <c r="AG11" s="63">
        <f t="shared" si="0"/>
        <v>0</v>
      </c>
      <c r="AH11" s="106">
        <f t="shared" si="3"/>
        <v>0</v>
      </c>
      <c r="AJ11" s="93">
        <f t="shared" si="4"/>
        <v>0</v>
      </c>
      <c r="AL11" s="206">
        <v>3881583.2300000004</v>
      </c>
      <c r="AM11" s="207">
        <f t="shared" si="5"/>
        <v>4339779.2300000004</v>
      </c>
      <c r="AN11" s="151">
        <f t="shared" si="6"/>
        <v>0.23000000044703484</v>
      </c>
      <c r="AO11" s="93">
        <f t="shared" si="7"/>
        <v>4059779</v>
      </c>
      <c r="AP11" s="93">
        <f t="shared" si="8"/>
        <v>3881583</v>
      </c>
      <c r="AQ11" s="93">
        <f t="shared" si="9"/>
        <v>120250</v>
      </c>
    </row>
    <row r="12" spans="2:44" s="27" customFormat="1">
      <c r="B12" s="97">
        <v>7</v>
      </c>
      <c r="C12" s="98" t="s">
        <v>239</v>
      </c>
      <c r="D12" s="208" t="s">
        <v>240</v>
      </c>
      <c r="E12" s="209" t="s">
        <v>344</v>
      </c>
      <c r="F12" s="98" t="s">
        <v>241</v>
      </c>
      <c r="G12" s="107" t="s">
        <v>88</v>
      </c>
      <c r="H12" s="99" t="s">
        <v>38</v>
      </c>
      <c r="I12" s="100" t="s">
        <v>7</v>
      </c>
      <c r="J12" s="58" t="str">
        <f t="shared" si="1"/>
        <v>TER A</v>
      </c>
      <c r="K12" s="210">
        <v>3761333.23</v>
      </c>
      <c r="L12" s="101">
        <f t="shared" si="10"/>
        <v>30575.999999999996</v>
      </c>
      <c r="M12" s="101">
        <f>'[19]MAINTENANCE-2'!AP17</f>
        <v>147480</v>
      </c>
      <c r="N12" s="101"/>
      <c r="O12" s="101"/>
      <c r="P12" s="101"/>
      <c r="Q12" s="101"/>
      <c r="R12" s="101"/>
      <c r="S12" s="101"/>
      <c r="T12" s="101">
        <f>'[20]MAINTENANCE-2'!X17</f>
        <v>69750</v>
      </c>
      <c r="U12" s="101"/>
      <c r="V12" s="101"/>
      <c r="W12" s="101"/>
      <c r="X12" s="101">
        <f>'[20]MAINTENANCE-2'!AC17</f>
        <v>47000</v>
      </c>
      <c r="Y12" s="101"/>
      <c r="Z12" s="101"/>
      <c r="AA12" s="101"/>
      <c r="AB12" s="101"/>
      <c r="AC12" s="230">
        <v>0</v>
      </c>
      <c r="AD12" s="101"/>
      <c r="AE12" s="101">
        <v>280000</v>
      </c>
      <c r="AF12" s="62">
        <f t="shared" si="2"/>
        <v>4336139</v>
      </c>
      <c r="AG12" s="63">
        <f t="shared" si="0"/>
        <v>0</v>
      </c>
      <c r="AH12" s="106">
        <f t="shared" si="3"/>
        <v>0</v>
      </c>
      <c r="AJ12" s="93">
        <f t="shared" si="4"/>
        <v>0</v>
      </c>
      <c r="AL12" s="206">
        <v>3878083.2300000004</v>
      </c>
      <c r="AM12" s="207">
        <f t="shared" si="5"/>
        <v>4336139.2300000004</v>
      </c>
      <c r="AN12" s="151">
        <f t="shared" si="6"/>
        <v>0.23000000044703484</v>
      </c>
      <c r="AO12" s="93">
        <f t="shared" si="7"/>
        <v>4056139</v>
      </c>
      <c r="AP12" s="93">
        <f t="shared" si="8"/>
        <v>3878083</v>
      </c>
      <c r="AQ12" s="93">
        <f t="shared" si="9"/>
        <v>116750</v>
      </c>
    </row>
    <row r="13" spans="2:44" s="27" customFormat="1">
      <c r="B13" s="97">
        <v>8</v>
      </c>
      <c r="C13" s="98" t="s">
        <v>242</v>
      </c>
      <c r="D13" s="208" t="s">
        <v>243</v>
      </c>
      <c r="E13" s="209" t="s">
        <v>345</v>
      </c>
      <c r="F13" s="98" t="s">
        <v>244</v>
      </c>
      <c r="G13" s="107" t="s">
        <v>88</v>
      </c>
      <c r="H13" s="99" t="s">
        <v>38</v>
      </c>
      <c r="I13" s="100" t="s">
        <v>7</v>
      </c>
      <c r="J13" s="58" t="str">
        <f t="shared" si="1"/>
        <v>TER A</v>
      </c>
      <c r="K13" s="210">
        <v>3761333.23</v>
      </c>
      <c r="L13" s="101">
        <f t="shared" si="10"/>
        <v>30575.999999999996</v>
      </c>
      <c r="M13" s="101">
        <f>'[19]MAINTENANCE-2'!AP18</f>
        <v>148040</v>
      </c>
      <c r="N13" s="101"/>
      <c r="O13" s="101"/>
      <c r="P13" s="101"/>
      <c r="Q13" s="101"/>
      <c r="R13" s="101"/>
      <c r="S13" s="101"/>
      <c r="T13" s="101">
        <f>'[20]MAINTENANCE-2'!X18</f>
        <v>69750</v>
      </c>
      <c r="U13" s="101"/>
      <c r="V13" s="101"/>
      <c r="W13" s="101"/>
      <c r="X13" s="101">
        <f>'[20]MAINTENANCE-2'!AC18</f>
        <v>61000</v>
      </c>
      <c r="Y13" s="101"/>
      <c r="Z13" s="101"/>
      <c r="AA13" s="101"/>
      <c r="AB13" s="101"/>
      <c r="AC13" s="230">
        <v>0</v>
      </c>
      <c r="AD13" s="101"/>
      <c r="AE13" s="101">
        <v>280000</v>
      </c>
      <c r="AF13" s="62">
        <f t="shared" si="2"/>
        <v>4350699</v>
      </c>
      <c r="AG13" s="63">
        <f t="shared" si="0"/>
        <v>0</v>
      </c>
      <c r="AH13" s="106">
        <f t="shared" si="3"/>
        <v>0</v>
      </c>
      <c r="AJ13" s="93">
        <f t="shared" si="4"/>
        <v>0</v>
      </c>
      <c r="AL13" s="206">
        <v>3892083.2300000004</v>
      </c>
      <c r="AM13" s="207">
        <f t="shared" si="5"/>
        <v>4350699.2300000004</v>
      </c>
      <c r="AN13" s="151">
        <f t="shared" si="6"/>
        <v>0.23000000044703484</v>
      </c>
      <c r="AO13" s="93">
        <f t="shared" si="7"/>
        <v>4070699</v>
      </c>
      <c r="AP13" s="93">
        <f t="shared" si="8"/>
        <v>3892083</v>
      </c>
      <c r="AQ13" s="93">
        <f t="shared" si="9"/>
        <v>130750</v>
      </c>
    </row>
    <row r="14" spans="2:44" s="27" customFormat="1">
      <c r="B14" s="97">
        <v>9</v>
      </c>
      <c r="C14" s="98" t="s">
        <v>245</v>
      </c>
      <c r="D14" s="208" t="s">
        <v>246</v>
      </c>
      <c r="E14" s="209" t="s">
        <v>346</v>
      </c>
      <c r="F14" s="98" t="s">
        <v>247</v>
      </c>
      <c r="G14" s="107" t="s">
        <v>88</v>
      </c>
      <c r="H14" s="99" t="s">
        <v>38</v>
      </c>
      <c r="I14" s="100" t="s">
        <v>7</v>
      </c>
      <c r="J14" s="58" t="str">
        <f t="shared" si="1"/>
        <v>TER A</v>
      </c>
      <c r="K14" s="210">
        <v>3761333.23</v>
      </c>
      <c r="L14" s="101">
        <f t="shared" si="10"/>
        <v>30575.999999999996</v>
      </c>
      <c r="M14" s="101">
        <f>'[19]MAINTENANCE-2'!AP19</f>
        <v>147340</v>
      </c>
      <c r="N14" s="101"/>
      <c r="O14" s="101"/>
      <c r="P14" s="101"/>
      <c r="Q14" s="101"/>
      <c r="R14" s="101"/>
      <c r="S14" s="101"/>
      <c r="T14" s="101">
        <f>'[20]MAINTENANCE-2'!X19</f>
        <v>69750</v>
      </c>
      <c r="U14" s="101"/>
      <c r="V14" s="101"/>
      <c r="W14" s="101"/>
      <c r="X14" s="101">
        <f>'[20]MAINTENANCE-2'!AC19</f>
        <v>43500</v>
      </c>
      <c r="Y14" s="101"/>
      <c r="Z14" s="101"/>
      <c r="AA14" s="101"/>
      <c r="AB14" s="101"/>
      <c r="AC14" s="230">
        <v>0</v>
      </c>
      <c r="AD14" s="101"/>
      <c r="AE14" s="101">
        <v>280000</v>
      </c>
      <c r="AF14" s="62">
        <f t="shared" si="2"/>
        <v>4332499</v>
      </c>
      <c r="AG14" s="63">
        <f t="shared" si="0"/>
        <v>0</v>
      </c>
      <c r="AH14" s="106">
        <f t="shared" si="3"/>
        <v>0</v>
      </c>
      <c r="AJ14" s="93">
        <f t="shared" si="4"/>
        <v>0</v>
      </c>
      <c r="AL14" s="206">
        <v>3874583.2300000004</v>
      </c>
      <c r="AM14" s="207">
        <f t="shared" si="5"/>
        <v>4332499.2300000004</v>
      </c>
      <c r="AN14" s="151">
        <f t="shared" si="6"/>
        <v>0.23000000044703484</v>
      </c>
      <c r="AO14" s="93">
        <f t="shared" si="7"/>
        <v>4052499</v>
      </c>
      <c r="AP14" s="93">
        <f t="shared" si="8"/>
        <v>3874583</v>
      </c>
      <c r="AQ14" s="93">
        <f t="shared" si="9"/>
        <v>113250</v>
      </c>
    </row>
    <row r="15" spans="2:44" s="27" customFormat="1">
      <c r="B15" s="97">
        <v>10</v>
      </c>
      <c r="C15" s="98" t="s">
        <v>248</v>
      </c>
      <c r="D15" s="208" t="s">
        <v>249</v>
      </c>
      <c r="E15" s="209" t="s">
        <v>347</v>
      </c>
      <c r="F15" s="98" t="s">
        <v>250</v>
      </c>
      <c r="G15" s="107" t="s">
        <v>88</v>
      </c>
      <c r="H15" s="99" t="s">
        <v>39</v>
      </c>
      <c r="I15" s="100" t="s">
        <v>17</v>
      </c>
      <c r="J15" s="58" t="str">
        <f t="shared" si="1"/>
        <v>TER A</v>
      </c>
      <c r="K15" s="210">
        <v>3761333.23</v>
      </c>
      <c r="L15" s="101">
        <f t="shared" si="10"/>
        <v>30575.999999999996</v>
      </c>
      <c r="M15" s="101">
        <f>'[19]MAINTENANCE-2'!AP20</f>
        <v>148040</v>
      </c>
      <c r="N15" s="101"/>
      <c r="O15" s="101"/>
      <c r="P15" s="101"/>
      <c r="Q15" s="101"/>
      <c r="R15" s="101"/>
      <c r="S15" s="101"/>
      <c r="T15" s="101">
        <f>'[20]MAINTENANCE-2'!X20</f>
        <v>104400</v>
      </c>
      <c r="U15" s="101"/>
      <c r="V15" s="101"/>
      <c r="W15" s="101"/>
      <c r="X15" s="101">
        <f>'[20]MAINTENANCE-2'!AC20</f>
        <v>61000</v>
      </c>
      <c r="Y15" s="101"/>
      <c r="Z15" s="101"/>
      <c r="AA15" s="101"/>
      <c r="AB15" s="101"/>
      <c r="AC15" s="230">
        <v>-242666.66</v>
      </c>
      <c r="AD15" s="101"/>
      <c r="AE15" s="101">
        <v>280000</v>
      </c>
      <c r="AF15" s="62">
        <f t="shared" si="2"/>
        <v>4142682</v>
      </c>
      <c r="AG15" s="63">
        <f t="shared" si="0"/>
        <v>0</v>
      </c>
      <c r="AH15" s="106">
        <f t="shared" si="3"/>
        <v>0</v>
      </c>
      <c r="AJ15" s="93">
        <f t="shared" si="4"/>
        <v>0</v>
      </c>
      <c r="AL15" s="206">
        <v>3684066.5700000003</v>
      </c>
      <c r="AM15" s="207">
        <f t="shared" si="5"/>
        <v>4142682.5700000003</v>
      </c>
      <c r="AN15" s="151">
        <f t="shared" si="6"/>
        <v>0.57000000029802322</v>
      </c>
      <c r="AO15" s="93">
        <f t="shared" si="7"/>
        <v>3862682</v>
      </c>
      <c r="AP15" s="93">
        <f t="shared" si="8"/>
        <v>3684066</v>
      </c>
      <c r="AQ15" s="93">
        <f t="shared" si="9"/>
        <v>-77266.66</v>
      </c>
    </row>
    <row r="16" spans="2:44" s="27" customFormat="1">
      <c r="B16" s="97">
        <v>11</v>
      </c>
      <c r="C16" s="98" t="s">
        <v>251</v>
      </c>
      <c r="D16" s="208" t="s">
        <v>252</v>
      </c>
      <c r="E16" s="209" t="s">
        <v>348</v>
      </c>
      <c r="F16" s="98" t="s">
        <v>253</v>
      </c>
      <c r="G16" s="107" t="s">
        <v>88</v>
      </c>
      <c r="H16" s="99" t="s">
        <v>39</v>
      </c>
      <c r="I16" s="100" t="s">
        <v>7</v>
      </c>
      <c r="J16" s="58" t="str">
        <f t="shared" si="1"/>
        <v>TER A</v>
      </c>
      <c r="K16" s="210">
        <v>3761333.23</v>
      </c>
      <c r="L16" s="101">
        <f t="shared" si="10"/>
        <v>30575.999999999996</v>
      </c>
      <c r="M16" s="101">
        <f>'[19]MAINTENANCE-2'!AP21</f>
        <v>146560</v>
      </c>
      <c r="N16" s="101"/>
      <c r="O16" s="101"/>
      <c r="P16" s="101"/>
      <c r="Q16" s="101"/>
      <c r="R16" s="101"/>
      <c r="S16" s="101"/>
      <c r="T16" s="101">
        <f>'[20]MAINTENANCE-2'!X21</f>
        <v>104400</v>
      </c>
      <c r="U16" s="101"/>
      <c r="V16" s="101"/>
      <c r="W16" s="101"/>
      <c r="X16" s="101">
        <f>'[20]MAINTENANCE-2'!AC21</f>
        <v>24000</v>
      </c>
      <c r="Y16" s="101"/>
      <c r="Z16" s="101"/>
      <c r="AA16" s="101"/>
      <c r="AB16" s="101"/>
      <c r="AC16" s="230">
        <v>-242666.66</v>
      </c>
      <c r="AD16" s="101"/>
      <c r="AE16" s="101">
        <v>280000</v>
      </c>
      <c r="AF16" s="62">
        <f t="shared" si="2"/>
        <v>4104202</v>
      </c>
      <c r="AG16" s="63">
        <f t="shared" si="0"/>
        <v>0</v>
      </c>
      <c r="AH16" s="106">
        <f t="shared" si="3"/>
        <v>0</v>
      </c>
      <c r="AJ16" s="93">
        <f t="shared" si="4"/>
        <v>0</v>
      </c>
      <c r="AL16" s="206">
        <v>3647066.5699999994</v>
      </c>
      <c r="AM16" s="207">
        <f t="shared" si="5"/>
        <v>4104202.5699999994</v>
      </c>
      <c r="AN16" s="151">
        <f t="shared" si="6"/>
        <v>0.56999999936670065</v>
      </c>
      <c r="AO16" s="93">
        <f t="shared" si="7"/>
        <v>3824202</v>
      </c>
      <c r="AP16" s="93">
        <f t="shared" si="8"/>
        <v>3647066</v>
      </c>
      <c r="AQ16" s="93">
        <f t="shared" si="9"/>
        <v>-114266.66</v>
      </c>
    </row>
    <row r="17" spans="2:43" s="27" customFormat="1">
      <c r="B17" s="97">
        <v>12</v>
      </c>
      <c r="C17" s="98" t="s">
        <v>394</v>
      </c>
      <c r="D17" s="208" t="s">
        <v>255</v>
      </c>
      <c r="E17" s="209" t="s">
        <v>349</v>
      </c>
      <c r="F17" s="98" t="s">
        <v>256</v>
      </c>
      <c r="G17" s="107" t="s">
        <v>88</v>
      </c>
      <c r="H17" s="99" t="s">
        <v>38</v>
      </c>
      <c r="I17" s="100" t="s">
        <v>7</v>
      </c>
      <c r="J17" s="58" t="str">
        <f t="shared" si="1"/>
        <v>TER A</v>
      </c>
      <c r="K17" s="210">
        <v>3761333.23</v>
      </c>
      <c r="L17" s="101">
        <f t="shared" si="10"/>
        <v>30575.999999999996</v>
      </c>
      <c r="M17" s="101">
        <f>'[19]MAINTENANCE-2'!AP22</f>
        <v>146800</v>
      </c>
      <c r="N17" s="101"/>
      <c r="O17" s="101"/>
      <c r="P17" s="101"/>
      <c r="Q17" s="101"/>
      <c r="R17" s="101"/>
      <c r="S17" s="101"/>
      <c r="T17" s="101">
        <f>'[20]MAINTENANCE-2'!X22</f>
        <v>42750</v>
      </c>
      <c r="U17" s="101"/>
      <c r="V17" s="101"/>
      <c r="W17" s="101"/>
      <c r="X17" s="101">
        <f>'[20]MAINTENANCE-2'!AC22</f>
        <v>30000</v>
      </c>
      <c r="Y17" s="101"/>
      <c r="Z17" s="101"/>
      <c r="AA17" s="101"/>
      <c r="AB17" s="101"/>
      <c r="AC17" s="230">
        <v>-1455999.96</v>
      </c>
      <c r="AD17" s="101"/>
      <c r="AE17" s="101">
        <v>280000</v>
      </c>
      <c r="AF17" s="62">
        <f t="shared" si="2"/>
        <v>2835459</v>
      </c>
      <c r="AG17" s="63">
        <f t="shared" si="0"/>
        <v>0</v>
      </c>
      <c r="AH17" s="106">
        <f t="shared" si="3"/>
        <v>0</v>
      </c>
      <c r="AJ17" s="93">
        <f t="shared" si="4"/>
        <v>0</v>
      </c>
      <c r="AL17" s="206">
        <v>2378083.27</v>
      </c>
      <c r="AM17" s="207">
        <f t="shared" si="5"/>
        <v>2835459.27</v>
      </c>
      <c r="AN17" s="151">
        <f t="shared" si="6"/>
        <v>0.27000000001862645</v>
      </c>
      <c r="AO17" s="93">
        <f t="shared" si="7"/>
        <v>2555459</v>
      </c>
      <c r="AP17" s="93">
        <f t="shared" si="8"/>
        <v>2378083</v>
      </c>
      <c r="AQ17" s="93">
        <f t="shared" si="9"/>
        <v>-1383249.96</v>
      </c>
    </row>
    <row r="18" spans="2:43" s="27" customFormat="1">
      <c r="B18" s="97">
        <v>13</v>
      </c>
      <c r="C18" s="98" t="s">
        <v>257</v>
      </c>
      <c r="D18" s="208" t="s">
        <v>258</v>
      </c>
      <c r="E18" s="209" t="s">
        <v>350</v>
      </c>
      <c r="F18" s="98" t="s">
        <v>259</v>
      </c>
      <c r="G18" s="107" t="s">
        <v>88</v>
      </c>
      <c r="H18" s="99" t="s">
        <v>39</v>
      </c>
      <c r="I18" s="100" t="s">
        <v>9</v>
      </c>
      <c r="J18" s="58" t="str">
        <f t="shared" si="1"/>
        <v>TER B</v>
      </c>
      <c r="K18" s="210">
        <v>3761333.23</v>
      </c>
      <c r="L18" s="101">
        <f t="shared" si="10"/>
        <v>30575.999999999996</v>
      </c>
      <c r="M18" s="101">
        <f>'[19]MAINTENANCE-2'!AP23</f>
        <v>146800</v>
      </c>
      <c r="N18" s="101"/>
      <c r="O18" s="101"/>
      <c r="P18" s="101"/>
      <c r="Q18" s="101"/>
      <c r="R18" s="101"/>
      <c r="S18" s="101"/>
      <c r="T18" s="101">
        <f>'[20]MAINTENANCE-2'!X23</f>
        <v>139500</v>
      </c>
      <c r="U18" s="101"/>
      <c r="V18" s="101">
        <v>73641.61</v>
      </c>
      <c r="W18" s="101"/>
      <c r="X18" s="101">
        <f>'[20]MAINTENANCE-2'!AC23</f>
        <v>30000</v>
      </c>
      <c r="Y18" s="101"/>
      <c r="Z18" s="101"/>
      <c r="AA18" s="101"/>
      <c r="AB18" s="101"/>
      <c r="AC18" s="230">
        <v>0</v>
      </c>
      <c r="AD18" s="101"/>
      <c r="AE18" s="101">
        <v>280000</v>
      </c>
      <c r="AF18" s="62">
        <f t="shared" si="2"/>
        <v>4461850</v>
      </c>
      <c r="AG18" s="63">
        <f t="shared" si="0"/>
        <v>0</v>
      </c>
      <c r="AH18" s="106">
        <f t="shared" si="3"/>
        <v>0</v>
      </c>
      <c r="AJ18" s="93">
        <f t="shared" si="4"/>
        <v>0</v>
      </c>
      <c r="AL18" s="206">
        <v>4004474.8399999994</v>
      </c>
      <c r="AM18" s="207">
        <f t="shared" si="5"/>
        <v>4461850.84</v>
      </c>
      <c r="AN18" s="151">
        <f t="shared" si="6"/>
        <v>0.83999999985098839</v>
      </c>
      <c r="AO18" s="93">
        <f t="shared" si="7"/>
        <v>4181850</v>
      </c>
      <c r="AP18" s="93">
        <f t="shared" si="8"/>
        <v>4004474</v>
      </c>
      <c r="AQ18" s="93">
        <f t="shared" si="9"/>
        <v>243141.61</v>
      </c>
    </row>
    <row r="19" spans="2:43" s="27" customFormat="1">
      <c r="B19" s="97">
        <v>14</v>
      </c>
      <c r="C19" s="98" t="s">
        <v>260</v>
      </c>
      <c r="D19" s="208" t="s">
        <v>261</v>
      </c>
      <c r="E19" s="209" t="s">
        <v>73</v>
      </c>
      <c r="F19" s="98" t="s">
        <v>262</v>
      </c>
      <c r="G19" s="107" t="s">
        <v>88</v>
      </c>
      <c r="H19" s="99" t="s">
        <v>39</v>
      </c>
      <c r="I19" s="100" t="s">
        <v>11</v>
      </c>
      <c r="J19" s="58" t="str">
        <f t="shared" si="1"/>
        <v>TER B</v>
      </c>
      <c r="K19" s="210">
        <v>3761333.23</v>
      </c>
      <c r="L19" s="101">
        <f t="shared" si="10"/>
        <v>30575.999999999996</v>
      </c>
      <c r="M19" s="101">
        <f>'[19]MAINTENANCE-2'!AP24</f>
        <v>146440</v>
      </c>
      <c r="N19" s="101"/>
      <c r="O19" s="101"/>
      <c r="P19" s="101"/>
      <c r="Q19" s="101"/>
      <c r="R19" s="101"/>
      <c r="S19" s="101"/>
      <c r="T19" s="101">
        <f>'[20]MAINTENANCE-2'!X24</f>
        <v>162000</v>
      </c>
      <c r="U19" s="101"/>
      <c r="V19" s="101"/>
      <c r="W19" s="101"/>
      <c r="X19" s="101">
        <f>'[20]MAINTENANCE-2'!AC24</f>
        <v>21000</v>
      </c>
      <c r="Y19" s="101"/>
      <c r="Z19" s="101"/>
      <c r="AA19" s="101"/>
      <c r="AB19" s="101"/>
      <c r="AC19" s="230">
        <v>-121333.33</v>
      </c>
      <c r="AD19" s="101"/>
      <c r="AE19" s="101">
        <v>280000</v>
      </c>
      <c r="AF19" s="62">
        <f t="shared" si="2"/>
        <v>4280015</v>
      </c>
      <c r="AG19" s="63">
        <f t="shared" si="0"/>
        <v>0</v>
      </c>
      <c r="AH19" s="106">
        <f t="shared" si="3"/>
        <v>0</v>
      </c>
      <c r="AJ19" s="93">
        <f t="shared" si="4"/>
        <v>0</v>
      </c>
      <c r="AL19" s="206">
        <v>3822999.9000000004</v>
      </c>
      <c r="AM19" s="207">
        <f t="shared" si="5"/>
        <v>4280015.9000000004</v>
      </c>
      <c r="AN19" s="151">
        <f t="shared" si="6"/>
        <v>0.90000000037252903</v>
      </c>
      <c r="AO19" s="93">
        <f t="shared" si="7"/>
        <v>4000015</v>
      </c>
      <c r="AP19" s="93">
        <f t="shared" si="8"/>
        <v>3822999</v>
      </c>
      <c r="AQ19" s="93">
        <f t="shared" si="9"/>
        <v>61666.67</v>
      </c>
    </row>
    <row r="20" spans="2:43" s="27" customFormat="1">
      <c r="B20" s="97">
        <v>15</v>
      </c>
      <c r="C20" s="98" t="s">
        <v>263</v>
      </c>
      <c r="D20" s="208" t="s">
        <v>264</v>
      </c>
      <c r="E20" s="209" t="s">
        <v>73</v>
      </c>
      <c r="F20" s="98" t="s">
        <v>265</v>
      </c>
      <c r="G20" s="107" t="s">
        <v>88</v>
      </c>
      <c r="H20" s="99" t="s">
        <v>39</v>
      </c>
      <c r="I20" s="100" t="s">
        <v>9</v>
      </c>
      <c r="J20" s="58" t="str">
        <f t="shared" si="1"/>
        <v>TER B</v>
      </c>
      <c r="K20" s="210">
        <v>3761333.23</v>
      </c>
      <c r="L20" s="101">
        <f t="shared" si="10"/>
        <v>30575.999999999996</v>
      </c>
      <c r="M20" s="101">
        <f>'[19]MAINTENANCE-2'!AP25</f>
        <v>145900</v>
      </c>
      <c r="N20" s="101"/>
      <c r="O20" s="101"/>
      <c r="P20" s="101"/>
      <c r="Q20" s="101"/>
      <c r="R20" s="101"/>
      <c r="S20" s="101"/>
      <c r="T20" s="101">
        <f>'[20]MAINTENANCE-2'!X25</f>
        <v>139500</v>
      </c>
      <c r="U20" s="101"/>
      <c r="V20" s="101"/>
      <c r="W20" s="101"/>
      <c r="X20" s="101">
        <f>'[20]MAINTENANCE-2'!AC25</f>
        <v>7500</v>
      </c>
      <c r="Y20" s="101"/>
      <c r="Z20" s="101"/>
      <c r="AA20" s="101"/>
      <c r="AB20" s="101"/>
      <c r="AC20" s="230">
        <v>0</v>
      </c>
      <c r="AD20" s="101"/>
      <c r="AE20" s="101">
        <v>280000</v>
      </c>
      <c r="AF20" s="62">
        <f t="shared" si="2"/>
        <v>4364809</v>
      </c>
      <c r="AG20" s="63">
        <f t="shared" si="0"/>
        <v>0</v>
      </c>
      <c r="AH20" s="106">
        <f t="shared" si="3"/>
        <v>0</v>
      </c>
      <c r="AJ20" s="93">
        <f t="shared" si="4"/>
        <v>0</v>
      </c>
      <c r="AL20" s="206">
        <v>3908333.2300000004</v>
      </c>
      <c r="AM20" s="207">
        <f t="shared" si="5"/>
        <v>4364809.2300000004</v>
      </c>
      <c r="AN20" s="151">
        <f t="shared" si="6"/>
        <v>0.23000000044703484</v>
      </c>
      <c r="AO20" s="93">
        <f t="shared" si="7"/>
        <v>4084809</v>
      </c>
      <c r="AP20" s="93">
        <f t="shared" si="8"/>
        <v>3908333</v>
      </c>
      <c r="AQ20" s="93">
        <f t="shared" si="9"/>
        <v>147000</v>
      </c>
    </row>
    <row r="21" spans="2:43" s="27" customFormat="1">
      <c r="B21" s="97">
        <v>16</v>
      </c>
      <c r="C21" s="98" t="s">
        <v>266</v>
      </c>
      <c r="D21" s="208" t="s">
        <v>267</v>
      </c>
      <c r="E21" s="209" t="s">
        <v>351</v>
      </c>
      <c r="F21" s="98" t="s">
        <v>268</v>
      </c>
      <c r="G21" s="107" t="s">
        <v>88</v>
      </c>
      <c r="H21" s="99" t="s">
        <v>38</v>
      </c>
      <c r="I21" s="100" t="s">
        <v>7</v>
      </c>
      <c r="J21" s="58" t="str">
        <f t="shared" si="1"/>
        <v>TER A</v>
      </c>
      <c r="K21" s="210">
        <v>3761333.23</v>
      </c>
      <c r="L21" s="101">
        <f t="shared" si="10"/>
        <v>30575.999999999996</v>
      </c>
      <c r="M21" s="101">
        <f>'[19]MAINTENANCE-2'!AP26</f>
        <v>147340</v>
      </c>
      <c r="N21" s="101"/>
      <c r="O21" s="101"/>
      <c r="P21" s="101"/>
      <c r="Q21" s="101"/>
      <c r="R21" s="101"/>
      <c r="S21" s="101"/>
      <c r="T21" s="101">
        <f>'[20]MAINTENANCE-2'!X26</f>
        <v>69750</v>
      </c>
      <c r="U21" s="101"/>
      <c r="V21" s="101"/>
      <c r="W21" s="101"/>
      <c r="X21" s="101">
        <f>'[20]MAINTENANCE-2'!AC26</f>
        <v>43500</v>
      </c>
      <c r="Y21" s="101"/>
      <c r="Z21" s="101"/>
      <c r="AA21" s="101"/>
      <c r="AB21" s="101"/>
      <c r="AC21" s="230">
        <v>0</v>
      </c>
      <c r="AD21" s="101"/>
      <c r="AE21" s="101">
        <v>280000</v>
      </c>
      <c r="AF21" s="62">
        <f t="shared" si="2"/>
        <v>4332499</v>
      </c>
      <c r="AG21" s="63">
        <f t="shared" si="0"/>
        <v>0</v>
      </c>
      <c r="AH21" s="106">
        <f t="shared" si="3"/>
        <v>0</v>
      </c>
      <c r="AJ21" s="93">
        <f t="shared" si="4"/>
        <v>0</v>
      </c>
      <c r="AL21" s="206">
        <v>3874583.2300000004</v>
      </c>
      <c r="AM21" s="207">
        <f t="shared" si="5"/>
        <v>4332499.2300000004</v>
      </c>
      <c r="AN21" s="151">
        <f t="shared" si="6"/>
        <v>0.23000000044703484</v>
      </c>
      <c r="AO21" s="93">
        <f t="shared" si="7"/>
        <v>4052499</v>
      </c>
      <c r="AP21" s="93">
        <f t="shared" si="8"/>
        <v>3874583</v>
      </c>
      <c r="AQ21" s="93">
        <f t="shared" si="9"/>
        <v>113250</v>
      </c>
    </row>
    <row r="22" spans="2:43" s="27" customFormat="1">
      <c r="B22" s="97">
        <v>17</v>
      </c>
      <c r="C22" s="98" t="s">
        <v>269</v>
      </c>
      <c r="D22" s="208" t="s">
        <v>270</v>
      </c>
      <c r="E22" s="209" t="s">
        <v>352</v>
      </c>
      <c r="F22" s="98" t="s">
        <v>271</v>
      </c>
      <c r="G22" s="107" t="s">
        <v>88</v>
      </c>
      <c r="H22" s="99" t="s">
        <v>38</v>
      </c>
      <c r="I22" s="100" t="s">
        <v>7</v>
      </c>
      <c r="J22" s="58" t="str">
        <f t="shared" si="1"/>
        <v>TER A</v>
      </c>
      <c r="K22" s="210">
        <v>3761333.23</v>
      </c>
      <c r="L22" s="101">
        <f t="shared" si="10"/>
        <v>30575.999999999996</v>
      </c>
      <c r="M22" s="101">
        <f>'[19]MAINTENANCE-2'!AP27</f>
        <v>147620</v>
      </c>
      <c r="N22" s="101"/>
      <c r="O22" s="101"/>
      <c r="P22" s="101"/>
      <c r="Q22" s="101"/>
      <c r="R22" s="101"/>
      <c r="S22" s="101"/>
      <c r="T22" s="101">
        <f>'[20]MAINTENANCE-2'!X27</f>
        <v>67500</v>
      </c>
      <c r="U22" s="101"/>
      <c r="V22" s="101"/>
      <c r="W22" s="101"/>
      <c r="X22" s="101">
        <f>'[20]MAINTENANCE-2'!AC27</f>
        <v>50500</v>
      </c>
      <c r="Y22" s="101"/>
      <c r="Z22" s="101"/>
      <c r="AA22" s="101"/>
      <c r="AB22" s="101"/>
      <c r="AC22" s="231">
        <v>-121333.33</v>
      </c>
      <c r="AD22" s="101"/>
      <c r="AE22" s="101">
        <v>280000</v>
      </c>
      <c r="AF22" s="62">
        <f t="shared" si="2"/>
        <v>4216195</v>
      </c>
      <c r="AG22" s="63">
        <f t="shared" si="0"/>
        <v>0</v>
      </c>
      <c r="AH22" s="106">
        <f t="shared" si="3"/>
        <v>0</v>
      </c>
      <c r="AJ22" s="93">
        <f t="shared" si="4"/>
        <v>0</v>
      </c>
      <c r="AL22" s="206">
        <v>3757999.9000000004</v>
      </c>
      <c r="AM22" s="207">
        <f t="shared" si="5"/>
        <v>4216195.9000000004</v>
      </c>
      <c r="AN22" s="151">
        <f t="shared" si="6"/>
        <v>0.90000000037252903</v>
      </c>
      <c r="AO22" s="93">
        <f t="shared" si="7"/>
        <v>3936195</v>
      </c>
      <c r="AP22" s="93">
        <f t="shared" si="8"/>
        <v>3757999</v>
      </c>
      <c r="AQ22" s="93">
        <f t="shared" si="9"/>
        <v>-3333.3300000000017</v>
      </c>
    </row>
    <row r="23" spans="2:43" s="27" customFormat="1">
      <c r="B23" s="97">
        <v>18</v>
      </c>
      <c r="C23" s="98" t="s">
        <v>272</v>
      </c>
      <c r="D23" s="42" t="s">
        <v>273</v>
      </c>
      <c r="E23" s="43" t="s">
        <v>353</v>
      </c>
      <c r="F23" s="41" t="s">
        <v>274</v>
      </c>
      <c r="G23" s="107" t="s">
        <v>88</v>
      </c>
      <c r="H23" s="44" t="s">
        <v>38</v>
      </c>
      <c r="I23" s="45" t="s">
        <v>7</v>
      </c>
      <c r="J23" s="58" t="str">
        <f t="shared" si="1"/>
        <v>TER A</v>
      </c>
      <c r="K23" s="210">
        <v>3761333.23</v>
      </c>
      <c r="L23" s="101">
        <f t="shared" si="10"/>
        <v>30575.999999999996</v>
      </c>
      <c r="M23" s="101">
        <f>'[19]MAINTENANCE-2'!AP28</f>
        <v>146560</v>
      </c>
      <c r="N23" s="101"/>
      <c r="O23" s="101"/>
      <c r="P23" s="101"/>
      <c r="Q23" s="46"/>
      <c r="R23" s="46"/>
      <c r="S23" s="46"/>
      <c r="T23" s="101">
        <f>'[20]MAINTENANCE-2'!X28</f>
        <v>69750</v>
      </c>
      <c r="U23" s="46"/>
      <c r="V23" s="101"/>
      <c r="W23" s="46"/>
      <c r="X23" s="101">
        <f>'[20]MAINTENANCE-2'!AC28</f>
        <v>24000</v>
      </c>
      <c r="Y23" s="46"/>
      <c r="Z23" s="46"/>
      <c r="AA23" s="46"/>
      <c r="AB23" s="46"/>
      <c r="AC23" s="231">
        <v>0</v>
      </c>
      <c r="AD23" s="46"/>
      <c r="AE23" s="46">
        <v>280000</v>
      </c>
      <c r="AF23" s="62">
        <f t="shared" si="2"/>
        <v>4312219</v>
      </c>
      <c r="AG23" s="63">
        <f t="shared" si="0"/>
        <v>0</v>
      </c>
      <c r="AH23" s="106">
        <f t="shared" si="3"/>
        <v>0</v>
      </c>
      <c r="AJ23" s="93">
        <f t="shared" si="4"/>
        <v>0</v>
      </c>
      <c r="AL23" s="206">
        <v>3855083.2300000004</v>
      </c>
      <c r="AM23" s="207">
        <f t="shared" si="5"/>
        <v>4312219.2300000004</v>
      </c>
      <c r="AN23" s="151">
        <f t="shared" si="6"/>
        <v>0.23000000044703484</v>
      </c>
      <c r="AO23" s="93">
        <f t="shared" si="7"/>
        <v>4032219</v>
      </c>
      <c r="AP23" s="93">
        <f t="shared" si="8"/>
        <v>3855083</v>
      </c>
      <c r="AQ23" s="93">
        <f t="shared" si="9"/>
        <v>93750</v>
      </c>
    </row>
    <row r="24" spans="2:43" s="27" customFormat="1">
      <c r="B24" s="97">
        <v>19</v>
      </c>
      <c r="C24" s="98" t="s">
        <v>275</v>
      </c>
      <c r="D24" s="42" t="s">
        <v>276</v>
      </c>
      <c r="E24" s="43" t="s">
        <v>354</v>
      </c>
      <c r="F24" s="41" t="s">
        <v>247</v>
      </c>
      <c r="G24" s="107" t="s">
        <v>88</v>
      </c>
      <c r="H24" s="44" t="s">
        <v>39</v>
      </c>
      <c r="I24" s="45" t="s">
        <v>11</v>
      </c>
      <c r="J24" s="58" t="str">
        <f t="shared" si="1"/>
        <v>TER B</v>
      </c>
      <c r="K24" s="210">
        <v>3761333.23</v>
      </c>
      <c r="L24" s="101">
        <f t="shared" si="10"/>
        <v>30575.999999999996</v>
      </c>
      <c r="M24" s="101">
        <f>'[19]MAINTENANCE-2'!AP29</f>
        <v>148040</v>
      </c>
      <c r="N24" s="101"/>
      <c r="O24" s="101"/>
      <c r="P24" s="101"/>
      <c r="Q24" s="46"/>
      <c r="R24" s="46"/>
      <c r="S24" s="46"/>
      <c r="T24" s="101">
        <f>'[20]MAINTENANCE-2'!X29</f>
        <v>162000</v>
      </c>
      <c r="U24" s="46"/>
      <c r="V24" s="101">
        <v>641734.03</v>
      </c>
      <c r="W24" s="46"/>
      <c r="X24" s="101">
        <f>'[20]MAINTENANCE-2'!AC29</f>
        <v>61000</v>
      </c>
      <c r="Y24" s="46"/>
      <c r="Z24" s="46"/>
      <c r="AA24" s="46"/>
      <c r="AB24" s="46"/>
      <c r="AC24" s="231">
        <v>-121333.33</v>
      </c>
      <c r="AD24" s="46"/>
      <c r="AE24" s="46">
        <v>490000</v>
      </c>
      <c r="AF24" s="62">
        <f t="shared" si="2"/>
        <v>5173349</v>
      </c>
      <c r="AG24" s="63">
        <f t="shared" si="0"/>
        <v>0</v>
      </c>
      <c r="AH24" s="106">
        <f t="shared" si="3"/>
        <v>0</v>
      </c>
      <c r="AJ24" s="93">
        <f t="shared" si="4"/>
        <v>0</v>
      </c>
      <c r="AL24" s="206">
        <v>4504733.9300000006</v>
      </c>
      <c r="AM24" s="207">
        <f t="shared" si="5"/>
        <v>5173349.9300000006</v>
      </c>
      <c r="AN24" s="151">
        <f t="shared" si="6"/>
        <v>0.93000000063329935</v>
      </c>
      <c r="AO24" s="93">
        <f t="shared" si="7"/>
        <v>4683349</v>
      </c>
      <c r="AP24" s="93">
        <f t="shared" si="8"/>
        <v>4504733</v>
      </c>
      <c r="AQ24" s="93">
        <f t="shared" si="9"/>
        <v>743400.70000000007</v>
      </c>
    </row>
    <row r="25" spans="2:43" s="27" customFormat="1">
      <c r="B25" s="97">
        <v>20</v>
      </c>
      <c r="C25" s="98" t="s">
        <v>277</v>
      </c>
      <c r="D25" s="42" t="s">
        <v>278</v>
      </c>
      <c r="E25" s="43" t="s">
        <v>355</v>
      </c>
      <c r="F25" s="41" t="s">
        <v>279</v>
      </c>
      <c r="G25" s="107" t="s">
        <v>88</v>
      </c>
      <c r="H25" s="44" t="s">
        <v>38</v>
      </c>
      <c r="I25" s="45" t="s">
        <v>7</v>
      </c>
      <c r="J25" s="58" t="str">
        <f t="shared" si="1"/>
        <v>TER A</v>
      </c>
      <c r="K25" s="210">
        <v>3761333.23</v>
      </c>
      <c r="L25" s="101">
        <f t="shared" si="10"/>
        <v>30575.999999999996</v>
      </c>
      <c r="M25" s="101">
        <f>'[19]MAINTENANCE-2'!AP30</f>
        <v>147620</v>
      </c>
      <c r="N25" s="101"/>
      <c r="O25" s="101"/>
      <c r="P25" s="101"/>
      <c r="Q25" s="46"/>
      <c r="R25" s="46"/>
      <c r="S25" s="46"/>
      <c r="T25" s="101">
        <f>'[20]MAINTENANCE-2'!X30</f>
        <v>67500</v>
      </c>
      <c r="U25" s="46"/>
      <c r="V25" s="101"/>
      <c r="W25" s="46"/>
      <c r="X25" s="101">
        <f>'[20]MAINTENANCE-2'!AC30</f>
        <v>50500</v>
      </c>
      <c r="Y25" s="46"/>
      <c r="Z25" s="46"/>
      <c r="AA25" s="46"/>
      <c r="AB25" s="46"/>
      <c r="AC25" s="231">
        <v>-121333.33</v>
      </c>
      <c r="AD25" s="46"/>
      <c r="AE25" s="46">
        <v>280000</v>
      </c>
      <c r="AF25" s="62">
        <f t="shared" si="2"/>
        <v>4216195</v>
      </c>
      <c r="AG25" s="63">
        <f t="shared" si="0"/>
        <v>0</v>
      </c>
      <c r="AH25" s="106">
        <f t="shared" si="3"/>
        <v>0</v>
      </c>
      <c r="AJ25" s="93">
        <f t="shared" si="4"/>
        <v>0</v>
      </c>
      <c r="AL25" s="206">
        <v>3757999.9000000004</v>
      </c>
      <c r="AM25" s="207">
        <f t="shared" si="5"/>
        <v>4216195.9000000004</v>
      </c>
      <c r="AN25" s="151">
        <f t="shared" si="6"/>
        <v>0.90000000037252903</v>
      </c>
      <c r="AO25" s="93">
        <f t="shared" si="7"/>
        <v>3936195</v>
      </c>
      <c r="AP25" s="93">
        <f t="shared" si="8"/>
        <v>3757999</v>
      </c>
      <c r="AQ25" s="93">
        <f t="shared" si="9"/>
        <v>-3333.3300000000017</v>
      </c>
    </row>
    <row r="26" spans="2:43" s="27" customFormat="1">
      <c r="B26" s="97">
        <v>21</v>
      </c>
      <c r="C26" s="98" t="s">
        <v>280</v>
      </c>
      <c r="D26" s="42" t="s">
        <v>281</v>
      </c>
      <c r="E26" s="43" t="s">
        <v>356</v>
      </c>
      <c r="F26" s="41" t="s">
        <v>282</v>
      </c>
      <c r="G26" s="107" t="s">
        <v>88</v>
      </c>
      <c r="H26" s="44" t="s">
        <v>38</v>
      </c>
      <c r="I26" s="45" t="s">
        <v>7</v>
      </c>
      <c r="J26" s="58" t="str">
        <f t="shared" si="1"/>
        <v>TER A</v>
      </c>
      <c r="K26" s="210">
        <v>3761333.23</v>
      </c>
      <c r="L26" s="101">
        <f t="shared" si="10"/>
        <v>30575.999999999996</v>
      </c>
      <c r="M26" s="101">
        <f>'[19]MAINTENANCE-2'!AP31</f>
        <v>147340</v>
      </c>
      <c r="N26" s="101"/>
      <c r="O26" s="101"/>
      <c r="P26" s="101"/>
      <c r="Q26" s="46"/>
      <c r="R26" s="46"/>
      <c r="S26" s="46"/>
      <c r="T26" s="101">
        <f>'[20]MAINTENANCE-2'!X31</f>
        <v>69750</v>
      </c>
      <c r="U26" s="46"/>
      <c r="V26" s="101"/>
      <c r="W26" s="46"/>
      <c r="X26" s="101">
        <f>'[20]MAINTENANCE-2'!AC31</f>
        <v>43500</v>
      </c>
      <c r="Y26" s="46"/>
      <c r="Z26" s="46"/>
      <c r="AA26" s="46"/>
      <c r="AB26" s="46"/>
      <c r="AC26" s="231">
        <v>0</v>
      </c>
      <c r="AD26" s="46"/>
      <c r="AE26" s="46">
        <v>280000</v>
      </c>
      <c r="AF26" s="62">
        <f t="shared" si="2"/>
        <v>4332499</v>
      </c>
      <c r="AG26" s="63">
        <f t="shared" si="0"/>
        <v>0</v>
      </c>
      <c r="AH26" s="106">
        <f t="shared" si="3"/>
        <v>0</v>
      </c>
      <c r="AJ26" s="93">
        <f t="shared" si="4"/>
        <v>0</v>
      </c>
      <c r="AL26" s="206">
        <v>3874583.2300000004</v>
      </c>
      <c r="AM26" s="207">
        <f t="shared" si="5"/>
        <v>4332499.2300000004</v>
      </c>
      <c r="AN26" s="151">
        <f t="shared" si="6"/>
        <v>0.23000000044703484</v>
      </c>
      <c r="AO26" s="93">
        <f t="shared" si="7"/>
        <v>4052499</v>
      </c>
      <c r="AP26" s="93">
        <f t="shared" si="8"/>
        <v>3874583</v>
      </c>
      <c r="AQ26" s="93">
        <f t="shared" si="9"/>
        <v>113250</v>
      </c>
    </row>
    <row r="27" spans="2:43" s="27" customFormat="1">
      <c r="B27" s="97">
        <v>22</v>
      </c>
      <c r="C27" s="98" t="s">
        <v>357</v>
      </c>
      <c r="D27" s="42" t="s">
        <v>284</v>
      </c>
      <c r="E27" s="43" t="s">
        <v>358</v>
      </c>
      <c r="F27" s="41" t="s">
        <v>285</v>
      </c>
      <c r="G27" s="107" t="s">
        <v>88</v>
      </c>
      <c r="H27" s="44" t="s">
        <v>38</v>
      </c>
      <c r="I27" s="45" t="s">
        <v>7</v>
      </c>
      <c r="J27" s="58" t="str">
        <f t="shared" si="1"/>
        <v>TER A</v>
      </c>
      <c r="K27" s="210">
        <v>3761333.23</v>
      </c>
      <c r="L27" s="101">
        <f t="shared" si="10"/>
        <v>30575.999999999996</v>
      </c>
      <c r="M27" s="101">
        <f>'[19]MAINTENANCE-2'!AP32</f>
        <v>146200</v>
      </c>
      <c r="N27" s="101"/>
      <c r="O27" s="101"/>
      <c r="P27" s="101"/>
      <c r="Q27" s="46"/>
      <c r="R27" s="46"/>
      <c r="S27" s="46"/>
      <c r="T27" s="101">
        <f>'[20]MAINTENANCE-2'!X32</f>
        <v>69750</v>
      </c>
      <c r="U27" s="46"/>
      <c r="V27" s="101"/>
      <c r="W27" s="46"/>
      <c r="X27" s="101">
        <f>'[20]MAINTENANCE-2'!AC32</f>
        <v>15000</v>
      </c>
      <c r="Y27" s="46"/>
      <c r="Z27" s="46"/>
      <c r="AA27" s="46"/>
      <c r="AB27" s="46"/>
      <c r="AC27" s="231">
        <v>0</v>
      </c>
      <c r="AD27" s="46"/>
      <c r="AE27" s="46">
        <v>490000</v>
      </c>
      <c r="AF27" s="62">
        <f t="shared" si="2"/>
        <v>4512859</v>
      </c>
      <c r="AG27" s="63">
        <f t="shared" si="0"/>
        <v>0</v>
      </c>
      <c r="AH27" s="106">
        <f t="shared" si="3"/>
        <v>0</v>
      </c>
      <c r="AJ27" s="93">
        <f t="shared" si="4"/>
        <v>0</v>
      </c>
      <c r="AL27" s="206">
        <v>3846083.2300000004</v>
      </c>
      <c r="AM27" s="207">
        <f t="shared" si="5"/>
        <v>4512859.2300000004</v>
      </c>
      <c r="AN27" s="151">
        <f t="shared" si="6"/>
        <v>0.23000000044703484</v>
      </c>
      <c r="AO27" s="93">
        <f t="shared" si="7"/>
        <v>4022859</v>
      </c>
      <c r="AP27" s="93">
        <f t="shared" si="8"/>
        <v>3846083</v>
      </c>
      <c r="AQ27" s="93">
        <f t="shared" si="9"/>
        <v>84750</v>
      </c>
    </row>
    <row r="28" spans="2:43" s="27" customFormat="1">
      <c r="B28" s="97">
        <v>23</v>
      </c>
      <c r="C28" s="98" t="s">
        <v>286</v>
      </c>
      <c r="D28" s="42" t="s">
        <v>287</v>
      </c>
      <c r="E28" s="209" t="s">
        <v>73</v>
      </c>
      <c r="F28" s="41" t="s">
        <v>288</v>
      </c>
      <c r="G28" s="107" t="s">
        <v>88</v>
      </c>
      <c r="H28" s="44" t="s">
        <v>38</v>
      </c>
      <c r="I28" s="45" t="s">
        <v>7</v>
      </c>
      <c r="J28" s="58" t="str">
        <f t="shared" si="1"/>
        <v>TER A</v>
      </c>
      <c r="K28" s="210">
        <v>3761333.23</v>
      </c>
      <c r="L28" s="101">
        <f t="shared" si="10"/>
        <v>30575.999999999996</v>
      </c>
      <c r="M28" s="101">
        <f>'[19]MAINTENANCE-2'!AP33</f>
        <v>146200</v>
      </c>
      <c r="N28" s="101"/>
      <c r="O28" s="101"/>
      <c r="P28" s="101"/>
      <c r="Q28" s="46"/>
      <c r="R28" s="46"/>
      <c r="S28" s="46"/>
      <c r="T28" s="101">
        <f>'[20]MAINTENANCE-2'!X33</f>
        <v>69750</v>
      </c>
      <c r="U28" s="46"/>
      <c r="V28" s="101"/>
      <c r="W28" s="46"/>
      <c r="X28" s="101">
        <f>'[20]MAINTENANCE-2'!AC33</f>
        <v>15000</v>
      </c>
      <c r="Y28" s="46"/>
      <c r="Z28" s="46"/>
      <c r="AA28" s="46"/>
      <c r="AB28" s="46"/>
      <c r="AC28" s="231">
        <v>0</v>
      </c>
      <c r="AD28" s="46"/>
      <c r="AE28" s="46">
        <v>280000</v>
      </c>
      <c r="AF28" s="62">
        <f t="shared" si="2"/>
        <v>4302859</v>
      </c>
      <c r="AG28" s="63">
        <f t="shared" si="0"/>
        <v>0</v>
      </c>
      <c r="AH28" s="106">
        <f t="shared" si="3"/>
        <v>0</v>
      </c>
      <c r="AJ28" s="93">
        <f t="shared" si="4"/>
        <v>0</v>
      </c>
      <c r="AL28" s="206">
        <v>3846083.2300000004</v>
      </c>
      <c r="AM28" s="207">
        <f t="shared" si="5"/>
        <v>4302859.2300000004</v>
      </c>
      <c r="AN28" s="151">
        <f t="shared" si="6"/>
        <v>0.23000000044703484</v>
      </c>
      <c r="AO28" s="93">
        <f t="shared" si="7"/>
        <v>4022859</v>
      </c>
      <c r="AP28" s="93">
        <f t="shared" si="8"/>
        <v>3846083</v>
      </c>
      <c r="AQ28" s="93">
        <f t="shared" si="9"/>
        <v>84750</v>
      </c>
    </row>
    <row r="29" spans="2:43" s="27" customFormat="1">
      <c r="B29" s="97">
        <v>24</v>
      </c>
      <c r="C29" s="98" t="s">
        <v>289</v>
      </c>
      <c r="D29" s="42" t="s">
        <v>290</v>
      </c>
      <c r="E29" s="209" t="s">
        <v>73</v>
      </c>
      <c r="F29" s="41" t="s">
        <v>291</v>
      </c>
      <c r="G29" s="107" t="s">
        <v>88</v>
      </c>
      <c r="H29" s="44" t="s">
        <v>38</v>
      </c>
      <c r="I29" s="45" t="s">
        <v>7</v>
      </c>
      <c r="J29" s="58" t="str">
        <f t="shared" si="1"/>
        <v>TER A</v>
      </c>
      <c r="K29" s="210">
        <v>3761333.23</v>
      </c>
      <c r="L29" s="101">
        <f t="shared" si="10"/>
        <v>30575.999999999996</v>
      </c>
      <c r="M29" s="101">
        <f>'[19]MAINTENANCE-2'!AP34</f>
        <v>146200</v>
      </c>
      <c r="N29" s="101"/>
      <c r="O29" s="101"/>
      <c r="P29" s="101"/>
      <c r="Q29" s="46"/>
      <c r="R29" s="46"/>
      <c r="S29" s="46"/>
      <c r="T29" s="101">
        <f>'[20]MAINTENANCE-2'!X34</f>
        <v>69750</v>
      </c>
      <c r="U29" s="46"/>
      <c r="V29" s="101"/>
      <c r="W29" s="46"/>
      <c r="X29" s="101">
        <f>'[20]MAINTENANCE-2'!AC34</f>
        <v>15000</v>
      </c>
      <c r="Y29" s="46"/>
      <c r="Z29" s="46"/>
      <c r="AA29" s="46"/>
      <c r="AB29" s="46"/>
      <c r="AC29" s="231">
        <v>0</v>
      </c>
      <c r="AD29" s="46"/>
      <c r="AE29" s="46">
        <v>280000</v>
      </c>
      <c r="AF29" s="62">
        <f t="shared" si="2"/>
        <v>4302859</v>
      </c>
      <c r="AG29" s="63">
        <f t="shared" si="0"/>
        <v>0</v>
      </c>
      <c r="AH29" s="106">
        <f t="shared" si="3"/>
        <v>0</v>
      </c>
      <c r="AJ29" s="93">
        <f t="shared" si="4"/>
        <v>0</v>
      </c>
      <c r="AL29" s="206">
        <v>3846083.2300000004</v>
      </c>
      <c r="AM29" s="207">
        <f t="shared" si="5"/>
        <v>4302859.2300000004</v>
      </c>
      <c r="AN29" s="151">
        <f t="shared" si="6"/>
        <v>0.23000000044703484</v>
      </c>
      <c r="AO29" s="93">
        <f t="shared" si="7"/>
        <v>4022859</v>
      </c>
      <c r="AP29" s="93">
        <f t="shared" si="8"/>
        <v>3846083</v>
      </c>
      <c r="AQ29" s="93">
        <f t="shared" si="9"/>
        <v>84750</v>
      </c>
    </row>
    <row r="30" spans="2:43" s="27" customFormat="1">
      <c r="B30" s="97">
        <v>25</v>
      </c>
      <c r="C30" s="98" t="s">
        <v>292</v>
      </c>
      <c r="D30" s="42" t="s">
        <v>293</v>
      </c>
      <c r="E30" s="43" t="s">
        <v>359</v>
      </c>
      <c r="F30" s="41" t="s">
        <v>294</v>
      </c>
      <c r="G30" s="107" t="s">
        <v>88</v>
      </c>
      <c r="H30" s="44" t="s">
        <v>38</v>
      </c>
      <c r="I30" s="45" t="s">
        <v>7</v>
      </c>
      <c r="J30" s="58" t="str">
        <f t="shared" si="1"/>
        <v>TER A</v>
      </c>
      <c r="K30" s="210">
        <v>3761333.23</v>
      </c>
      <c r="L30" s="101">
        <f t="shared" si="10"/>
        <v>30575.999999999996</v>
      </c>
      <c r="M30" s="101">
        <f>'[19]MAINTENANCE-2'!AP35</f>
        <v>146200</v>
      </c>
      <c r="N30" s="101"/>
      <c r="O30" s="101"/>
      <c r="P30" s="101"/>
      <c r="Q30" s="46"/>
      <c r="R30" s="46"/>
      <c r="S30" s="46"/>
      <c r="T30" s="101">
        <f>'[20]MAINTENANCE-2'!X35</f>
        <v>67500</v>
      </c>
      <c r="U30" s="46"/>
      <c r="V30" s="101"/>
      <c r="W30" s="46"/>
      <c r="X30" s="101">
        <f>'[20]MAINTENANCE-2'!AC35</f>
        <v>15000</v>
      </c>
      <c r="Y30" s="46"/>
      <c r="Z30" s="46"/>
      <c r="AA30" s="46"/>
      <c r="AB30" s="46"/>
      <c r="AC30" s="231">
        <v>-121333.33</v>
      </c>
      <c r="AD30" s="46"/>
      <c r="AE30" s="46">
        <v>280000</v>
      </c>
      <c r="AF30" s="62">
        <f t="shared" si="2"/>
        <v>4179275</v>
      </c>
      <c r="AG30" s="63">
        <f t="shared" si="0"/>
        <v>0</v>
      </c>
      <c r="AH30" s="106">
        <f t="shared" si="3"/>
        <v>0</v>
      </c>
      <c r="AJ30" s="93">
        <f t="shared" si="4"/>
        <v>0</v>
      </c>
      <c r="AL30" s="206">
        <v>3722499.9000000004</v>
      </c>
      <c r="AM30" s="207">
        <f t="shared" si="5"/>
        <v>4179275.9000000004</v>
      </c>
      <c r="AN30" s="151">
        <f t="shared" si="6"/>
        <v>0.90000000037252903</v>
      </c>
      <c r="AO30" s="93">
        <f t="shared" si="7"/>
        <v>3899275</v>
      </c>
      <c r="AP30" s="93">
        <f t="shared" si="8"/>
        <v>3722499</v>
      </c>
      <c r="AQ30" s="93">
        <f t="shared" si="9"/>
        <v>-38833.33</v>
      </c>
    </row>
    <row r="31" spans="2:43" s="27" customFormat="1">
      <c r="B31" s="97">
        <v>26</v>
      </c>
      <c r="C31" s="98" t="s">
        <v>295</v>
      </c>
      <c r="D31" s="42" t="s">
        <v>296</v>
      </c>
      <c r="E31" s="43" t="s">
        <v>360</v>
      </c>
      <c r="F31" s="41" t="s">
        <v>297</v>
      </c>
      <c r="G31" s="107" t="s">
        <v>88</v>
      </c>
      <c r="H31" s="44" t="s">
        <v>39</v>
      </c>
      <c r="I31" s="45" t="s">
        <v>17</v>
      </c>
      <c r="J31" s="58" t="str">
        <f t="shared" si="1"/>
        <v>TER A</v>
      </c>
      <c r="K31" s="210">
        <v>3761333.23</v>
      </c>
      <c r="L31" s="101">
        <f t="shared" si="10"/>
        <v>30575.999999999996</v>
      </c>
      <c r="M31" s="101">
        <f>'[19]MAINTENANCE-2'!AP36</f>
        <v>146920</v>
      </c>
      <c r="N31" s="101"/>
      <c r="O31" s="101"/>
      <c r="P31" s="101"/>
      <c r="Q31" s="46"/>
      <c r="R31" s="46"/>
      <c r="S31" s="46"/>
      <c r="T31" s="101">
        <f>'[20]MAINTENANCE-2'!X36</f>
        <v>104400</v>
      </c>
      <c r="U31" s="46"/>
      <c r="V31" s="101"/>
      <c r="W31" s="46"/>
      <c r="X31" s="101">
        <f>'[20]MAINTENANCE-2'!AC36</f>
        <v>33000</v>
      </c>
      <c r="Y31" s="46"/>
      <c r="Z31" s="46"/>
      <c r="AA31" s="46"/>
      <c r="AB31" s="46"/>
      <c r="AC31" s="231">
        <v>-242666.66</v>
      </c>
      <c r="AD31" s="46"/>
      <c r="AE31" s="46">
        <v>280000</v>
      </c>
      <c r="AF31" s="62">
        <f t="shared" si="2"/>
        <v>4113562</v>
      </c>
      <c r="AG31" s="63">
        <f t="shared" si="0"/>
        <v>0</v>
      </c>
      <c r="AH31" s="106">
        <f t="shared" si="3"/>
        <v>0</v>
      </c>
      <c r="AJ31" s="93">
        <f t="shared" si="4"/>
        <v>0</v>
      </c>
      <c r="AL31" s="206">
        <v>3656066.5700000003</v>
      </c>
      <c r="AM31" s="207">
        <f t="shared" si="5"/>
        <v>4113562.5700000003</v>
      </c>
      <c r="AN31" s="151">
        <f t="shared" si="6"/>
        <v>0.57000000029802322</v>
      </c>
      <c r="AO31" s="93">
        <f t="shared" si="7"/>
        <v>3833562</v>
      </c>
      <c r="AP31" s="93">
        <f t="shared" si="8"/>
        <v>3656066</v>
      </c>
      <c r="AQ31" s="93">
        <f t="shared" si="9"/>
        <v>-105266.66</v>
      </c>
    </row>
    <row r="32" spans="2:43" s="27" customFormat="1">
      <c r="B32" s="97">
        <v>27</v>
      </c>
      <c r="C32" s="98" t="s">
        <v>298</v>
      </c>
      <c r="D32" s="42" t="s">
        <v>299</v>
      </c>
      <c r="E32" s="43" t="s">
        <v>361</v>
      </c>
      <c r="F32" s="41" t="s">
        <v>300</v>
      </c>
      <c r="G32" s="107" t="s">
        <v>88</v>
      </c>
      <c r="H32" s="44" t="s">
        <v>38</v>
      </c>
      <c r="I32" s="45" t="s">
        <v>7</v>
      </c>
      <c r="J32" s="58" t="str">
        <f t="shared" si="1"/>
        <v>TER A</v>
      </c>
      <c r="K32" s="210">
        <v>3761333.23</v>
      </c>
      <c r="L32" s="101">
        <f t="shared" si="10"/>
        <v>30575.999999999996</v>
      </c>
      <c r="M32" s="101">
        <f>'[19]MAINTENANCE-2'!AP37</f>
        <v>147340</v>
      </c>
      <c r="N32" s="101"/>
      <c r="O32" s="101"/>
      <c r="P32" s="101"/>
      <c r="Q32" s="46"/>
      <c r="R32" s="46"/>
      <c r="S32" s="46"/>
      <c r="T32" s="101">
        <f>'[20]MAINTENANCE-2'!X37</f>
        <v>69750</v>
      </c>
      <c r="U32" s="46"/>
      <c r="V32" s="101"/>
      <c r="W32" s="46"/>
      <c r="X32" s="101">
        <f>'[20]MAINTENANCE-2'!AC37</f>
        <v>43500</v>
      </c>
      <c r="Y32" s="46"/>
      <c r="Z32" s="46"/>
      <c r="AA32" s="46"/>
      <c r="AB32" s="46"/>
      <c r="AC32" s="231">
        <v>0</v>
      </c>
      <c r="AD32" s="46"/>
      <c r="AE32" s="46">
        <v>280000</v>
      </c>
      <c r="AF32" s="62">
        <f t="shared" si="2"/>
        <v>4332499</v>
      </c>
      <c r="AG32" s="63">
        <f t="shared" si="0"/>
        <v>0</v>
      </c>
      <c r="AH32" s="106">
        <f t="shared" si="3"/>
        <v>0</v>
      </c>
      <c r="AJ32" s="93">
        <f t="shared" si="4"/>
        <v>0</v>
      </c>
      <c r="AL32" s="206">
        <v>3874583.2300000004</v>
      </c>
      <c r="AM32" s="207">
        <f t="shared" si="5"/>
        <v>4332499.2300000004</v>
      </c>
      <c r="AN32" s="151">
        <f t="shared" si="6"/>
        <v>0.23000000044703484</v>
      </c>
      <c r="AO32" s="93">
        <f t="shared" si="7"/>
        <v>4052499</v>
      </c>
      <c r="AP32" s="93">
        <f t="shared" si="8"/>
        <v>3874583</v>
      </c>
      <c r="AQ32" s="93">
        <f t="shared" si="9"/>
        <v>113250</v>
      </c>
    </row>
    <row r="33" spans="2:43" s="27" customFormat="1">
      <c r="B33" s="97">
        <v>28</v>
      </c>
      <c r="C33" s="98" t="s">
        <v>301</v>
      </c>
      <c r="D33" s="42" t="s">
        <v>302</v>
      </c>
      <c r="E33" s="43" t="s">
        <v>362</v>
      </c>
      <c r="F33" s="41" t="s">
        <v>303</v>
      </c>
      <c r="G33" s="107" t="s">
        <v>88</v>
      </c>
      <c r="H33" s="44" t="s">
        <v>39</v>
      </c>
      <c r="I33" s="45" t="s">
        <v>11</v>
      </c>
      <c r="J33" s="58" t="str">
        <f t="shared" si="1"/>
        <v>TER B</v>
      </c>
      <c r="K33" s="210">
        <v>3761333.23</v>
      </c>
      <c r="L33" s="101">
        <f t="shared" si="10"/>
        <v>30575.999999999996</v>
      </c>
      <c r="M33" s="101">
        <f>'[19]MAINTENANCE-2'!AP38</f>
        <v>147480</v>
      </c>
      <c r="N33" s="101"/>
      <c r="O33" s="101"/>
      <c r="P33" s="101"/>
      <c r="Q33" s="46"/>
      <c r="R33" s="46"/>
      <c r="S33" s="46"/>
      <c r="T33" s="101">
        <f>'[20]MAINTENANCE-2'!X38</f>
        <v>151200</v>
      </c>
      <c r="U33" s="46"/>
      <c r="V33" s="101"/>
      <c r="W33" s="46"/>
      <c r="X33" s="101">
        <f>'[20]MAINTENANCE-2'!AC38</f>
        <v>47000</v>
      </c>
      <c r="Y33" s="46"/>
      <c r="Z33" s="46"/>
      <c r="AA33" s="46"/>
      <c r="AB33" s="46"/>
      <c r="AC33" s="231">
        <v>-363999.99</v>
      </c>
      <c r="AD33" s="46"/>
      <c r="AE33" s="46">
        <v>280000</v>
      </c>
      <c r="AF33" s="62">
        <f t="shared" si="2"/>
        <v>4053589</v>
      </c>
      <c r="AG33" s="63">
        <f t="shared" si="0"/>
        <v>0</v>
      </c>
      <c r="AH33" s="106">
        <f t="shared" si="3"/>
        <v>0</v>
      </c>
      <c r="AJ33" s="93">
        <f t="shared" si="4"/>
        <v>0</v>
      </c>
      <c r="AL33" s="206">
        <v>3595533.24</v>
      </c>
      <c r="AM33" s="207">
        <f t="shared" si="5"/>
        <v>4053589.24</v>
      </c>
      <c r="AN33" s="151">
        <f t="shared" si="6"/>
        <v>0.24000000022351742</v>
      </c>
      <c r="AO33" s="93">
        <f t="shared" si="7"/>
        <v>3773589</v>
      </c>
      <c r="AP33" s="93">
        <f t="shared" si="8"/>
        <v>3595533</v>
      </c>
      <c r="AQ33" s="93">
        <f t="shared" si="9"/>
        <v>-165799.99</v>
      </c>
    </row>
    <row r="34" spans="2:43" s="27" customFormat="1">
      <c r="B34" s="97">
        <v>29</v>
      </c>
      <c r="C34" s="98" t="s">
        <v>304</v>
      </c>
      <c r="D34" s="42" t="s">
        <v>305</v>
      </c>
      <c r="E34" s="209" t="s">
        <v>73</v>
      </c>
      <c r="F34" s="41" t="s">
        <v>306</v>
      </c>
      <c r="G34" s="107" t="s">
        <v>88</v>
      </c>
      <c r="H34" s="44" t="s">
        <v>39</v>
      </c>
      <c r="I34" s="45" t="s">
        <v>11</v>
      </c>
      <c r="J34" s="58" t="str">
        <f t="shared" si="1"/>
        <v>TER B</v>
      </c>
      <c r="K34" s="210">
        <v>3761333.23</v>
      </c>
      <c r="L34" s="101">
        <f t="shared" si="10"/>
        <v>30575.999999999996</v>
      </c>
      <c r="M34" s="101">
        <f>'[19]MAINTENANCE-2'!AP39</f>
        <v>146440</v>
      </c>
      <c r="N34" s="101"/>
      <c r="O34" s="101"/>
      <c r="P34" s="101"/>
      <c r="Q34" s="46"/>
      <c r="R34" s="46"/>
      <c r="S34" s="46"/>
      <c r="T34" s="101">
        <f>'[20]MAINTENANCE-2'!X39</f>
        <v>156600</v>
      </c>
      <c r="U34" s="46"/>
      <c r="V34" s="101"/>
      <c r="W34" s="46"/>
      <c r="X34" s="101">
        <f>'[20]MAINTENANCE-2'!AC39</f>
        <v>21000</v>
      </c>
      <c r="Y34" s="46"/>
      <c r="Z34" s="46"/>
      <c r="AA34" s="46"/>
      <c r="AB34" s="46"/>
      <c r="AC34" s="231">
        <v>-242666.66</v>
      </c>
      <c r="AD34" s="46"/>
      <c r="AE34" s="46">
        <v>280000</v>
      </c>
      <c r="AF34" s="62">
        <f t="shared" si="2"/>
        <v>4153282</v>
      </c>
      <c r="AG34" s="63">
        <f t="shared" si="0"/>
        <v>0</v>
      </c>
      <c r="AH34" s="106">
        <f t="shared" si="3"/>
        <v>0</v>
      </c>
      <c r="AJ34" s="93">
        <f t="shared" si="4"/>
        <v>0</v>
      </c>
      <c r="AL34" s="206">
        <v>3696266.5700000003</v>
      </c>
      <c r="AM34" s="207">
        <f t="shared" si="5"/>
        <v>4153282.5700000003</v>
      </c>
      <c r="AN34" s="151">
        <f t="shared" si="6"/>
        <v>0.57000000029802322</v>
      </c>
      <c r="AO34" s="93">
        <f t="shared" si="7"/>
        <v>3873282</v>
      </c>
      <c r="AP34" s="93">
        <f t="shared" si="8"/>
        <v>3696266</v>
      </c>
      <c r="AQ34" s="93">
        <f t="shared" si="9"/>
        <v>-65066.66</v>
      </c>
    </row>
    <row r="35" spans="2:43" s="27" customFormat="1">
      <c r="B35" s="97">
        <v>30</v>
      </c>
      <c r="C35" s="98" t="s">
        <v>307</v>
      </c>
      <c r="D35" s="42" t="s">
        <v>308</v>
      </c>
      <c r="E35" s="43" t="s">
        <v>363</v>
      </c>
      <c r="F35" s="41" t="s">
        <v>309</v>
      </c>
      <c r="G35" s="107" t="s">
        <v>88</v>
      </c>
      <c r="H35" s="44" t="s">
        <v>38</v>
      </c>
      <c r="I35" s="45" t="s">
        <v>7</v>
      </c>
      <c r="J35" s="58" t="str">
        <f t="shared" si="1"/>
        <v>TER A</v>
      </c>
      <c r="K35" s="210">
        <v>3761333.23</v>
      </c>
      <c r="L35" s="101">
        <f t="shared" si="10"/>
        <v>30575.999999999996</v>
      </c>
      <c r="M35" s="101">
        <f>'[19]MAINTENANCE-2'!AP40</f>
        <v>146200</v>
      </c>
      <c r="N35" s="101"/>
      <c r="O35" s="101"/>
      <c r="P35" s="101"/>
      <c r="Q35" s="46"/>
      <c r="R35" s="46"/>
      <c r="S35" s="46"/>
      <c r="T35" s="101">
        <f>'[20]MAINTENANCE-2'!X40</f>
        <v>69750</v>
      </c>
      <c r="U35" s="46"/>
      <c r="V35" s="101"/>
      <c r="W35" s="46"/>
      <c r="X35" s="101">
        <f>'[20]MAINTENANCE-2'!AC40</f>
        <v>15000</v>
      </c>
      <c r="Y35" s="46"/>
      <c r="Z35" s="46"/>
      <c r="AA35" s="46"/>
      <c r="AB35" s="46"/>
      <c r="AC35" s="231">
        <v>0</v>
      </c>
      <c r="AD35" s="46"/>
      <c r="AE35" s="46">
        <v>280000</v>
      </c>
      <c r="AF35" s="62">
        <f t="shared" si="2"/>
        <v>4302859</v>
      </c>
      <c r="AG35" s="63">
        <f t="shared" si="0"/>
        <v>0</v>
      </c>
      <c r="AH35" s="106">
        <f t="shared" si="3"/>
        <v>0</v>
      </c>
      <c r="AJ35" s="93">
        <f t="shared" si="4"/>
        <v>0</v>
      </c>
      <c r="AL35" s="206">
        <v>3846083.2300000004</v>
      </c>
      <c r="AM35" s="207">
        <f t="shared" si="5"/>
        <v>4302859.2300000004</v>
      </c>
      <c r="AN35" s="151">
        <f t="shared" si="6"/>
        <v>0.23000000044703484</v>
      </c>
      <c r="AO35" s="93">
        <f t="shared" si="7"/>
        <v>4022859</v>
      </c>
      <c r="AP35" s="93">
        <f t="shared" si="8"/>
        <v>3846083</v>
      </c>
      <c r="AQ35" s="93">
        <f t="shared" si="9"/>
        <v>84750</v>
      </c>
    </row>
    <row r="36" spans="2:43" s="27" customFormat="1">
      <c r="B36" s="97">
        <v>31</v>
      </c>
      <c r="C36" s="98" t="s">
        <v>313</v>
      </c>
      <c r="D36" s="42" t="s">
        <v>314</v>
      </c>
      <c r="E36" s="43" t="s">
        <v>364</v>
      </c>
      <c r="F36" s="41" t="s">
        <v>315</v>
      </c>
      <c r="G36" s="107" t="s">
        <v>88</v>
      </c>
      <c r="H36" s="44" t="s">
        <v>38</v>
      </c>
      <c r="I36" s="45" t="s">
        <v>7</v>
      </c>
      <c r="J36" s="58" t="str">
        <f t="shared" si="1"/>
        <v>TER A</v>
      </c>
      <c r="K36" s="210">
        <v>3761333.23</v>
      </c>
      <c r="L36" s="101">
        <f t="shared" si="10"/>
        <v>30575.999999999996</v>
      </c>
      <c r="M36" s="101">
        <f>'[19]MAINTENANCE-2'!AP41</f>
        <v>147480</v>
      </c>
      <c r="N36" s="101"/>
      <c r="O36" s="101"/>
      <c r="P36" s="101"/>
      <c r="Q36" s="46"/>
      <c r="R36" s="46"/>
      <c r="S36" s="46"/>
      <c r="T36" s="101">
        <f>'[20]MAINTENANCE-2'!X41</f>
        <v>69750</v>
      </c>
      <c r="U36" s="46"/>
      <c r="V36" s="101"/>
      <c r="W36" s="46"/>
      <c r="X36" s="101">
        <f>'[20]MAINTENANCE-2'!AC41</f>
        <v>47000</v>
      </c>
      <c r="Y36" s="46"/>
      <c r="Z36" s="46"/>
      <c r="AA36" s="46"/>
      <c r="AB36" s="46"/>
      <c r="AC36" s="231">
        <v>0</v>
      </c>
      <c r="AD36" s="46"/>
      <c r="AE36" s="46">
        <v>280000</v>
      </c>
      <c r="AF36" s="62">
        <f t="shared" si="2"/>
        <v>4336139</v>
      </c>
      <c r="AG36" s="63">
        <f t="shared" si="0"/>
        <v>0</v>
      </c>
      <c r="AH36" s="106">
        <f t="shared" si="3"/>
        <v>0</v>
      </c>
      <c r="AJ36" s="93">
        <f t="shared" si="4"/>
        <v>0</v>
      </c>
      <c r="AL36" s="206">
        <v>3878083.2300000004</v>
      </c>
      <c r="AM36" s="207">
        <f t="shared" si="5"/>
        <v>4336139.2300000004</v>
      </c>
      <c r="AN36" s="151">
        <f t="shared" si="6"/>
        <v>0.23000000044703484</v>
      </c>
      <c r="AO36" s="93">
        <f t="shared" si="7"/>
        <v>4056139</v>
      </c>
      <c r="AP36" s="93">
        <f t="shared" si="8"/>
        <v>3878083</v>
      </c>
      <c r="AQ36" s="93">
        <f t="shared" si="9"/>
        <v>116750</v>
      </c>
    </row>
    <row r="37" spans="2:43" s="27" customFormat="1">
      <c r="B37" s="97">
        <v>32</v>
      </c>
      <c r="C37" s="98" t="s">
        <v>365</v>
      </c>
      <c r="D37" s="42" t="s">
        <v>366</v>
      </c>
      <c r="E37" s="43" t="s">
        <v>367</v>
      </c>
      <c r="F37" s="41" t="s">
        <v>368</v>
      </c>
      <c r="G37" s="107" t="s">
        <v>88</v>
      </c>
      <c r="H37" s="44" t="s">
        <v>369</v>
      </c>
      <c r="I37" s="45" t="s">
        <v>11</v>
      </c>
      <c r="J37" s="58" t="str">
        <f t="shared" si="1"/>
        <v>TER B</v>
      </c>
      <c r="K37" s="60">
        <v>3838833.23</v>
      </c>
      <c r="L37" s="101">
        <f>3715000*0.84%</f>
        <v>31205.999999999996</v>
      </c>
      <c r="M37" s="101">
        <f>'[19]MAINTENANCE-2'!AP42</f>
        <v>150340</v>
      </c>
      <c r="N37" s="101"/>
      <c r="O37" s="101"/>
      <c r="P37" s="101"/>
      <c r="Q37" s="46"/>
      <c r="R37" s="101"/>
      <c r="S37" s="101"/>
      <c r="T37" s="101">
        <f>'[20]MAINTENANCE-2'!X42</f>
        <v>167400</v>
      </c>
      <c r="U37" s="46"/>
      <c r="V37" s="101">
        <v>150317.92000000001</v>
      </c>
      <c r="W37" s="46"/>
      <c r="X37" s="101">
        <f>'[20]MAINTENANCE-2'!AC42</f>
        <v>43500</v>
      </c>
      <c r="Y37" s="46"/>
      <c r="Z37" s="46"/>
      <c r="AA37" s="46"/>
      <c r="AB37" s="46"/>
      <c r="AC37" s="231">
        <v>0</v>
      </c>
      <c r="AD37" s="46"/>
      <c r="AE37" s="46">
        <v>280000</v>
      </c>
      <c r="AF37" s="62">
        <f t="shared" si="2"/>
        <v>4661597</v>
      </c>
      <c r="AG37" s="63">
        <f t="shared" si="0"/>
        <v>0</v>
      </c>
      <c r="AH37" s="106">
        <f t="shared" si="3"/>
        <v>0</v>
      </c>
      <c r="AJ37" s="93">
        <f t="shared" si="4"/>
        <v>0</v>
      </c>
      <c r="AL37" s="206">
        <v>4200051.1499999994</v>
      </c>
      <c r="AM37" s="207">
        <f t="shared" si="5"/>
        <v>4661597.1499999994</v>
      </c>
      <c r="AN37" s="151">
        <f t="shared" si="6"/>
        <v>0.14999999944120646</v>
      </c>
      <c r="AO37" s="93">
        <f t="shared" si="7"/>
        <v>4381597</v>
      </c>
      <c r="AP37" s="93">
        <f t="shared" si="8"/>
        <v>4200051</v>
      </c>
      <c r="AQ37" s="93">
        <f t="shared" si="9"/>
        <v>361217.92000000004</v>
      </c>
    </row>
    <row r="38" spans="2:43" s="27" customFormat="1">
      <c r="B38" s="97">
        <v>33</v>
      </c>
      <c r="C38" s="98" t="s">
        <v>316</v>
      </c>
      <c r="D38" s="42" t="s">
        <v>317</v>
      </c>
      <c r="E38" s="43" t="s">
        <v>370</v>
      </c>
      <c r="F38" s="41" t="s">
        <v>318</v>
      </c>
      <c r="G38" s="107" t="s">
        <v>87</v>
      </c>
      <c r="H38" s="44" t="s">
        <v>39</v>
      </c>
      <c r="I38" s="45" t="s">
        <v>9</v>
      </c>
      <c r="J38" s="58" t="str">
        <f t="shared" si="1"/>
        <v>TER B</v>
      </c>
      <c r="K38" s="210">
        <v>3761333.23</v>
      </c>
      <c r="L38" s="46">
        <f>3640000*0.84%</f>
        <v>30575.999999999996</v>
      </c>
      <c r="M38" s="101">
        <f>[19]TRANSPORT!AJ11</f>
        <v>147480</v>
      </c>
      <c r="N38" s="101">
        <v>377980</v>
      </c>
      <c r="O38" s="101">
        <v>1017000</v>
      </c>
      <c r="P38" s="101">
        <v>17500</v>
      </c>
      <c r="Q38" s="46">
        <v>47040</v>
      </c>
      <c r="R38" s="46"/>
      <c r="S38" s="46"/>
      <c r="T38" s="101">
        <f>[20]TRANSPORT!T11</f>
        <v>135000</v>
      </c>
      <c r="U38" s="46">
        <v>63000</v>
      </c>
      <c r="V38" s="101">
        <v>1125664.6100000001</v>
      </c>
      <c r="W38" s="46"/>
      <c r="X38" s="101">
        <f>[20]TRANSPORT!Y11</f>
        <v>47000</v>
      </c>
      <c r="Y38" s="46"/>
      <c r="Z38" s="46"/>
      <c r="AA38" s="46"/>
      <c r="AB38" s="46"/>
      <c r="AC38" s="231">
        <v>-121333.33</v>
      </c>
      <c r="AD38" s="46"/>
      <c r="AE38" s="46">
        <v>300000</v>
      </c>
      <c r="AF38" s="62">
        <f t="shared" si="2"/>
        <v>6948240</v>
      </c>
      <c r="AG38" s="63">
        <f t="shared" ref="AG38:AG43" si="11">IF(J38="TER A",VLOOKUP(AF38,Ter_A,4,TRUE),IF(J38="TER B",VLOOKUP(AF38,Ter_B,4,TRUE),VLOOKUP(AF38,Ter_C,4,TRUE)))</f>
        <v>7.4999999999999997E-3</v>
      </c>
      <c r="AH38" s="106">
        <f t="shared" si="3"/>
        <v>52111</v>
      </c>
      <c r="AJ38" s="93">
        <f t="shared" si="4"/>
        <v>-52111</v>
      </c>
      <c r="AL38" s="92">
        <v>6470184.5100000007</v>
      </c>
      <c r="AM38" s="207">
        <f t="shared" si="5"/>
        <v>6948240.5100000007</v>
      </c>
      <c r="AN38" s="151">
        <f t="shared" si="6"/>
        <v>0.51000000070780516</v>
      </c>
      <c r="AO38" s="93">
        <f t="shared" si="7"/>
        <v>6648240</v>
      </c>
      <c r="AP38" s="93">
        <f t="shared" si="8"/>
        <v>6470184</v>
      </c>
      <c r="AQ38" s="93">
        <f t="shared" si="9"/>
        <v>2708851.2800000003</v>
      </c>
    </row>
    <row r="39" spans="2:43" s="27" customFormat="1">
      <c r="B39" s="97">
        <v>34</v>
      </c>
      <c r="C39" s="98" t="s">
        <v>393</v>
      </c>
      <c r="D39" s="42" t="s">
        <v>320</v>
      </c>
      <c r="E39" s="43" t="s">
        <v>371</v>
      </c>
      <c r="F39" s="41" t="s">
        <v>321</v>
      </c>
      <c r="G39" s="107" t="s">
        <v>372</v>
      </c>
      <c r="H39" s="44" t="s">
        <v>39</v>
      </c>
      <c r="I39" s="45" t="s">
        <v>9</v>
      </c>
      <c r="J39" s="58" t="str">
        <f t="shared" si="1"/>
        <v>TER B</v>
      </c>
      <c r="K39" s="210">
        <v>3761333.23</v>
      </c>
      <c r="L39" s="46">
        <f t="shared" ref="L39:L43" si="12">3640000*0.84%</f>
        <v>30575.999999999996</v>
      </c>
      <c r="M39" s="101">
        <f>[19]TRANSPORT!AJ12</f>
        <v>146800</v>
      </c>
      <c r="N39" s="101">
        <v>698475</v>
      </c>
      <c r="O39" s="101">
        <v>1011000</v>
      </c>
      <c r="P39" s="101">
        <v>17500</v>
      </c>
      <c r="Q39" s="46">
        <v>27600</v>
      </c>
      <c r="R39" s="46"/>
      <c r="S39" s="46"/>
      <c r="T39" s="101">
        <f>[20]TRANSPORT!T12</f>
        <v>139500</v>
      </c>
      <c r="U39" s="46">
        <v>46000</v>
      </c>
      <c r="V39" s="46">
        <v>1272947.83</v>
      </c>
      <c r="W39" s="46"/>
      <c r="X39" s="101">
        <f>[20]TRANSPORT!Y12</f>
        <v>30000</v>
      </c>
      <c r="Y39" s="46"/>
      <c r="Z39" s="46"/>
      <c r="AA39" s="46"/>
      <c r="AB39" s="46"/>
      <c r="AC39" s="231"/>
      <c r="AD39" s="46"/>
      <c r="AE39" s="46">
        <v>300000</v>
      </c>
      <c r="AF39" s="62">
        <f t="shared" si="2"/>
        <v>7481732</v>
      </c>
      <c r="AG39" s="63">
        <f t="shared" si="11"/>
        <v>0.01</v>
      </c>
      <c r="AH39" s="106">
        <f t="shared" si="3"/>
        <v>74817</v>
      </c>
      <c r="AJ39" s="93">
        <f t="shared" si="4"/>
        <v>-74817</v>
      </c>
      <c r="AL39" s="92">
        <v>7004356.0599999996</v>
      </c>
      <c r="AM39" s="207">
        <f t="shared" si="5"/>
        <v>7481732.0599999996</v>
      </c>
      <c r="AN39" s="151">
        <f t="shared" si="6"/>
        <v>5.9999999590218067E-2</v>
      </c>
      <c r="AO39" s="93">
        <f t="shared" si="7"/>
        <v>7181732</v>
      </c>
      <c r="AP39" s="93">
        <f t="shared" si="8"/>
        <v>7004356</v>
      </c>
      <c r="AQ39" s="93">
        <f t="shared" si="9"/>
        <v>3243022.83</v>
      </c>
    </row>
    <row r="40" spans="2:43" s="27" customFormat="1">
      <c r="B40" s="97">
        <v>35</v>
      </c>
      <c r="C40" s="98" t="s">
        <v>322</v>
      </c>
      <c r="D40" s="42" t="s">
        <v>323</v>
      </c>
      <c r="E40" s="43" t="s">
        <v>373</v>
      </c>
      <c r="F40" s="41" t="s">
        <v>223</v>
      </c>
      <c r="G40" s="107" t="s">
        <v>87</v>
      </c>
      <c r="H40" s="44" t="s">
        <v>39</v>
      </c>
      <c r="I40" s="45" t="s">
        <v>11</v>
      </c>
      <c r="J40" s="58" t="str">
        <f t="shared" si="1"/>
        <v>TER B</v>
      </c>
      <c r="K40" s="210">
        <v>3761333.23</v>
      </c>
      <c r="L40" s="46">
        <f t="shared" si="12"/>
        <v>30575.999999999996</v>
      </c>
      <c r="M40" s="101">
        <f>[19]TRANSPORT!AJ13</f>
        <v>148040</v>
      </c>
      <c r="N40" s="101">
        <v>72105</v>
      </c>
      <c r="O40" s="101">
        <v>1020000</v>
      </c>
      <c r="P40" s="101">
        <v>88000</v>
      </c>
      <c r="Q40" s="46">
        <v>9960</v>
      </c>
      <c r="R40" s="46"/>
      <c r="S40" s="46"/>
      <c r="T40" s="101">
        <f>[20]TRANSPORT!T13</f>
        <v>167400</v>
      </c>
      <c r="U40" s="46">
        <v>72000</v>
      </c>
      <c r="V40" s="46">
        <v>1336069.21</v>
      </c>
      <c r="W40" s="46"/>
      <c r="X40" s="101">
        <f>[20]TRANSPORT!Y13</f>
        <v>61000</v>
      </c>
      <c r="Y40" s="46"/>
      <c r="Z40" s="46"/>
      <c r="AA40" s="46"/>
      <c r="AB40" s="46"/>
      <c r="AC40" s="231"/>
      <c r="AD40" s="46"/>
      <c r="AE40" s="46">
        <v>540000</v>
      </c>
      <c r="AF40" s="62">
        <f t="shared" si="2"/>
        <v>7306483</v>
      </c>
      <c r="AG40" s="63">
        <f t="shared" si="11"/>
        <v>0.01</v>
      </c>
      <c r="AH40" s="106">
        <f t="shared" si="3"/>
        <v>73064</v>
      </c>
      <c r="AJ40" s="93">
        <f t="shared" si="4"/>
        <v>-73064</v>
      </c>
      <c r="AL40" s="92">
        <v>6587867.4399999995</v>
      </c>
      <c r="AM40" s="207">
        <f t="shared" si="5"/>
        <v>7306483.4399999995</v>
      </c>
      <c r="AN40" s="151">
        <f t="shared" si="6"/>
        <v>0.43999999947845936</v>
      </c>
      <c r="AO40" s="93">
        <f t="shared" si="7"/>
        <v>6766483</v>
      </c>
      <c r="AP40" s="93">
        <f t="shared" si="8"/>
        <v>6587867</v>
      </c>
      <c r="AQ40" s="93">
        <f t="shared" si="9"/>
        <v>2826534.21</v>
      </c>
    </row>
    <row r="41" spans="2:43" s="27" customFormat="1">
      <c r="B41" s="97">
        <v>36</v>
      </c>
      <c r="C41" s="98" t="s">
        <v>395</v>
      </c>
      <c r="D41" s="42" t="s">
        <v>325</v>
      </c>
      <c r="E41" s="43" t="s">
        <v>374</v>
      </c>
      <c r="F41" s="41" t="s">
        <v>223</v>
      </c>
      <c r="G41" s="107" t="s">
        <v>372</v>
      </c>
      <c r="H41" s="44" t="s">
        <v>39</v>
      </c>
      <c r="I41" s="45" t="s">
        <v>11</v>
      </c>
      <c r="J41" s="58" t="str">
        <f t="shared" si="1"/>
        <v>TER B</v>
      </c>
      <c r="K41" s="210">
        <v>3761333.23</v>
      </c>
      <c r="L41" s="46">
        <f t="shared" si="12"/>
        <v>30575.999999999996</v>
      </c>
      <c r="M41" s="101">
        <f>[19]TRANSPORT!AJ14</f>
        <v>148040</v>
      </c>
      <c r="N41" s="101">
        <v>72105</v>
      </c>
      <c r="O41" s="101">
        <v>1014000</v>
      </c>
      <c r="P41" s="101">
        <v>86000</v>
      </c>
      <c r="Q41" s="46">
        <v>9960</v>
      </c>
      <c r="R41" s="46"/>
      <c r="S41" s="46"/>
      <c r="T41" s="101">
        <f>[20]TRANSPORT!T14</f>
        <v>167400</v>
      </c>
      <c r="U41" s="46">
        <v>48000</v>
      </c>
      <c r="V41" s="46">
        <v>1336069.21</v>
      </c>
      <c r="W41" s="46"/>
      <c r="X41" s="101">
        <f>[20]TRANSPORT!Y14</f>
        <v>61000</v>
      </c>
      <c r="Y41" s="46"/>
      <c r="Z41" s="46"/>
      <c r="AA41" s="46"/>
      <c r="AB41" s="46"/>
      <c r="AC41" s="231"/>
      <c r="AD41" s="46"/>
      <c r="AE41" s="46">
        <v>300000</v>
      </c>
      <c r="AF41" s="62">
        <f t="shared" si="2"/>
        <v>7034483</v>
      </c>
      <c r="AG41" s="63">
        <f t="shared" si="11"/>
        <v>7.4999999999999997E-3</v>
      </c>
      <c r="AH41" s="106">
        <f t="shared" si="3"/>
        <v>52758</v>
      </c>
      <c r="AJ41" s="93">
        <f t="shared" si="4"/>
        <v>-52758</v>
      </c>
      <c r="AL41" s="92">
        <v>6555867.4399999995</v>
      </c>
      <c r="AM41" s="207">
        <f t="shared" si="5"/>
        <v>7034483.4399999995</v>
      </c>
      <c r="AN41" s="151">
        <f t="shared" si="6"/>
        <v>0.43999999947845936</v>
      </c>
      <c r="AO41" s="93">
        <f t="shared" si="7"/>
        <v>6734483</v>
      </c>
      <c r="AP41" s="93">
        <f t="shared" si="8"/>
        <v>6555867</v>
      </c>
      <c r="AQ41" s="93">
        <f t="shared" si="9"/>
        <v>2794534.21</v>
      </c>
    </row>
    <row r="42" spans="2:43" s="27" customFormat="1">
      <c r="B42" s="97">
        <v>37</v>
      </c>
      <c r="C42" s="98" t="s">
        <v>209</v>
      </c>
      <c r="D42" s="42" t="s">
        <v>210</v>
      </c>
      <c r="E42" s="209" t="s">
        <v>73</v>
      </c>
      <c r="F42" s="41" t="s">
        <v>211</v>
      </c>
      <c r="G42" s="107" t="s">
        <v>375</v>
      </c>
      <c r="H42" s="44" t="s">
        <v>39</v>
      </c>
      <c r="I42" s="45" t="s">
        <v>9</v>
      </c>
      <c r="J42" s="58" t="str">
        <f t="shared" si="1"/>
        <v>TER B</v>
      </c>
      <c r="K42" s="210">
        <v>3761333.23</v>
      </c>
      <c r="L42" s="46">
        <f t="shared" si="12"/>
        <v>30575.999999999996</v>
      </c>
      <c r="M42" s="46">
        <f>[19]HARVESTING!AS11</f>
        <v>146100</v>
      </c>
      <c r="N42" s="46"/>
      <c r="O42" s="46"/>
      <c r="P42" s="46"/>
      <c r="Q42" s="46"/>
      <c r="R42" s="46"/>
      <c r="S42" s="46">
        <v>162750</v>
      </c>
      <c r="T42" s="101">
        <f>[20]HARVESTING!X11</f>
        <v>139500</v>
      </c>
      <c r="U42" s="46"/>
      <c r="V42" s="46"/>
      <c r="W42" s="46"/>
      <c r="X42" s="101">
        <f>[20]HARVESTING!AC11</f>
        <v>12500</v>
      </c>
      <c r="Y42" s="46"/>
      <c r="Z42" s="46"/>
      <c r="AA42" s="46"/>
      <c r="AB42" s="46"/>
      <c r="AC42" s="231"/>
      <c r="AD42" s="46"/>
      <c r="AE42" s="46">
        <v>300000</v>
      </c>
      <c r="AF42" s="62">
        <f t="shared" si="2"/>
        <v>4552759</v>
      </c>
      <c r="AG42" s="63">
        <f t="shared" si="11"/>
        <v>0</v>
      </c>
      <c r="AH42" s="106">
        <f t="shared" si="3"/>
        <v>0</v>
      </c>
      <c r="AJ42" s="93">
        <f t="shared" si="4"/>
        <v>0</v>
      </c>
      <c r="AL42" s="92">
        <v>4076083.2300000004</v>
      </c>
      <c r="AM42" s="207">
        <f t="shared" si="5"/>
        <v>4552759.2300000004</v>
      </c>
      <c r="AN42" s="151">
        <f t="shared" si="6"/>
        <v>0.23000000044703484</v>
      </c>
      <c r="AO42" s="93">
        <f t="shared" si="7"/>
        <v>4252759</v>
      </c>
      <c r="AP42" s="93">
        <f>AF42-AE42-L42-M42</f>
        <v>4076083</v>
      </c>
      <c r="AQ42" s="93">
        <f t="shared" si="9"/>
        <v>314750</v>
      </c>
    </row>
    <row r="43" spans="2:43" s="27" customFormat="1">
      <c r="B43" s="97">
        <v>38</v>
      </c>
      <c r="C43" s="98" t="s">
        <v>212</v>
      </c>
      <c r="D43" s="42" t="s">
        <v>213</v>
      </c>
      <c r="E43" s="209" t="s">
        <v>73</v>
      </c>
      <c r="F43" s="41" t="s">
        <v>214</v>
      </c>
      <c r="G43" s="107" t="s">
        <v>375</v>
      </c>
      <c r="H43" s="44" t="s">
        <v>39</v>
      </c>
      <c r="I43" s="45" t="s">
        <v>9</v>
      </c>
      <c r="J43" s="58" t="str">
        <f t="shared" si="1"/>
        <v>TER B</v>
      </c>
      <c r="K43" s="210">
        <v>3761333.23</v>
      </c>
      <c r="L43" s="46">
        <f t="shared" si="12"/>
        <v>30575.999999999996</v>
      </c>
      <c r="M43" s="46">
        <f>[19]HARVESTING!AS12</f>
        <v>146100</v>
      </c>
      <c r="N43" s="46"/>
      <c r="O43" s="46"/>
      <c r="P43" s="46"/>
      <c r="Q43" s="46"/>
      <c r="R43" s="46"/>
      <c r="S43" s="46">
        <v>168000</v>
      </c>
      <c r="T43" s="101">
        <f>[20]HARVESTING!X12</f>
        <v>139500</v>
      </c>
      <c r="U43" s="46"/>
      <c r="V43" s="46"/>
      <c r="W43" s="46"/>
      <c r="X43" s="46">
        <f>[20]HARVESTING!AC12</f>
        <v>12500</v>
      </c>
      <c r="Y43" s="46"/>
      <c r="Z43" s="46"/>
      <c r="AA43" s="46"/>
      <c r="AB43" s="46"/>
      <c r="AC43" s="231"/>
      <c r="AD43" s="46"/>
      <c r="AE43" s="46">
        <v>300000</v>
      </c>
      <c r="AF43" s="62">
        <f t="shared" si="2"/>
        <v>4558009</v>
      </c>
      <c r="AG43" s="63">
        <f t="shared" si="11"/>
        <v>0</v>
      </c>
      <c r="AH43" s="106">
        <f t="shared" si="3"/>
        <v>0</v>
      </c>
      <c r="AJ43" s="93">
        <f t="shared" si="4"/>
        <v>0</v>
      </c>
      <c r="AL43" s="92">
        <v>4081333.2299999995</v>
      </c>
      <c r="AM43" s="207">
        <f t="shared" si="5"/>
        <v>4558009.2299999995</v>
      </c>
      <c r="AN43" s="151">
        <f>AM43-AF43</f>
        <v>0.22999999951571226</v>
      </c>
      <c r="AO43" s="93">
        <f t="shared" si="7"/>
        <v>4258009</v>
      </c>
      <c r="AP43" s="93">
        <f t="shared" si="8"/>
        <v>4081333</v>
      </c>
      <c r="AQ43" s="93">
        <f t="shared" si="9"/>
        <v>320000</v>
      </c>
    </row>
    <row r="44" spans="2:43" s="27" customFormat="1" ht="13.5" thickBot="1">
      <c r="B44" s="97"/>
      <c r="C44" s="98"/>
      <c r="D44" s="42"/>
      <c r="E44" s="43"/>
      <c r="F44" s="41"/>
      <c r="G44" s="107"/>
      <c r="H44" s="44"/>
      <c r="I44" s="45"/>
      <c r="J44" s="58"/>
      <c r="K44" s="60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62"/>
      <c r="AG44" s="63"/>
      <c r="AH44" s="108"/>
      <c r="AJ44" s="93">
        <f t="shared" ref="AJ44" si="13">AI44-AH44</f>
        <v>0</v>
      </c>
      <c r="AM44" s="207">
        <f t="shared" ref="AM44" si="14">AL44+L44+M44</f>
        <v>0</v>
      </c>
    </row>
    <row r="45" spans="2:43" s="52" customFormat="1" ht="13.5" thickBot="1">
      <c r="B45" s="82"/>
      <c r="C45" s="83"/>
      <c r="D45" s="83"/>
      <c r="E45" s="83"/>
      <c r="F45" s="83"/>
      <c r="G45" s="83"/>
      <c r="H45" s="83"/>
      <c r="I45" s="83"/>
      <c r="J45" s="83"/>
      <c r="K45" s="84">
        <f t="shared" ref="K45:AH45" si="15">SUM(K6:K44)</f>
        <v>143039162.74000001</v>
      </c>
      <c r="L45" s="84">
        <f t="shared" si="15"/>
        <v>1162769.9999999998</v>
      </c>
      <c r="M45" s="84">
        <f t="shared" si="15"/>
        <v>5591620</v>
      </c>
      <c r="N45" s="84">
        <f t="shared" si="15"/>
        <v>1220665</v>
      </c>
      <c r="O45" s="84">
        <f t="shared" si="15"/>
        <v>4062000</v>
      </c>
      <c r="P45" s="84">
        <f t="shared" si="15"/>
        <v>209000</v>
      </c>
      <c r="Q45" s="84">
        <f t="shared" si="15"/>
        <v>94560</v>
      </c>
      <c r="R45" s="84">
        <f t="shared" si="15"/>
        <v>0</v>
      </c>
      <c r="S45" s="84">
        <f t="shared" si="15"/>
        <v>330750</v>
      </c>
      <c r="T45" s="84">
        <f t="shared" si="15"/>
        <v>3838950</v>
      </c>
      <c r="U45" s="84">
        <f t="shared" si="15"/>
        <v>330000</v>
      </c>
      <c r="V45" s="84">
        <f t="shared" si="15"/>
        <v>7482918.2300000004</v>
      </c>
      <c r="W45" s="84">
        <f t="shared" si="15"/>
        <v>0</v>
      </c>
      <c r="X45" s="84">
        <f t="shared" si="15"/>
        <v>1365500</v>
      </c>
      <c r="Y45" s="84">
        <f t="shared" si="15"/>
        <v>0</v>
      </c>
      <c r="Z45" s="84">
        <f t="shared" si="15"/>
        <v>0</v>
      </c>
      <c r="AA45" s="84">
        <f t="shared" si="15"/>
        <v>0</v>
      </c>
      <c r="AB45" s="84">
        <f t="shared" si="15"/>
        <v>0</v>
      </c>
      <c r="AC45" s="84">
        <f t="shared" si="15"/>
        <v>-4005999.8900000006</v>
      </c>
      <c r="AD45" s="84">
        <f t="shared" si="15"/>
        <v>0</v>
      </c>
      <c r="AE45" s="84">
        <f t="shared" si="15"/>
        <v>11810000</v>
      </c>
      <c r="AF45" s="84">
        <f t="shared" si="15"/>
        <v>176531880</v>
      </c>
      <c r="AG45" s="84">
        <f t="shared" si="15"/>
        <v>4.2500000000000003E-2</v>
      </c>
      <c r="AH45" s="84">
        <f t="shared" si="15"/>
        <v>299724</v>
      </c>
      <c r="AI45" s="51"/>
      <c r="AJ45" s="51"/>
      <c r="AK45" s="51"/>
      <c r="AL45" s="211">
        <f>SUM(AL6:AL44)</f>
        <v>157967506.08000001</v>
      </c>
      <c r="AM45" s="211">
        <f>SUM(AM6:AM44)</f>
        <v>176531896.08000001</v>
      </c>
      <c r="AN45" s="211"/>
    </row>
    <row r="46" spans="2:43">
      <c r="K46" s="28">
        <v>143039162.74000001</v>
      </c>
      <c r="M46" s="28">
        <v>5591620</v>
      </c>
      <c r="Q46" s="28">
        <f>N45+O45+P45+Q45</f>
        <v>5586225</v>
      </c>
      <c r="S46" s="28">
        <v>330750</v>
      </c>
      <c r="T46" s="28">
        <v>3838950</v>
      </c>
      <c r="U46" s="28">
        <v>330000</v>
      </c>
      <c r="V46" s="28">
        <v>7482918.2300000004</v>
      </c>
      <c r="X46" s="28">
        <v>1365500</v>
      </c>
      <c r="AC46" s="28">
        <v>-4005999.8900000006</v>
      </c>
      <c r="AE46" s="28">
        <v>11810000</v>
      </c>
      <c r="AH46" s="28">
        <v>299724</v>
      </c>
      <c r="AL46" s="232">
        <v>157967506.08000004</v>
      </c>
    </row>
    <row r="47" spans="2:43">
      <c r="B47" s="51" t="s">
        <v>48</v>
      </c>
      <c r="M47" s="54"/>
      <c r="N47" s="54"/>
      <c r="O47" s="54"/>
      <c r="P47" s="54"/>
      <c r="Q47" s="232">
        <v>5586225</v>
      </c>
      <c r="R47" s="54"/>
      <c r="S47" s="232">
        <v>330750</v>
      </c>
      <c r="T47" s="54"/>
      <c r="U47" s="54"/>
      <c r="V47" s="54"/>
    </row>
    <row r="48" spans="2:43">
      <c r="B48" s="27" t="s">
        <v>49</v>
      </c>
      <c r="M48" s="54"/>
      <c r="N48" s="54"/>
      <c r="O48" s="54"/>
      <c r="P48" s="54"/>
      <c r="Q48" s="54"/>
      <c r="R48" s="54"/>
      <c r="S48" s="54"/>
      <c r="T48" s="54"/>
      <c r="U48" s="54"/>
      <c r="V48" s="54"/>
    </row>
    <row r="49" spans="2:59">
      <c r="B49" s="27" t="s">
        <v>57</v>
      </c>
      <c r="M49" s="54"/>
      <c r="N49" s="54"/>
      <c r="O49" s="54"/>
      <c r="P49" s="54"/>
      <c r="Q49" s="54"/>
      <c r="R49" s="54"/>
      <c r="S49" s="54"/>
      <c r="T49" s="54"/>
      <c r="U49" s="54"/>
      <c r="V49" s="54"/>
    </row>
    <row r="50" spans="2:59">
      <c r="B50" s="27" t="s">
        <v>50</v>
      </c>
      <c r="M50" s="54"/>
      <c r="N50" s="54"/>
      <c r="O50" s="54"/>
      <c r="P50" s="54"/>
      <c r="Q50" s="54"/>
      <c r="R50" s="54"/>
      <c r="S50" s="54"/>
      <c r="T50" s="54"/>
      <c r="U50" s="54"/>
      <c r="V50" s="54"/>
    </row>
    <row r="51" spans="2:59" s="31" customFormat="1" ht="15" hidden="1" customHeight="1">
      <c r="B51" s="27" t="s">
        <v>58</v>
      </c>
      <c r="C51" s="28"/>
      <c r="D51" s="194"/>
      <c r="E51" s="29"/>
      <c r="F51" s="28"/>
      <c r="G51" s="30"/>
      <c r="H51" s="195"/>
      <c r="I51" s="195"/>
      <c r="J51" s="195"/>
      <c r="K51" s="28"/>
      <c r="L51" s="28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57"/>
      <c r="AH51" s="28"/>
      <c r="AI51" s="27"/>
      <c r="AJ51" s="27"/>
      <c r="AK51" s="27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</row>
    <row r="52" spans="2:59" s="31" customFormat="1" ht="15" hidden="1" customHeight="1">
      <c r="B52" s="27" t="s">
        <v>51</v>
      </c>
      <c r="C52" s="28"/>
      <c r="D52" s="194"/>
      <c r="E52" s="29"/>
      <c r="F52" s="28"/>
      <c r="G52" s="30"/>
      <c r="H52" s="195"/>
      <c r="I52" s="195"/>
      <c r="J52" s="195"/>
      <c r="K52" s="28"/>
      <c r="L52" s="28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57"/>
      <c r="AH52" s="28"/>
      <c r="AI52" s="27"/>
      <c r="AJ52" s="27"/>
      <c r="AK52" s="27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</row>
    <row r="53" spans="2:59" s="31" customFormat="1" ht="15" hidden="1" customHeight="1">
      <c r="B53" s="27" t="s">
        <v>52</v>
      </c>
      <c r="C53" s="28"/>
      <c r="D53" s="194"/>
      <c r="E53" s="29"/>
      <c r="F53" s="28"/>
      <c r="G53" s="30"/>
      <c r="H53" s="195"/>
      <c r="I53" s="195"/>
      <c r="J53" s="195"/>
      <c r="K53" s="28"/>
      <c r="L53" s="28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57"/>
      <c r="AH53" s="28"/>
      <c r="AI53" s="27"/>
      <c r="AJ53" s="27"/>
      <c r="AK53" s="27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</row>
    <row r="54" spans="2:59" s="31" customFormat="1" ht="15" hidden="1" customHeight="1">
      <c r="B54" s="27" t="s">
        <v>53</v>
      </c>
      <c r="C54" s="28"/>
      <c r="D54" s="194"/>
      <c r="E54" s="29"/>
      <c r="F54" s="28"/>
      <c r="G54" s="30"/>
      <c r="H54" s="195"/>
      <c r="I54" s="195"/>
      <c r="J54" s="195"/>
      <c r="K54" s="28"/>
      <c r="L54" s="28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57"/>
      <c r="AH54" s="28"/>
      <c r="AI54" s="27"/>
      <c r="AJ54" s="27"/>
      <c r="AK54" s="27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</row>
    <row r="55" spans="2:59" s="31" customFormat="1" ht="15" hidden="1" customHeight="1">
      <c r="B55" s="27" t="s">
        <v>59</v>
      </c>
      <c r="C55" s="28"/>
      <c r="D55" s="194"/>
      <c r="E55" s="29"/>
      <c r="F55" s="28"/>
      <c r="G55" s="30"/>
      <c r="H55" s="195"/>
      <c r="I55" s="195"/>
      <c r="J55" s="195"/>
      <c r="K55" s="28"/>
      <c r="L55" s="28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57"/>
      <c r="AH55" s="28"/>
      <c r="AI55" s="27"/>
      <c r="AJ55" s="27"/>
      <c r="AK55" s="27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</row>
    <row r="56" spans="2:59" s="31" customFormat="1" ht="15" hidden="1" customHeight="1">
      <c r="B56" s="27" t="s">
        <v>60</v>
      </c>
      <c r="C56" s="28"/>
      <c r="D56" s="194"/>
      <c r="E56" s="29"/>
      <c r="F56" s="28"/>
      <c r="G56" s="30"/>
      <c r="H56" s="195"/>
      <c r="I56" s="195"/>
      <c r="J56" s="195"/>
      <c r="K56" s="28"/>
      <c r="L56" s="28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57"/>
      <c r="AH56" s="28"/>
      <c r="AI56" s="27"/>
      <c r="AJ56" s="27"/>
      <c r="AK56" s="27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</row>
    <row r="57" spans="2:59" s="31" customFormat="1" ht="15" hidden="1" customHeight="1">
      <c r="B57" s="27" t="s">
        <v>65</v>
      </c>
      <c r="C57" s="28"/>
      <c r="D57" s="194"/>
      <c r="E57" s="29"/>
      <c r="F57" s="28"/>
      <c r="G57" s="30"/>
      <c r="H57" s="195"/>
      <c r="I57" s="195"/>
      <c r="J57" s="195"/>
      <c r="K57" s="28"/>
      <c r="L57" s="28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57"/>
      <c r="AH57" s="28"/>
      <c r="AI57" s="27"/>
      <c r="AJ57" s="27"/>
      <c r="AK57" s="27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</row>
    <row r="58" spans="2:59" s="31" customFormat="1" ht="15" hidden="1" customHeight="1">
      <c r="B58" s="27"/>
      <c r="C58" s="28"/>
      <c r="D58" s="194"/>
      <c r="E58" s="29"/>
      <c r="F58" s="28"/>
      <c r="G58" s="30"/>
      <c r="H58" s="195"/>
      <c r="I58" s="195"/>
      <c r="J58" s="195"/>
      <c r="K58" s="28"/>
      <c r="L58" s="28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57"/>
      <c r="AH58" s="28"/>
      <c r="AI58" s="27"/>
      <c r="AJ58" s="27"/>
      <c r="AK58" s="27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</row>
    <row r="59" spans="2:59" s="31" customFormat="1" ht="15" hidden="1" customHeight="1">
      <c r="B59" s="27"/>
      <c r="C59" s="28"/>
      <c r="D59" s="194"/>
      <c r="E59" s="29"/>
      <c r="F59" s="28"/>
      <c r="G59" s="30"/>
      <c r="H59" s="195"/>
      <c r="I59" s="195"/>
      <c r="J59" s="195"/>
      <c r="K59" s="28"/>
      <c r="L59" s="28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57"/>
      <c r="AH59" s="28"/>
      <c r="AI59" s="27"/>
      <c r="AJ59" s="27"/>
      <c r="AK59" s="27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</row>
    <row r="60" spans="2:59" s="31" customFormat="1" ht="15" hidden="1" customHeight="1">
      <c r="B60" s="27"/>
      <c r="C60" s="28"/>
      <c r="D60" s="194"/>
      <c r="E60" s="29"/>
      <c r="F60" s="28"/>
      <c r="G60" s="30"/>
      <c r="H60" s="195"/>
      <c r="I60" s="195"/>
      <c r="J60" s="195"/>
      <c r="K60" s="28"/>
      <c r="L60" s="28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57"/>
      <c r="AH60" s="28"/>
      <c r="AI60" s="27"/>
      <c r="AJ60" s="27"/>
      <c r="AK60" s="27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</row>
    <row r="61" spans="2:59" s="31" customFormat="1" ht="15" customHeight="1">
      <c r="B61" s="27"/>
      <c r="C61" s="28"/>
      <c r="D61" s="194"/>
      <c r="E61" s="29"/>
      <c r="F61" s="28"/>
      <c r="G61" s="30"/>
      <c r="H61" s="195"/>
      <c r="I61" s="195"/>
      <c r="J61" s="195"/>
      <c r="K61" s="28"/>
      <c r="L61" s="28"/>
      <c r="M61" s="233">
        <f>[20]TRANSPORT!$AJ$15+[20]HARVESTING!$AS$13+'[20]MAINTENANCE-2'!$AP$43</f>
        <v>5591620</v>
      </c>
      <c r="N61" s="54"/>
      <c r="O61" s="54"/>
      <c r="P61" s="54"/>
      <c r="Q61" s="54"/>
      <c r="R61" s="54"/>
      <c r="S61" s="54"/>
      <c r="T61" s="54"/>
      <c r="U61" s="54"/>
      <c r="V61" s="54"/>
      <c r="W61" s="28"/>
      <c r="X61" s="28"/>
      <c r="Y61" s="28"/>
      <c r="Z61" s="28"/>
      <c r="AA61" s="28"/>
      <c r="AB61" s="28"/>
      <c r="AC61" s="28"/>
      <c r="AD61" s="28"/>
      <c r="AE61" s="28"/>
      <c r="AF61" s="28">
        <f>AF45-AE45-M45-L45</f>
        <v>157967490</v>
      </c>
      <c r="AG61" s="57"/>
      <c r="AH61" s="28">
        <f>'[20]MAINTENANCE-2'!$AV$43+[20]HARVESTING!$AY$13+[20]TRANSPORT!$AQ$15</f>
        <v>299724</v>
      </c>
      <c r="AI61" s="27"/>
      <c r="AJ61" s="27"/>
      <c r="AK61" s="27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</row>
    <row r="62" spans="2:59" s="31" customFormat="1" ht="15" customHeight="1">
      <c r="B62" s="27"/>
      <c r="C62" s="28"/>
      <c r="D62" s="194"/>
      <c r="E62" s="29"/>
      <c r="F62" s="28"/>
      <c r="G62" s="30"/>
      <c r="H62" s="195"/>
      <c r="I62" s="195"/>
      <c r="J62" s="195"/>
      <c r="K62" s="28"/>
      <c r="L62" s="28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28"/>
      <c r="X62" s="28"/>
      <c r="Y62" s="28"/>
      <c r="Z62" s="28"/>
      <c r="AA62" s="28"/>
      <c r="AB62" s="28"/>
      <c r="AC62" s="28"/>
      <c r="AD62" s="28"/>
      <c r="AE62" s="28"/>
      <c r="AF62" s="28">
        <f>[20]TRANSPORT!$AE$15+[20]HARVESTING!$AN$13+'[20]MAINTENANCE-2'!$AK$43</f>
        <v>157967506.08000004</v>
      </c>
      <c r="AG62" s="57"/>
      <c r="AH62" s="28"/>
      <c r="AI62" s="27"/>
      <c r="AJ62" s="27"/>
      <c r="AK62" s="27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</row>
    <row r="63" spans="2:59">
      <c r="AF63" s="28">
        <f>AF61-AF62</f>
        <v>-16.080000042915344</v>
      </c>
    </row>
    <row r="64" spans="2:59" ht="18">
      <c r="C64" s="214" t="s">
        <v>378</v>
      </c>
      <c r="Z64" s="215"/>
      <c r="AA64" s="215"/>
      <c r="AB64" s="215"/>
      <c r="AC64" s="601" t="s">
        <v>379</v>
      </c>
      <c r="AD64" s="601"/>
      <c r="AE64" s="601"/>
      <c r="AF64" s="601"/>
    </row>
    <row r="65" spans="2:37" ht="20.25" customHeight="1">
      <c r="C65" s="214"/>
      <c r="Z65" s="215"/>
      <c r="AA65" s="215"/>
      <c r="AB65" s="215"/>
      <c r="AC65" s="216"/>
      <c r="AD65" s="216"/>
      <c r="AE65" s="216"/>
    </row>
    <row r="66" spans="2:37" ht="20.25" customHeight="1">
      <c r="C66" s="214"/>
      <c r="Z66" s="215"/>
      <c r="AA66" s="215"/>
      <c r="AB66" s="215"/>
      <c r="AC66" s="216"/>
      <c r="AD66" s="216"/>
      <c r="AE66" s="216"/>
    </row>
    <row r="67" spans="2:37" ht="18">
      <c r="B67" s="53"/>
      <c r="C67" s="214"/>
      <c r="Z67" s="215"/>
      <c r="AA67" s="215"/>
      <c r="AB67" s="215"/>
      <c r="AC67" s="216"/>
      <c r="AD67" s="216"/>
      <c r="AE67" s="216"/>
      <c r="AG67" s="53"/>
      <c r="AH67" s="53"/>
      <c r="AI67" s="53"/>
      <c r="AJ67" s="53"/>
      <c r="AK67" s="53"/>
    </row>
    <row r="68" spans="2:37" ht="18">
      <c r="B68" s="53"/>
      <c r="C68" s="214"/>
      <c r="Z68" s="215"/>
      <c r="AA68" s="215"/>
      <c r="AB68" s="215"/>
      <c r="AC68" s="216"/>
      <c r="AD68" s="216"/>
      <c r="AE68" s="216"/>
      <c r="AG68" s="53"/>
      <c r="AH68" s="53"/>
      <c r="AI68" s="53"/>
      <c r="AJ68" s="53"/>
      <c r="AK68" s="53"/>
    </row>
    <row r="69" spans="2:37" ht="18">
      <c r="B69" s="53"/>
      <c r="C69" s="214"/>
      <c r="Z69" s="215"/>
      <c r="AA69" s="215"/>
      <c r="AB69" s="215"/>
      <c r="AC69" s="216"/>
      <c r="AD69" s="216"/>
      <c r="AE69" s="216"/>
      <c r="AG69" s="53"/>
      <c r="AH69" s="53"/>
      <c r="AI69" s="53"/>
      <c r="AJ69" s="53"/>
      <c r="AK69" s="53"/>
    </row>
    <row r="70" spans="2:37" ht="20.25">
      <c r="B70" s="53"/>
      <c r="C70" s="217" t="s">
        <v>380</v>
      </c>
      <c r="AA70" s="218"/>
      <c r="AB70" s="218"/>
      <c r="AC70" s="602" t="s">
        <v>381</v>
      </c>
      <c r="AD70" s="602"/>
      <c r="AE70" s="602"/>
      <c r="AF70" s="602"/>
      <c r="AG70" s="53"/>
      <c r="AH70" s="53"/>
      <c r="AI70" s="53"/>
      <c r="AJ70" s="53"/>
      <c r="AK70" s="53"/>
    </row>
    <row r="71" spans="2:37" ht="18">
      <c r="B71" s="53"/>
      <c r="C71" s="214" t="s">
        <v>382</v>
      </c>
      <c r="AA71" s="215"/>
      <c r="AB71" s="215"/>
      <c r="AC71" s="601" t="s">
        <v>383</v>
      </c>
      <c r="AD71" s="601"/>
      <c r="AE71" s="601"/>
      <c r="AF71" s="601"/>
      <c r="AG71" s="53"/>
      <c r="AH71" s="53"/>
      <c r="AI71" s="53"/>
      <c r="AJ71" s="53"/>
      <c r="AK71" s="53"/>
    </row>
  </sheetData>
  <mergeCells count="3">
    <mergeCell ref="AC64:AF64"/>
    <mergeCell ref="AC70:AF70"/>
    <mergeCell ref="AC71:AF71"/>
  </mergeCells>
  <dataValidations count="2">
    <dataValidation type="list" allowBlank="1" showInputMessage="1" showErrorMessage="1" sqref="I6:I44">
      <formula1>"TK/0,TK/1,TK/2,TK/3,K/0,K/1,K/2,K/3"</formula1>
    </dataValidation>
    <dataValidation type="list" allowBlank="1" showInputMessage="1" showErrorMessage="1" sqref="H6:H44">
      <formula1>"L,P"</formula1>
    </dataValidation>
  </dataValidations>
  <pageMargins left="0.31496062992125984" right="0.11811023622047245" top="0.19685039370078741" bottom="0" header="0.31496062992125984" footer="0.31496062992125984"/>
  <pageSetup paperSize="9" scale="44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101"/>
  <sheetViews>
    <sheetView topLeftCell="I4" zoomScale="67" zoomScaleNormal="67" workbookViewId="0">
      <selection activeCell="AO7" sqref="AO7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" style="28" customWidth="1"/>
    <col min="4" max="4" width="18.5703125" style="194" customWidth="1" outlineLevel="1"/>
    <col min="5" max="5" width="19.42578125" style="29" customWidth="1" outlineLevel="1"/>
    <col min="6" max="6" width="48.28515625" style="28" customWidth="1" outlineLevel="1"/>
    <col min="7" max="7" width="25.140625" style="30" customWidth="1" outlineLevel="1"/>
    <col min="8" max="8" width="6" style="195" customWidth="1" outlineLevel="1"/>
    <col min="9" max="9" width="6.7109375" style="195" customWidth="1" outlineLevel="1"/>
    <col min="10" max="10" width="10.85546875" style="195" customWidth="1" outlineLevel="1"/>
    <col min="11" max="11" width="14.140625" style="28" customWidth="1"/>
    <col min="12" max="12" width="11.7109375" style="28" customWidth="1"/>
    <col min="13" max="13" width="12.7109375" style="28" customWidth="1"/>
    <col min="14" max="14" width="12" style="28" customWidth="1"/>
    <col min="15" max="15" width="11.42578125" style="28" customWidth="1"/>
    <col min="16" max="16" width="12" style="28" customWidth="1"/>
    <col min="17" max="17" width="11" style="28" customWidth="1"/>
    <col min="18" max="18" width="9.85546875" style="28" customWidth="1"/>
    <col min="19" max="20" width="12" style="28" customWidth="1"/>
    <col min="21" max="21" width="10.140625" style="28" customWidth="1"/>
    <col min="22" max="23" width="11.28515625" style="28" customWidth="1"/>
    <col min="24" max="24" width="12.7109375" style="28" customWidth="1"/>
    <col min="25" max="25" width="11.42578125" style="28" hidden="1" customWidth="1"/>
    <col min="26" max="26" width="9.42578125" style="28" customWidth="1"/>
    <col min="27" max="28" width="12.7109375" style="28" hidden="1" customWidth="1"/>
    <col min="29" max="29" width="15.7109375" style="28" customWidth="1"/>
    <col min="30" max="30" width="7" style="28" hidden="1" customWidth="1"/>
    <col min="31" max="31" width="8" style="28" customWidth="1"/>
    <col min="32" max="32" width="13.5703125" style="28" customWidth="1" collapsed="1"/>
    <col min="33" max="33" width="7.7109375" style="57" customWidth="1"/>
    <col min="34" max="34" width="10.85546875" style="28" customWidth="1"/>
    <col min="35" max="35" width="10.7109375" style="27" hidden="1" customWidth="1"/>
    <col min="36" max="36" width="13" style="27" hidden="1" customWidth="1"/>
    <col min="37" max="37" width="0" style="27" hidden="1" customWidth="1"/>
    <col min="38" max="38" width="13.85546875" style="53" bestFit="1" customWidth="1"/>
    <col min="39" max="39" width="14" style="53" bestFit="1" customWidth="1"/>
    <col min="40" max="40" width="11.5703125" style="53" bestFit="1" customWidth="1"/>
    <col min="41" max="41" width="11.140625" style="53" bestFit="1" customWidth="1"/>
    <col min="42" max="16384" width="9.28515625" style="53"/>
  </cols>
  <sheetData>
    <row r="1" spans="2:41">
      <c r="B1" s="27" t="s">
        <v>71</v>
      </c>
      <c r="AI1" s="53"/>
      <c r="AJ1" s="53"/>
      <c r="AK1" s="53"/>
    </row>
    <row r="2" spans="2:41">
      <c r="B2" s="27" t="s">
        <v>396</v>
      </c>
      <c r="AI2" s="53"/>
      <c r="AJ2" s="53"/>
      <c r="AK2" s="53"/>
    </row>
    <row r="3" spans="2:41">
      <c r="B3" s="27" t="s">
        <v>326</v>
      </c>
      <c r="AI3" s="53"/>
      <c r="AJ3" s="53"/>
      <c r="AK3" s="53"/>
    </row>
    <row r="4" spans="2:41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/>
      <c r="R4" s="28"/>
      <c r="S4" s="28"/>
      <c r="T4" s="28" t="s">
        <v>327</v>
      </c>
      <c r="U4" s="28" t="s">
        <v>328</v>
      </c>
      <c r="V4" s="28" t="s">
        <v>329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57"/>
      <c r="AH4" s="28"/>
    </row>
    <row r="5" spans="2:41" s="27" customFormat="1" ht="51.75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89" t="s">
        <v>67</v>
      </c>
      <c r="M5" s="188" t="s">
        <v>68</v>
      </c>
      <c r="N5" s="189" t="s">
        <v>385</v>
      </c>
      <c r="O5" s="189" t="s">
        <v>386</v>
      </c>
      <c r="P5" s="189" t="s">
        <v>387</v>
      </c>
      <c r="Q5" s="189" t="s">
        <v>388</v>
      </c>
      <c r="R5" s="188" t="s">
        <v>331</v>
      </c>
      <c r="S5" s="188" t="s">
        <v>332</v>
      </c>
      <c r="T5" s="189" t="s">
        <v>76</v>
      </c>
      <c r="U5" s="189" t="s">
        <v>77</v>
      </c>
      <c r="V5" s="189" t="s">
        <v>81</v>
      </c>
      <c r="W5" s="189" t="s">
        <v>333</v>
      </c>
      <c r="X5" s="188" t="s">
        <v>82</v>
      </c>
      <c r="Y5" s="188" t="s">
        <v>334</v>
      </c>
      <c r="Z5" s="188" t="s">
        <v>335</v>
      </c>
      <c r="AA5" s="188" t="s">
        <v>84</v>
      </c>
      <c r="AB5" s="188" t="s">
        <v>85</v>
      </c>
      <c r="AC5" s="188" t="s">
        <v>336</v>
      </c>
      <c r="AD5" s="188" t="s">
        <v>79</v>
      </c>
      <c r="AE5" s="188" t="s">
        <v>80</v>
      </c>
      <c r="AF5" s="188" t="s">
        <v>41</v>
      </c>
      <c r="AG5" s="102" t="s">
        <v>42</v>
      </c>
      <c r="AH5" s="103" t="s">
        <v>43</v>
      </c>
      <c r="AI5" s="188" t="s">
        <v>69</v>
      </c>
      <c r="AJ5" s="103" t="s">
        <v>70</v>
      </c>
      <c r="AK5" s="103" t="s">
        <v>337</v>
      </c>
    </row>
    <row r="6" spans="2:41" s="27" customFormat="1">
      <c r="B6" s="34">
        <v>1</v>
      </c>
      <c r="C6" s="35" t="s">
        <v>221</v>
      </c>
      <c r="D6" s="204" t="s">
        <v>222</v>
      </c>
      <c r="E6" s="36" t="s">
        <v>338</v>
      </c>
      <c r="F6" s="35" t="s">
        <v>223</v>
      </c>
      <c r="G6" s="205" t="s">
        <v>391</v>
      </c>
      <c r="H6" s="37" t="s">
        <v>39</v>
      </c>
      <c r="I6" s="38" t="s">
        <v>7</v>
      </c>
      <c r="J6" s="55" t="str">
        <f>IF(ISBLANK(I6),"",IF(OR(I6="TK/0",I6="TK/1",I6="K/0"),"TER A",IF(I6="K/3","TER C","TER B")))</f>
        <v>TER A</v>
      </c>
      <c r="K6" s="59">
        <v>3669999.9</v>
      </c>
      <c r="L6" s="39">
        <f>3670000*0.84%</f>
        <v>30827.999999999996</v>
      </c>
      <c r="M6" s="101">
        <f>'[21]MAINTENANCE-2'!AP11</f>
        <v>148540</v>
      </c>
      <c r="N6" s="119"/>
      <c r="O6" s="119"/>
      <c r="P6" s="119"/>
      <c r="Q6" s="39"/>
      <c r="R6" s="101"/>
      <c r="S6" s="101"/>
      <c r="T6" s="39">
        <f>'[21]MAINTENANCE-2'!X11</f>
        <v>63000</v>
      </c>
      <c r="U6" s="39">
        <v>57000</v>
      </c>
      <c r="V6" s="39">
        <v>63641.62</v>
      </c>
      <c r="W6" s="39"/>
      <c r="X6" s="39">
        <f>'[21]MAINTENANCE-2'!AC11</f>
        <v>43500</v>
      </c>
      <c r="Y6" s="101"/>
      <c r="Z6" s="101"/>
      <c r="AA6" s="101"/>
      <c r="AB6" s="101"/>
      <c r="AC6" s="229">
        <v>-244666.66</v>
      </c>
      <c r="AD6" s="39"/>
      <c r="AE6" s="39"/>
      <c r="AF6" s="104">
        <f>ROUNDDOWN(SUM(K6:AE6),0)</f>
        <v>3831842</v>
      </c>
      <c r="AG6" s="105">
        <f t="shared" ref="AG6:AG42" si="0">IF(J6="TER A",VLOOKUP(AF6,Ter_A,4,TRUE),IF(J6="TER B",VLOOKUP(AF6,Ter_B,4,TRUE),VLOOKUP(AF6,Ter_C,4,TRUE)))</f>
        <v>0</v>
      </c>
      <c r="AH6" s="106">
        <f>ROUNDDOWN(IF(E6=0,AF6*AG6*120%,AF6*AG6),0)</f>
        <v>0</v>
      </c>
      <c r="AJ6" s="93">
        <f>AI6-AH6</f>
        <v>0</v>
      </c>
      <c r="AL6" s="206">
        <v>3652474.8600000003</v>
      </c>
      <c r="AM6" s="207">
        <f>AL6+L6+M6+AE6</f>
        <v>3831842.8600000003</v>
      </c>
      <c r="AN6" s="151">
        <f>AM6-AF6</f>
        <v>0.86000000033527613</v>
      </c>
      <c r="AO6" s="93">
        <f>SUM(N6:AC6)</f>
        <v>-17525.040000000008</v>
      </c>
    </row>
    <row r="7" spans="2:41" s="27" customFormat="1">
      <c r="B7" s="97">
        <v>2</v>
      </c>
      <c r="C7" s="98" t="s">
        <v>224</v>
      </c>
      <c r="D7" s="208" t="s">
        <v>225</v>
      </c>
      <c r="E7" s="209" t="s">
        <v>73</v>
      </c>
      <c r="F7" s="98" t="s">
        <v>226</v>
      </c>
      <c r="G7" s="107" t="s">
        <v>340</v>
      </c>
      <c r="H7" s="99" t="s">
        <v>38</v>
      </c>
      <c r="I7" s="100" t="s">
        <v>7</v>
      </c>
      <c r="J7" s="58" t="str">
        <f t="shared" ref="J7:J48" si="1">IF(ISBLANK(I7),"",IF(OR(I7="TK/0",I7="TK/1",I7="K/0"),"TER A",IF(I7="K/3","TER C","TER B")))</f>
        <v>TER A</v>
      </c>
      <c r="K7" s="210">
        <v>3639999.9</v>
      </c>
      <c r="L7" s="101">
        <f>3640000*0.84%</f>
        <v>30575.999999999996</v>
      </c>
      <c r="M7" s="101">
        <f>'[21]MAINTENANCE-2'!AP12</f>
        <v>146200</v>
      </c>
      <c r="N7" s="46"/>
      <c r="O7" s="46"/>
      <c r="P7" s="46"/>
      <c r="Q7" s="101"/>
      <c r="R7" s="101"/>
      <c r="S7" s="101"/>
      <c r="T7" s="101">
        <f>'[21]MAINTENANCE-2'!X12</f>
        <v>67500</v>
      </c>
      <c r="U7" s="46">
        <v>42000</v>
      </c>
      <c r="V7" s="101">
        <v>1588554.73</v>
      </c>
      <c r="W7" s="101"/>
      <c r="X7" s="101">
        <f>'[21]MAINTENANCE-2'!AC12</f>
        <v>15000</v>
      </c>
      <c r="Y7" s="101"/>
      <c r="Z7" s="101"/>
      <c r="AA7" s="101"/>
      <c r="AB7" s="101"/>
      <c r="AC7" s="230">
        <v>0</v>
      </c>
      <c r="AD7" s="101"/>
      <c r="AE7" s="101"/>
      <c r="AF7" s="62">
        <f>ROUNDDOWN(SUM(K7:AE7),0)</f>
        <v>5529830</v>
      </c>
      <c r="AG7" s="63">
        <f t="shared" si="0"/>
        <v>2.5000000000000001E-3</v>
      </c>
      <c r="AH7" s="106">
        <f>ROUNDDOWN(IF(E7=0,AF7*AG7*120%,AF7*AG7),0)</f>
        <v>13824</v>
      </c>
      <c r="AJ7" s="93">
        <f t="shared" ref="AJ7:AJ48" si="2">AI7-AH7</f>
        <v>-13824</v>
      </c>
      <c r="AL7" s="206">
        <v>5353054.6300000008</v>
      </c>
      <c r="AM7" s="207">
        <f t="shared" ref="AM7:AM48" si="3">AL7+L7+M7+AE7</f>
        <v>5529830.6300000008</v>
      </c>
      <c r="AN7" s="151">
        <f t="shared" ref="AN7:AN47" si="4">AM7-AF7</f>
        <v>0.63000000081956387</v>
      </c>
      <c r="AO7" s="93">
        <f t="shared" ref="AO7:AO48" si="5">SUM(N7:AC7)</f>
        <v>1713054.73</v>
      </c>
    </row>
    <row r="8" spans="2:41" s="27" customFormat="1">
      <c r="B8" s="97">
        <v>3</v>
      </c>
      <c r="C8" s="98" t="s">
        <v>227</v>
      </c>
      <c r="D8" s="208" t="s">
        <v>228</v>
      </c>
      <c r="E8" s="209" t="s">
        <v>341</v>
      </c>
      <c r="F8" s="98" t="s">
        <v>229</v>
      </c>
      <c r="G8" s="107" t="s">
        <v>88</v>
      </c>
      <c r="H8" s="99" t="s">
        <v>39</v>
      </c>
      <c r="I8" s="100" t="s">
        <v>7</v>
      </c>
      <c r="J8" s="58" t="str">
        <f t="shared" si="1"/>
        <v>TER A</v>
      </c>
      <c r="K8" s="210">
        <v>3639999.9</v>
      </c>
      <c r="L8" s="101">
        <f t="shared" ref="L8:L41" si="6">3640000*0.84%</f>
        <v>30575.999999999996</v>
      </c>
      <c r="M8" s="101">
        <f>'[21]MAINTENANCE-2'!AP13</f>
        <v>147480</v>
      </c>
      <c r="N8" s="101"/>
      <c r="O8" s="101"/>
      <c r="P8" s="101"/>
      <c r="Q8" s="101"/>
      <c r="R8" s="101"/>
      <c r="S8" s="101"/>
      <c r="T8" s="101">
        <f>'[21]MAINTENANCE-2'!X13</f>
        <v>63000</v>
      </c>
      <c r="U8" s="101"/>
      <c r="V8" s="101">
        <v>136762.99</v>
      </c>
      <c r="W8" s="101"/>
      <c r="X8" s="101">
        <f>'[21]MAINTENANCE-2'!AC13</f>
        <v>47000</v>
      </c>
      <c r="Y8" s="101"/>
      <c r="Z8" s="101"/>
      <c r="AA8" s="101"/>
      <c r="AB8" s="101"/>
      <c r="AC8" s="230">
        <v>-242666.66</v>
      </c>
      <c r="AD8" s="101"/>
      <c r="AE8" s="101"/>
      <c r="AF8" s="62">
        <f t="shared" ref="AF8:AF49" si="7">ROUNDDOWN(SUM(K8:AE8),0)</f>
        <v>3822152</v>
      </c>
      <c r="AG8" s="63">
        <f t="shared" si="0"/>
        <v>0</v>
      </c>
      <c r="AH8" s="106">
        <f t="shared" ref="AH8:AH49" si="8">ROUNDDOWN(IF(E8=0,AF8*AG8*120%,AF8*AG8),0)</f>
        <v>0</v>
      </c>
      <c r="AJ8" s="93">
        <f t="shared" si="2"/>
        <v>0</v>
      </c>
      <c r="AL8" s="206">
        <v>3644096.2299999995</v>
      </c>
      <c r="AM8" s="207">
        <f t="shared" si="3"/>
        <v>3822152.2299999995</v>
      </c>
      <c r="AN8" s="151">
        <f t="shared" si="4"/>
        <v>0.22999999951571226</v>
      </c>
      <c r="AO8" s="93">
        <f t="shared" si="5"/>
        <v>4096.3299999999872</v>
      </c>
    </row>
    <row r="9" spans="2:41" s="27" customFormat="1">
      <c r="B9" s="97">
        <v>4</v>
      </c>
      <c r="C9" s="98" t="s">
        <v>230</v>
      </c>
      <c r="D9" s="208" t="s">
        <v>231</v>
      </c>
      <c r="E9" s="209" t="s">
        <v>73</v>
      </c>
      <c r="F9" s="98" t="s">
        <v>232</v>
      </c>
      <c r="G9" s="107" t="s">
        <v>88</v>
      </c>
      <c r="H9" s="99" t="s">
        <v>39</v>
      </c>
      <c r="I9" s="100" t="s">
        <v>9</v>
      </c>
      <c r="J9" s="58" t="str">
        <f t="shared" si="1"/>
        <v>TER B</v>
      </c>
      <c r="K9" s="210">
        <v>3639999.9</v>
      </c>
      <c r="L9" s="101">
        <f t="shared" si="6"/>
        <v>30575.999999999996</v>
      </c>
      <c r="M9" s="101">
        <f>'[21]MAINTENANCE-2'!AP14</f>
        <v>146680</v>
      </c>
      <c r="N9" s="101"/>
      <c r="O9" s="101"/>
      <c r="P9" s="101"/>
      <c r="Q9" s="101"/>
      <c r="R9" s="101"/>
      <c r="S9" s="101"/>
      <c r="T9" s="101">
        <f>'[21]MAINTENANCE-2'!X14</f>
        <v>130500</v>
      </c>
      <c r="U9" s="101"/>
      <c r="V9" s="101"/>
      <c r="W9" s="101"/>
      <c r="X9" s="101">
        <f>'[21]MAINTENANCE-2'!AC14</f>
        <v>27000</v>
      </c>
      <c r="Y9" s="101"/>
      <c r="Z9" s="101"/>
      <c r="AA9" s="101"/>
      <c r="AB9" s="101"/>
      <c r="AC9" s="230">
        <v>-121333.33</v>
      </c>
      <c r="AD9" s="101"/>
      <c r="AE9" s="101"/>
      <c r="AF9" s="62">
        <f t="shared" si="7"/>
        <v>3853422</v>
      </c>
      <c r="AG9" s="63">
        <f t="shared" si="0"/>
        <v>0</v>
      </c>
      <c r="AH9" s="106">
        <f t="shared" si="8"/>
        <v>0</v>
      </c>
      <c r="AJ9" s="93">
        <f t="shared" si="2"/>
        <v>0</v>
      </c>
      <c r="AL9" s="206">
        <v>3676166.5700000003</v>
      </c>
      <c r="AM9" s="207">
        <f t="shared" si="3"/>
        <v>3853422.5700000003</v>
      </c>
      <c r="AN9" s="151">
        <f t="shared" si="4"/>
        <v>0.57000000029802322</v>
      </c>
      <c r="AO9" s="93">
        <f t="shared" si="5"/>
        <v>36166.67</v>
      </c>
    </row>
    <row r="10" spans="2:41" s="27" customFormat="1">
      <c r="B10" s="97">
        <v>5</v>
      </c>
      <c r="C10" s="98" t="s">
        <v>233</v>
      </c>
      <c r="D10" s="208" t="s">
        <v>234</v>
      </c>
      <c r="E10" s="209" t="s">
        <v>342</v>
      </c>
      <c r="F10" s="98" t="s">
        <v>235</v>
      </c>
      <c r="G10" s="107" t="s">
        <v>88</v>
      </c>
      <c r="H10" s="99" t="s">
        <v>38</v>
      </c>
      <c r="I10" s="100" t="s">
        <v>7</v>
      </c>
      <c r="J10" s="58" t="str">
        <f t="shared" si="1"/>
        <v>TER A</v>
      </c>
      <c r="K10" s="210">
        <v>3639999.9</v>
      </c>
      <c r="L10" s="101">
        <f t="shared" si="6"/>
        <v>30575.999999999996</v>
      </c>
      <c r="M10" s="101">
        <f>'[21]MAINTENANCE-2'!AP15</f>
        <v>147620</v>
      </c>
      <c r="N10" s="101"/>
      <c r="O10" s="101"/>
      <c r="P10" s="101"/>
      <c r="Q10" s="101"/>
      <c r="R10" s="101"/>
      <c r="S10" s="101"/>
      <c r="T10" s="101">
        <f>'[21]MAINTENANCE-2'!X15</f>
        <v>67500</v>
      </c>
      <c r="U10" s="101"/>
      <c r="V10" s="101"/>
      <c r="W10" s="101"/>
      <c r="X10" s="101">
        <f>'[21]MAINTENANCE-2'!AC15</f>
        <v>50500</v>
      </c>
      <c r="Y10" s="101"/>
      <c r="Z10" s="101"/>
      <c r="AA10" s="101"/>
      <c r="AB10" s="101"/>
      <c r="AC10" s="230">
        <v>0</v>
      </c>
      <c r="AD10" s="101"/>
      <c r="AE10" s="101"/>
      <c r="AF10" s="62">
        <f t="shared" si="7"/>
        <v>3936195</v>
      </c>
      <c r="AG10" s="63">
        <f t="shared" si="0"/>
        <v>0</v>
      </c>
      <c r="AH10" s="106">
        <f t="shared" si="8"/>
        <v>0</v>
      </c>
      <c r="AJ10" s="93">
        <f t="shared" si="2"/>
        <v>0</v>
      </c>
      <c r="AL10" s="206">
        <v>3757999.9000000004</v>
      </c>
      <c r="AM10" s="207">
        <f t="shared" si="3"/>
        <v>3936195.9000000004</v>
      </c>
      <c r="AN10" s="151">
        <f t="shared" si="4"/>
        <v>0.90000000037252903</v>
      </c>
      <c r="AO10" s="93">
        <f t="shared" si="5"/>
        <v>118000</v>
      </c>
    </row>
    <row r="11" spans="2:41" s="27" customFormat="1">
      <c r="B11" s="97">
        <v>6</v>
      </c>
      <c r="C11" s="98" t="s">
        <v>236</v>
      </c>
      <c r="D11" s="208" t="s">
        <v>237</v>
      </c>
      <c r="E11" s="209" t="s">
        <v>343</v>
      </c>
      <c r="F11" s="98" t="s">
        <v>238</v>
      </c>
      <c r="G11" s="107" t="s">
        <v>88</v>
      </c>
      <c r="H11" s="99" t="s">
        <v>38</v>
      </c>
      <c r="I11" s="100" t="s">
        <v>7</v>
      </c>
      <c r="J11" s="58" t="str">
        <f t="shared" si="1"/>
        <v>TER A</v>
      </c>
      <c r="K11" s="210">
        <v>3639999.9</v>
      </c>
      <c r="L11" s="101">
        <f t="shared" si="6"/>
        <v>30575.999999999996</v>
      </c>
      <c r="M11" s="101">
        <f>'[21]MAINTENANCE-2'!AP16</f>
        <v>147620</v>
      </c>
      <c r="N11" s="101"/>
      <c r="O11" s="101"/>
      <c r="P11" s="101"/>
      <c r="Q11" s="101"/>
      <c r="R11" s="101"/>
      <c r="S11" s="101"/>
      <c r="T11" s="101">
        <f>'[21]MAINTENANCE-2'!X16</f>
        <v>65250</v>
      </c>
      <c r="U11" s="101"/>
      <c r="V11" s="101"/>
      <c r="W11" s="101"/>
      <c r="X11" s="101">
        <f>'[21]MAINTENANCE-2'!AC16</f>
        <v>50500</v>
      </c>
      <c r="Y11" s="101"/>
      <c r="Z11" s="101"/>
      <c r="AA11" s="101"/>
      <c r="AB11" s="101"/>
      <c r="AC11" s="230">
        <v>-121333.33</v>
      </c>
      <c r="AD11" s="101"/>
      <c r="AE11" s="101"/>
      <c r="AF11" s="62">
        <f t="shared" si="7"/>
        <v>3812612</v>
      </c>
      <c r="AG11" s="63">
        <f t="shared" si="0"/>
        <v>0</v>
      </c>
      <c r="AH11" s="106">
        <f t="shared" si="8"/>
        <v>0</v>
      </c>
      <c r="AJ11" s="93">
        <f t="shared" si="2"/>
        <v>0</v>
      </c>
      <c r="AL11" s="206">
        <v>3634416.5700000003</v>
      </c>
      <c r="AM11" s="207">
        <f t="shared" si="3"/>
        <v>3812612.5700000003</v>
      </c>
      <c r="AN11" s="151">
        <f t="shared" si="4"/>
        <v>0.57000000029802322</v>
      </c>
      <c r="AO11" s="93">
        <f t="shared" si="5"/>
        <v>-5583.3300000000017</v>
      </c>
    </row>
    <row r="12" spans="2:41" s="27" customFormat="1">
      <c r="B12" s="97">
        <v>7</v>
      </c>
      <c r="C12" s="98" t="s">
        <v>239</v>
      </c>
      <c r="D12" s="208" t="s">
        <v>240</v>
      </c>
      <c r="E12" s="209" t="s">
        <v>344</v>
      </c>
      <c r="F12" s="98" t="s">
        <v>241</v>
      </c>
      <c r="G12" s="107" t="s">
        <v>88</v>
      </c>
      <c r="H12" s="99" t="s">
        <v>38</v>
      </c>
      <c r="I12" s="100" t="s">
        <v>7</v>
      </c>
      <c r="J12" s="58" t="str">
        <f t="shared" si="1"/>
        <v>TER A</v>
      </c>
      <c r="K12" s="210">
        <v>3639999.9</v>
      </c>
      <c r="L12" s="101">
        <f t="shared" si="6"/>
        <v>30575.999999999996</v>
      </c>
      <c r="M12" s="101">
        <f>'[21]MAINTENANCE-2'!AP17</f>
        <v>147480</v>
      </c>
      <c r="N12" s="101"/>
      <c r="O12" s="101"/>
      <c r="P12" s="101"/>
      <c r="Q12" s="101"/>
      <c r="R12" s="101"/>
      <c r="S12" s="101"/>
      <c r="T12" s="101">
        <f>'[21]MAINTENANCE-2'!X17</f>
        <v>67500</v>
      </c>
      <c r="U12" s="101"/>
      <c r="V12" s="101"/>
      <c r="W12" s="101"/>
      <c r="X12" s="101">
        <f>'[21]MAINTENANCE-2'!AC17</f>
        <v>47000</v>
      </c>
      <c r="Y12" s="101"/>
      <c r="Z12" s="101"/>
      <c r="AA12" s="101"/>
      <c r="AB12" s="101"/>
      <c r="AC12" s="230">
        <v>0</v>
      </c>
      <c r="AD12" s="101"/>
      <c r="AE12" s="101"/>
      <c r="AF12" s="62">
        <f t="shared" si="7"/>
        <v>3932555</v>
      </c>
      <c r="AG12" s="63">
        <f t="shared" si="0"/>
        <v>0</v>
      </c>
      <c r="AH12" s="106">
        <f t="shared" si="8"/>
        <v>0</v>
      </c>
      <c r="AJ12" s="93">
        <f t="shared" si="2"/>
        <v>0</v>
      </c>
      <c r="AL12" s="206">
        <v>3754499.9000000004</v>
      </c>
      <c r="AM12" s="207">
        <f t="shared" si="3"/>
        <v>3932555.9000000004</v>
      </c>
      <c r="AN12" s="151">
        <f t="shared" si="4"/>
        <v>0.90000000037252903</v>
      </c>
      <c r="AO12" s="93">
        <f t="shared" si="5"/>
        <v>114500</v>
      </c>
    </row>
    <row r="13" spans="2:41" s="27" customFormat="1">
      <c r="B13" s="97">
        <v>8</v>
      </c>
      <c r="C13" s="98" t="s">
        <v>242</v>
      </c>
      <c r="D13" s="208" t="s">
        <v>243</v>
      </c>
      <c r="E13" s="209" t="s">
        <v>345</v>
      </c>
      <c r="F13" s="98" t="s">
        <v>244</v>
      </c>
      <c r="G13" s="107" t="s">
        <v>88</v>
      </c>
      <c r="H13" s="99" t="s">
        <v>38</v>
      </c>
      <c r="I13" s="100" t="s">
        <v>7</v>
      </c>
      <c r="J13" s="58" t="str">
        <f t="shared" si="1"/>
        <v>TER A</v>
      </c>
      <c r="K13" s="210">
        <v>3639999.9</v>
      </c>
      <c r="L13" s="101">
        <f t="shared" si="6"/>
        <v>30575.999999999996</v>
      </c>
      <c r="M13" s="101">
        <f>'[21]MAINTENANCE-2'!AP18</f>
        <v>148040</v>
      </c>
      <c r="N13" s="101"/>
      <c r="O13" s="101"/>
      <c r="P13" s="101"/>
      <c r="Q13" s="101"/>
      <c r="R13" s="101"/>
      <c r="S13" s="101"/>
      <c r="T13" s="101">
        <f>'[21]MAINTENANCE-2'!X18</f>
        <v>67500</v>
      </c>
      <c r="U13" s="101"/>
      <c r="V13" s="101"/>
      <c r="W13" s="101"/>
      <c r="X13" s="101">
        <f>'[21]MAINTENANCE-2'!AC18</f>
        <v>61000</v>
      </c>
      <c r="Y13" s="101"/>
      <c r="Z13" s="101"/>
      <c r="AA13" s="101"/>
      <c r="AB13" s="101"/>
      <c r="AC13" s="230">
        <v>0</v>
      </c>
      <c r="AD13" s="101"/>
      <c r="AE13" s="101"/>
      <c r="AF13" s="62">
        <f t="shared" si="7"/>
        <v>3947115</v>
      </c>
      <c r="AG13" s="63">
        <f t="shared" si="0"/>
        <v>0</v>
      </c>
      <c r="AH13" s="106">
        <f t="shared" si="8"/>
        <v>0</v>
      </c>
      <c r="AJ13" s="93">
        <f t="shared" si="2"/>
        <v>0</v>
      </c>
      <c r="AL13" s="206">
        <v>3768499.9000000004</v>
      </c>
      <c r="AM13" s="207">
        <f t="shared" si="3"/>
        <v>3947115.9000000004</v>
      </c>
      <c r="AN13" s="151">
        <f t="shared" si="4"/>
        <v>0.90000000037252903</v>
      </c>
      <c r="AO13" s="93">
        <f t="shared" si="5"/>
        <v>128500</v>
      </c>
    </row>
    <row r="14" spans="2:41" s="27" customFormat="1">
      <c r="B14" s="97">
        <v>9</v>
      </c>
      <c r="C14" s="98" t="s">
        <v>245</v>
      </c>
      <c r="D14" s="208" t="s">
        <v>246</v>
      </c>
      <c r="E14" s="209" t="s">
        <v>346</v>
      </c>
      <c r="F14" s="98" t="s">
        <v>247</v>
      </c>
      <c r="G14" s="107" t="s">
        <v>88</v>
      </c>
      <c r="H14" s="99" t="s">
        <v>38</v>
      </c>
      <c r="I14" s="100" t="s">
        <v>7</v>
      </c>
      <c r="J14" s="58" t="str">
        <f t="shared" si="1"/>
        <v>TER A</v>
      </c>
      <c r="K14" s="210">
        <v>3639999.9</v>
      </c>
      <c r="L14" s="101">
        <f t="shared" si="6"/>
        <v>30575.999999999996</v>
      </c>
      <c r="M14" s="101">
        <f>'[21]MAINTENANCE-2'!AP19</f>
        <v>147340</v>
      </c>
      <c r="N14" s="101"/>
      <c r="O14" s="101"/>
      <c r="P14" s="101"/>
      <c r="Q14" s="101"/>
      <c r="R14" s="101"/>
      <c r="S14" s="101"/>
      <c r="T14" s="101">
        <f>'[21]MAINTENANCE-2'!X19</f>
        <v>67500</v>
      </c>
      <c r="U14" s="101"/>
      <c r="V14" s="101"/>
      <c r="W14" s="101"/>
      <c r="X14" s="101">
        <f>'[21]MAINTENANCE-2'!AC19</f>
        <v>43500</v>
      </c>
      <c r="Y14" s="101"/>
      <c r="Z14" s="101"/>
      <c r="AA14" s="101"/>
      <c r="AB14" s="101"/>
      <c r="AC14" s="230">
        <v>0</v>
      </c>
      <c r="AD14" s="101"/>
      <c r="AE14" s="101"/>
      <c r="AF14" s="62">
        <f t="shared" si="7"/>
        <v>3928915</v>
      </c>
      <c r="AG14" s="63">
        <f t="shared" si="0"/>
        <v>0</v>
      </c>
      <c r="AH14" s="106">
        <f t="shared" si="8"/>
        <v>0</v>
      </c>
      <c r="AJ14" s="93">
        <f t="shared" si="2"/>
        <v>0</v>
      </c>
      <c r="AL14" s="206">
        <v>3750999.9000000004</v>
      </c>
      <c r="AM14" s="207">
        <f t="shared" si="3"/>
        <v>3928915.9000000004</v>
      </c>
      <c r="AN14" s="151">
        <f t="shared" si="4"/>
        <v>0.90000000037252903</v>
      </c>
      <c r="AO14" s="93">
        <f t="shared" si="5"/>
        <v>111000</v>
      </c>
    </row>
    <row r="15" spans="2:41" s="27" customFormat="1">
      <c r="B15" s="97">
        <v>10</v>
      </c>
      <c r="C15" s="98" t="s">
        <v>248</v>
      </c>
      <c r="D15" s="208" t="s">
        <v>249</v>
      </c>
      <c r="E15" s="209" t="s">
        <v>347</v>
      </c>
      <c r="F15" s="98" t="s">
        <v>250</v>
      </c>
      <c r="G15" s="107" t="s">
        <v>88</v>
      </c>
      <c r="H15" s="99" t="s">
        <v>39</v>
      </c>
      <c r="I15" s="100" t="s">
        <v>17</v>
      </c>
      <c r="J15" s="58" t="str">
        <f t="shared" si="1"/>
        <v>TER A</v>
      </c>
      <c r="K15" s="210">
        <v>3639999.9</v>
      </c>
      <c r="L15" s="101">
        <f t="shared" si="6"/>
        <v>30575.999999999996</v>
      </c>
      <c r="M15" s="101">
        <f>'[21]MAINTENANCE-2'!AP20</f>
        <v>148040</v>
      </c>
      <c r="N15" s="101"/>
      <c r="O15" s="101"/>
      <c r="P15" s="101"/>
      <c r="Q15" s="101"/>
      <c r="R15" s="101"/>
      <c r="S15" s="101"/>
      <c r="T15" s="101">
        <f>'[21]MAINTENANCE-2'!X20</f>
        <v>104400</v>
      </c>
      <c r="U15" s="101"/>
      <c r="V15" s="101"/>
      <c r="W15" s="101"/>
      <c r="X15" s="101">
        <f>'[21]MAINTENANCE-2'!AC20</f>
        <v>61000</v>
      </c>
      <c r="Y15" s="101"/>
      <c r="Z15" s="101"/>
      <c r="AA15" s="101"/>
      <c r="AB15" s="101"/>
      <c r="AC15" s="230">
        <v>-121333.33</v>
      </c>
      <c r="AD15" s="101"/>
      <c r="AE15" s="101"/>
      <c r="AF15" s="62">
        <f t="shared" si="7"/>
        <v>3862682</v>
      </c>
      <c r="AG15" s="63">
        <f t="shared" si="0"/>
        <v>0</v>
      </c>
      <c r="AH15" s="106">
        <f t="shared" si="8"/>
        <v>0</v>
      </c>
      <c r="AJ15" s="93">
        <f t="shared" si="2"/>
        <v>0</v>
      </c>
      <c r="AL15" s="206">
        <v>3684066.5700000003</v>
      </c>
      <c r="AM15" s="207">
        <f t="shared" si="3"/>
        <v>3862682.5700000003</v>
      </c>
      <c r="AN15" s="151">
        <f t="shared" si="4"/>
        <v>0.57000000029802322</v>
      </c>
      <c r="AO15" s="93">
        <f t="shared" si="5"/>
        <v>44066.67</v>
      </c>
    </row>
    <row r="16" spans="2:41" s="27" customFormat="1">
      <c r="B16" s="97">
        <v>11</v>
      </c>
      <c r="C16" s="98" t="s">
        <v>251</v>
      </c>
      <c r="D16" s="208" t="s">
        <v>252</v>
      </c>
      <c r="E16" s="209" t="s">
        <v>348</v>
      </c>
      <c r="F16" s="98" t="s">
        <v>253</v>
      </c>
      <c r="G16" s="107" t="s">
        <v>88</v>
      </c>
      <c r="H16" s="99" t="s">
        <v>39</v>
      </c>
      <c r="I16" s="100" t="s">
        <v>7</v>
      </c>
      <c r="J16" s="58" t="str">
        <f t="shared" si="1"/>
        <v>TER A</v>
      </c>
      <c r="K16" s="210">
        <v>3639999.9</v>
      </c>
      <c r="L16" s="101">
        <f t="shared" si="6"/>
        <v>30575.999999999996</v>
      </c>
      <c r="M16" s="101">
        <f>'[21]MAINTENANCE-2'!AP21</f>
        <v>146560</v>
      </c>
      <c r="N16" s="101"/>
      <c r="O16" s="101"/>
      <c r="P16" s="101"/>
      <c r="Q16" s="101"/>
      <c r="R16" s="101"/>
      <c r="S16" s="101"/>
      <c r="T16" s="101">
        <f>'[21]MAINTENANCE-2'!X21</f>
        <v>104400</v>
      </c>
      <c r="U16" s="101"/>
      <c r="V16" s="101"/>
      <c r="W16" s="101"/>
      <c r="X16" s="101">
        <f>'[21]MAINTENANCE-2'!AC21</f>
        <v>24000</v>
      </c>
      <c r="Y16" s="101"/>
      <c r="Z16" s="101"/>
      <c r="AA16" s="101"/>
      <c r="AB16" s="101"/>
      <c r="AC16" s="230">
        <v>-121333.33</v>
      </c>
      <c r="AD16" s="101"/>
      <c r="AE16" s="101"/>
      <c r="AF16" s="62">
        <f t="shared" si="7"/>
        <v>3824202</v>
      </c>
      <c r="AG16" s="63">
        <f t="shared" si="0"/>
        <v>0</v>
      </c>
      <c r="AH16" s="106">
        <f t="shared" si="8"/>
        <v>0</v>
      </c>
      <c r="AJ16" s="93">
        <f t="shared" si="2"/>
        <v>0</v>
      </c>
      <c r="AL16" s="206">
        <v>3647066.5700000003</v>
      </c>
      <c r="AM16" s="207">
        <f t="shared" si="3"/>
        <v>3824202.5700000003</v>
      </c>
      <c r="AN16" s="151">
        <f t="shared" si="4"/>
        <v>0.57000000029802322</v>
      </c>
      <c r="AO16" s="93">
        <f t="shared" si="5"/>
        <v>7066.6699999999983</v>
      </c>
    </row>
    <row r="17" spans="2:41" s="27" customFormat="1">
      <c r="B17" s="97">
        <v>12</v>
      </c>
      <c r="C17" s="98" t="s">
        <v>394</v>
      </c>
      <c r="D17" s="208" t="s">
        <v>255</v>
      </c>
      <c r="E17" s="209" t="s">
        <v>349</v>
      </c>
      <c r="F17" s="98" t="s">
        <v>256</v>
      </c>
      <c r="G17" s="107" t="s">
        <v>88</v>
      </c>
      <c r="H17" s="99" t="s">
        <v>38</v>
      </c>
      <c r="I17" s="100" t="s">
        <v>7</v>
      </c>
      <c r="J17" s="58" t="str">
        <f t="shared" si="1"/>
        <v>TER A</v>
      </c>
      <c r="K17" s="210">
        <v>3639999.9</v>
      </c>
      <c r="L17" s="101">
        <f t="shared" si="6"/>
        <v>30575.999999999996</v>
      </c>
      <c r="M17" s="101">
        <f>'[21]MAINTENANCE-2'!AP22</f>
        <v>146800</v>
      </c>
      <c r="N17" s="101"/>
      <c r="O17" s="101"/>
      <c r="P17" s="101"/>
      <c r="Q17" s="101"/>
      <c r="R17" s="101"/>
      <c r="S17" s="101"/>
      <c r="T17" s="101">
        <f>'[21]MAINTENANCE-2'!X22</f>
        <v>67500</v>
      </c>
      <c r="U17" s="101"/>
      <c r="V17" s="101"/>
      <c r="W17" s="101"/>
      <c r="X17" s="101">
        <f>'[21]MAINTENANCE-2'!AC22</f>
        <v>30000</v>
      </c>
      <c r="Y17" s="101"/>
      <c r="Z17" s="101"/>
      <c r="AA17" s="101"/>
      <c r="AB17" s="101"/>
      <c r="AC17" s="230">
        <v>0</v>
      </c>
      <c r="AD17" s="101"/>
      <c r="AE17" s="101"/>
      <c r="AF17" s="62">
        <f t="shared" si="7"/>
        <v>3914875</v>
      </c>
      <c r="AG17" s="63">
        <f t="shared" si="0"/>
        <v>0</v>
      </c>
      <c r="AH17" s="106">
        <f t="shared" si="8"/>
        <v>0</v>
      </c>
      <c r="AJ17" s="93">
        <f t="shared" si="2"/>
        <v>0</v>
      </c>
      <c r="AL17" s="206">
        <v>3737499.9000000004</v>
      </c>
      <c r="AM17" s="207">
        <f t="shared" si="3"/>
        <v>3914875.9000000004</v>
      </c>
      <c r="AN17" s="151">
        <f t="shared" si="4"/>
        <v>0.90000000037252903</v>
      </c>
      <c r="AO17" s="93">
        <f t="shared" si="5"/>
        <v>97500</v>
      </c>
    </row>
    <row r="18" spans="2:41" s="27" customFormat="1">
      <c r="B18" s="97">
        <v>13</v>
      </c>
      <c r="C18" s="98" t="s">
        <v>257</v>
      </c>
      <c r="D18" s="208" t="s">
        <v>258</v>
      </c>
      <c r="E18" s="209" t="s">
        <v>350</v>
      </c>
      <c r="F18" s="98" t="s">
        <v>259</v>
      </c>
      <c r="G18" s="107" t="s">
        <v>88</v>
      </c>
      <c r="H18" s="99" t="s">
        <v>39</v>
      </c>
      <c r="I18" s="100" t="s">
        <v>9</v>
      </c>
      <c r="J18" s="58" t="str">
        <f t="shared" si="1"/>
        <v>TER B</v>
      </c>
      <c r="K18" s="210">
        <v>3639999.9</v>
      </c>
      <c r="L18" s="101">
        <f t="shared" si="6"/>
        <v>30575.999999999996</v>
      </c>
      <c r="M18" s="101">
        <f>'[21]MAINTENANCE-2'!AP23</f>
        <v>146800</v>
      </c>
      <c r="N18" s="101"/>
      <c r="O18" s="101"/>
      <c r="P18" s="101"/>
      <c r="Q18" s="101"/>
      <c r="R18" s="101"/>
      <c r="S18" s="101"/>
      <c r="T18" s="101">
        <f>'[21]MAINTENANCE-2'!X23</f>
        <v>135000</v>
      </c>
      <c r="U18" s="101"/>
      <c r="V18" s="101">
        <v>63121.38</v>
      </c>
      <c r="W18" s="101"/>
      <c r="X18" s="101">
        <f>'[21]MAINTENANCE-2'!AC23</f>
        <v>30000</v>
      </c>
      <c r="Y18" s="101"/>
      <c r="Z18" s="101"/>
      <c r="AA18" s="101"/>
      <c r="AB18" s="101"/>
      <c r="AC18" s="230">
        <v>0</v>
      </c>
      <c r="AD18" s="101"/>
      <c r="AE18" s="101"/>
      <c r="AF18" s="62">
        <f t="shared" si="7"/>
        <v>4045497</v>
      </c>
      <c r="AG18" s="63">
        <f t="shared" si="0"/>
        <v>0</v>
      </c>
      <c r="AH18" s="106">
        <f t="shared" si="8"/>
        <v>0</v>
      </c>
      <c r="AJ18" s="93">
        <f t="shared" si="2"/>
        <v>0</v>
      </c>
      <c r="AL18" s="206">
        <v>3868121.28</v>
      </c>
      <c r="AM18" s="207">
        <f t="shared" si="3"/>
        <v>4045497.28</v>
      </c>
      <c r="AN18" s="151">
        <f t="shared" si="4"/>
        <v>0.27999999979510903</v>
      </c>
      <c r="AO18" s="93">
        <f t="shared" si="5"/>
        <v>228121.38</v>
      </c>
    </row>
    <row r="19" spans="2:41" s="27" customFormat="1">
      <c r="B19" s="97">
        <v>14</v>
      </c>
      <c r="C19" s="98" t="s">
        <v>260</v>
      </c>
      <c r="D19" s="208" t="s">
        <v>261</v>
      </c>
      <c r="E19" s="209" t="s">
        <v>73</v>
      </c>
      <c r="F19" s="98" t="s">
        <v>262</v>
      </c>
      <c r="G19" s="107" t="s">
        <v>88</v>
      </c>
      <c r="H19" s="99" t="s">
        <v>39</v>
      </c>
      <c r="I19" s="100" t="s">
        <v>11</v>
      </c>
      <c r="J19" s="58" t="str">
        <f t="shared" si="1"/>
        <v>TER B</v>
      </c>
      <c r="K19" s="210">
        <v>3639999.9</v>
      </c>
      <c r="L19" s="101">
        <f t="shared" si="6"/>
        <v>30575.999999999996</v>
      </c>
      <c r="M19" s="101">
        <f>'[21]MAINTENANCE-2'!AP24</f>
        <v>146440</v>
      </c>
      <c r="N19" s="101"/>
      <c r="O19" s="101"/>
      <c r="P19" s="101"/>
      <c r="Q19" s="101"/>
      <c r="R19" s="101"/>
      <c r="S19" s="101"/>
      <c r="T19" s="101">
        <f>'[21]MAINTENANCE-2'!X24</f>
        <v>151200</v>
      </c>
      <c r="U19" s="101"/>
      <c r="V19" s="101"/>
      <c r="W19" s="101"/>
      <c r="X19" s="101">
        <f>'[21]MAINTENANCE-2'!AC24</f>
        <v>21000</v>
      </c>
      <c r="Y19" s="101"/>
      <c r="Z19" s="101"/>
      <c r="AA19" s="101"/>
      <c r="AB19" s="101"/>
      <c r="AC19" s="230">
        <v>-242666.66</v>
      </c>
      <c r="AD19" s="101"/>
      <c r="AE19" s="101"/>
      <c r="AF19" s="62">
        <f t="shared" si="7"/>
        <v>3746549</v>
      </c>
      <c r="AG19" s="63">
        <f t="shared" si="0"/>
        <v>0</v>
      </c>
      <c r="AH19" s="106">
        <f t="shared" si="8"/>
        <v>0</v>
      </c>
      <c r="AJ19" s="93">
        <f t="shared" si="2"/>
        <v>0</v>
      </c>
      <c r="AL19" s="206">
        <v>3569533.24</v>
      </c>
      <c r="AM19" s="207">
        <f t="shared" si="3"/>
        <v>3746549.24</v>
      </c>
      <c r="AN19" s="151">
        <f t="shared" si="4"/>
        <v>0.24000000022351742</v>
      </c>
      <c r="AO19" s="93">
        <f t="shared" si="5"/>
        <v>-70466.66</v>
      </c>
    </row>
    <row r="20" spans="2:41" s="27" customFormat="1">
      <c r="B20" s="97">
        <v>15</v>
      </c>
      <c r="C20" s="98" t="s">
        <v>263</v>
      </c>
      <c r="D20" s="208" t="s">
        <v>264</v>
      </c>
      <c r="E20" s="209" t="s">
        <v>73</v>
      </c>
      <c r="F20" s="98" t="s">
        <v>265</v>
      </c>
      <c r="G20" s="107" t="s">
        <v>88</v>
      </c>
      <c r="H20" s="99" t="s">
        <v>39</v>
      </c>
      <c r="I20" s="100" t="s">
        <v>9</v>
      </c>
      <c r="J20" s="58" t="str">
        <f t="shared" si="1"/>
        <v>TER B</v>
      </c>
      <c r="K20" s="210">
        <v>3639999.9</v>
      </c>
      <c r="L20" s="101">
        <f t="shared" si="6"/>
        <v>30575.999999999996</v>
      </c>
      <c r="M20" s="101">
        <f>'[21]MAINTENANCE-2'!AP25</f>
        <v>145900</v>
      </c>
      <c r="N20" s="101"/>
      <c r="O20" s="101"/>
      <c r="P20" s="101"/>
      <c r="Q20" s="101"/>
      <c r="R20" s="101"/>
      <c r="S20" s="101"/>
      <c r="T20" s="101">
        <f>'[21]MAINTENANCE-2'!X25</f>
        <v>130500</v>
      </c>
      <c r="U20" s="101"/>
      <c r="V20" s="101"/>
      <c r="W20" s="101"/>
      <c r="X20" s="101">
        <f>'[21]MAINTENANCE-2'!AC25</f>
        <v>7500</v>
      </c>
      <c r="Y20" s="101"/>
      <c r="Z20" s="101"/>
      <c r="AA20" s="101"/>
      <c r="AB20" s="101"/>
      <c r="AC20" s="230">
        <v>-121333.33</v>
      </c>
      <c r="AD20" s="101"/>
      <c r="AE20" s="101"/>
      <c r="AF20" s="62">
        <f t="shared" si="7"/>
        <v>3833142</v>
      </c>
      <c r="AG20" s="63">
        <f t="shared" si="0"/>
        <v>0</v>
      </c>
      <c r="AH20" s="106">
        <f t="shared" si="8"/>
        <v>0</v>
      </c>
      <c r="AJ20" s="93">
        <f t="shared" si="2"/>
        <v>0</v>
      </c>
      <c r="AL20" s="206">
        <v>3656666.5700000003</v>
      </c>
      <c r="AM20" s="207">
        <f t="shared" si="3"/>
        <v>3833142.5700000003</v>
      </c>
      <c r="AN20" s="151">
        <f t="shared" si="4"/>
        <v>0.57000000029802322</v>
      </c>
      <c r="AO20" s="93">
        <f t="shared" si="5"/>
        <v>16666.669999999998</v>
      </c>
    </row>
    <row r="21" spans="2:41" s="27" customFormat="1">
      <c r="B21" s="97">
        <v>16</v>
      </c>
      <c r="C21" s="98" t="s">
        <v>266</v>
      </c>
      <c r="D21" s="208" t="s">
        <v>267</v>
      </c>
      <c r="E21" s="209" t="s">
        <v>351</v>
      </c>
      <c r="F21" s="98" t="s">
        <v>268</v>
      </c>
      <c r="G21" s="107" t="s">
        <v>88</v>
      </c>
      <c r="H21" s="99" t="s">
        <v>38</v>
      </c>
      <c r="I21" s="100" t="s">
        <v>7</v>
      </c>
      <c r="J21" s="58" t="str">
        <f t="shared" si="1"/>
        <v>TER A</v>
      </c>
      <c r="K21" s="210">
        <v>3639999.9</v>
      </c>
      <c r="L21" s="101">
        <f t="shared" si="6"/>
        <v>30575.999999999996</v>
      </c>
      <c r="M21" s="101">
        <f>'[21]MAINTENANCE-2'!AP26</f>
        <v>147340</v>
      </c>
      <c r="N21" s="101"/>
      <c r="O21" s="101"/>
      <c r="P21" s="101"/>
      <c r="Q21" s="101"/>
      <c r="R21" s="101"/>
      <c r="S21" s="101"/>
      <c r="T21" s="101">
        <f>'[21]MAINTENANCE-2'!X26</f>
        <v>67500</v>
      </c>
      <c r="U21" s="101"/>
      <c r="V21" s="101"/>
      <c r="W21" s="101"/>
      <c r="X21" s="101">
        <f>'[21]MAINTENANCE-2'!AC26</f>
        <v>43500</v>
      </c>
      <c r="Y21" s="101"/>
      <c r="Z21" s="101"/>
      <c r="AA21" s="101"/>
      <c r="AB21" s="101"/>
      <c r="AC21" s="230">
        <v>0</v>
      </c>
      <c r="AD21" s="101"/>
      <c r="AE21" s="101"/>
      <c r="AF21" s="62">
        <f t="shared" si="7"/>
        <v>3928915</v>
      </c>
      <c r="AG21" s="63">
        <f t="shared" si="0"/>
        <v>0</v>
      </c>
      <c r="AH21" s="106">
        <f t="shared" si="8"/>
        <v>0</v>
      </c>
      <c r="AJ21" s="93">
        <f t="shared" si="2"/>
        <v>0</v>
      </c>
      <c r="AL21" s="206">
        <v>3750999.9000000004</v>
      </c>
      <c r="AM21" s="207">
        <f t="shared" si="3"/>
        <v>3928915.9000000004</v>
      </c>
      <c r="AN21" s="151">
        <f t="shared" si="4"/>
        <v>0.90000000037252903</v>
      </c>
      <c r="AO21" s="93">
        <f t="shared" si="5"/>
        <v>111000</v>
      </c>
    </row>
    <row r="22" spans="2:41" s="27" customFormat="1">
      <c r="B22" s="97">
        <v>17</v>
      </c>
      <c r="C22" s="98" t="s">
        <v>269</v>
      </c>
      <c r="D22" s="208" t="s">
        <v>270</v>
      </c>
      <c r="E22" s="209" t="s">
        <v>352</v>
      </c>
      <c r="F22" s="98" t="s">
        <v>271</v>
      </c>
      <c r="G22" s="107" t="s">
        <v>88</v>
      </c>
      <c r="H22" s="99" t="s">
        <v>38</v>
      </c>
      <c r="I22" s="100" t="s">
        <v>7</v>
      </c>
      <c r="J22" s="58" t="str">
        <f t="shared" si="1"/>
        <v>TER A</v>
      </c>
      <c r="K22" s="210">
        <v>3639999.9</v>
      </c>
      <c r="L22" s="101">
        <f t="shared" si="6"/>
        <v>30575.999999999996</v>
      </c>
      <c r="M22" s="101">
        <f>'[21]MAINTENANCE-2'!AP27</f>
        <v>147620</v>
      </c>
      <c r="N22" s="101"/>
      <c r="O22" s="101"/>
      <c r="P22" s="101"/>
      <c r="Q22" s="101"/>
      <c r="R22" s="101"/>
      <c r="S22" s="101"/>
      <c r="T22" s="101">
        <f>'[21]MAINTENANCE-2'!X27</f>
        <v>65250</v>
      </c>
      <c r="U22" s="101"/>
      <c r="V22" s="101"/>
      <c r="W22" s="101"/>
      <c r="X22" s="101">
        <f>'[21]MAINTENANCE-2'!AC27</f>
        <v>50500</v>
      </c>
      <c r="Y22" s="101"/>
      <c r="Z22" s="101"/>
      <c r="AA22" s="101"/>
      <c r="AB22" s="101"/>
      <c r="AC22" s="231">
        <v>-121333.33</v>
      </c>
      <c r="AD22" s="101"/>
      <c r="AE22" s="101"/>
      <c r="AF22" s="62">
        <f t="shared" si="7"/>
        <v>3812612</v>
      </c>
      <c r="AG22" s="63">
        <f t="shared" si="0"/>
        <v>0</v>
      </c>
      <c r="AH22" s="106">
        <f t="shared" si="8"/>
        <v>0</v>
      </c>
      <c r="AJ22" s="93">
        <f t="shared" si="2"/>
        <v>0</v>
      </c>
      <c r="AL22" s="206">
        <v>3634416.5700000003</v>
      </c>
      <c r="AM22" s="207">
        <f t="shared" si="3"/>
        <v>3812612.5700000003</v>
      </c>
      <c r="AN22" s="151">
        <f t="shared" si="4"/>
        <v>0.57000000029802322</v>
      </c>
      <c r="AO22" s="93">
        <f t="shared" si="5"/>
        <v>-5583.3300000000017</v>
      </c>
    </row>
    <row r="23" spans="2:41" s="27" customFormat="1">
      <c r="B23" s="97">
        <v>18</v>
      </c>
      <c r="C23" s="98" t="s">
        <v>272</v>
      </c>
      <c r="D23" s="42" t="s">
        <v>273</v>
      </c>
      <c r="E23" s="43" t="s">
        <v>353</v>
      </c>
      <c r="F23" s="41" t="s">
        <v>274</v>
      </c>
      <c r="G23" s="107" t="s">
        <v>88</v>
      </c>
      <c r="H23" s="44" t="s">
        <v>38</v>
      </c>
      <c r="I23" s="45" t="s">
        <v>7</v>
      </c>
      <c r="J23" s="58" t="str">
        <f t="shared" si="1"/>
        <v>TER A</v>
      </c>
      <c r="K23" s="210">
        <v>3639999.9</v>
      </c>
      <c r="L23" s="101">
        <f t="shared" si="6"/>
        <v>30575.999999999996</v>
      </c>
      <c r="M23" s="101">
        <f>'[21]MAINTENANCE-2'!AP28</f>
        <v>146560</v>
      </c>
      <c r="N23" s="101"/>
      <c r="O23" s="101"/>
      <c r="P23" s="101"/>
      <c r="Q23" s="46"/>
      <c r="R23" s="46"/>
      <c r="S23" s="46"/>
      <c r="T23" s="101">
        <f>'[21]MAINTENANCE-2'!X28</f>
        <v>67500</v>
      </c>
      <c r="U23" s="46"/>
      <c r="V23" s="101"/>
      <c r="W23" s="46"/>
      <c r="X23" s="101">
        <f>'[21]MAINTENANCE-2'!AC28</f>
        <v>24000</v>
      </c>
      <c r="Y23" s="46"/>
      <c r="Z23" s="46"/>
      <c r="AA23" s="46"/>
      <c r="AB23" s="46"/>
      <c r="AC23" s="231">
        <v>0</v>
      </c>
      <c r="AD23" s="46"/>
      <c r="AE23" s="46"/>
      <c r="AF23" s="62">
        <f t="shared" si="7"/>
        <v>3908635</v>
      </c>
      <c r="AG23" s="63">
        <f t="shared" si="0"/>
        <v>0</v>
      </c>
      <c r="AH23" s="106">
        <f t="shared" si="8"/>
        <v>0</v>
      </c>
      <c r="AJ23" s="93">
        <f t="shared" si="2"/>
        <v>0</v>
      </c>
      <c r="AL23" s="206">
        <v>3731499.9000000004</v>
      </c>
      <c r="AM23" s="207">
        <f t="shared" si="3"/>
        <v>3908635.9000000004</v>
      </c>
      <c r="AN23" s="151">
        <f t="shared" si="4"/>
        <v>0.90000000037252903</v>
      </c>
      <c r="AO23" s="93">
        <f t="shared" si="5"/>
        <v>91500</v>
      </c>
    </row>
    <row r="24" spans="2:41" s="27" customFormat="1">
      <c r="B24" s="97">
        <v>19</v>
      </c>
      <c r="C24" s="98" t="s">
        <v>275</v>
      </c>
      <c r="D24" s="42" t="s">
        <v>276</v>
      </c>
      <c r="E24" s="43" t="s">
        <v>354</v>
      </c>
      <c r="F24" s="41" t="s">
        <v>247</v>
      </c>
      <c r="G24" s="107" t="s">
        <v>88</v>
      </c>
      <c r="H24" s="44" t="s">
        <v>39</v>
      </c>
      <c r="I24" s="45" t="s">
        <v>11</v>
      </c>
      <c r="J24" s="58" t="str">
        <f t="shared" si="1"/>
        <v>TER B</v>
      </c>
      <c r="K24" s="210">
        <v>3639999.9</v>
      </c>
      <c r="L24" s="101">
        <f t="shared" si="6"/>
        <v>30575.999999999996</v>
      </c>
      <c r="M24" s="101">
        <f>'[21]MAINTENANCE-2'!AP29</f>
        <v>148040</v>
      </c>
      <c r="N24" s="101"/>
      <c r="O24" s="101"/>
      <c r="P24" s="101"/>
      <c r="Q24" s="46"/>
      <c r="R24" s="46"/>
      <c r="S24" s="46"/>
      <c r="T24" s="101">
        <f>'[21]MAINTENANCE-2'!X29</f>
        <v>156600</v>
      </c>
      <c r="U24" s="46"/>
      <c r="V24" s="101">
        <v>736416.1</v>
      </c>
      <c r="W24" s="46"/>
      <c r="X24" s="101">
        <f>'[21]MAINTENANCE-2'!AC29</f>
        <v>61000</v>
      </c>
      <c r="Y24" s="46"/>
      <c r="Z24" s="46"/>
      <c r="AA24" s="46"/>
      <c r="AB24" s="46"/>
      <c r="AC24" s="231">
        <v>-121333.33</v>
      </c>
      <c r="AD24" s="46"/>
      <c r="AE24" s="46"/>
      <c r="AF24" s="62">
        <f t="shared" si="7"/>
        <v>4651298</v>
      </c>
      <c r="AG24" s="63">
        <f t="shared" si="0"/>
        <v>0</v>
      </c>
      <c r="AH24" s="106">
        <f t="shared" si="8"/>
        <v>0</v>
      </c>
      <c r="AJ24" s="93">
        <f t="shared" si="2"/>
        <v>0</v>
      </c>
      <c r="AL24" s="206">
        <v>4472682.67</v>
      </c>
      <c r="AM24" s="207">
        <f t="shared" si="3"/>
        <v>4651298.67</v>
      </c>
      <c r="AN24" s="151">
        <f t="shared" si="4"/>
        <v>0.66999999992549419</v>
      </c>
      <c r="AO24" s="93">
        <f t="shared" si="5"/>
        <v>832682.77</v>
      </c>
    </row>
    <row r="25" spans="2:41" s="27" customFormat="1">
      <c r="B25" s="97">
        <v>20</v>
      </c>
      <c r="C25" s="98" t="s">
        <v>277</v>
      </c>
      <c r="D25" s="42" t="s">
        <v>278</v>
      </c>
      <c r="E25" s="43" t="s">
        <v>355</v>
      </c>
      <c r="F25" s="41" t="s">
        <v>279</v>
      </c>
      <c r="G25" s="107" t="s">
        <v>88</v>
      </c>
      <c r="H25" s="44" t="s">
        <v>38</v>
      </c>
      <c r="I25" s="45" t="s">
        <v>7</v>
      </c>
      <c r="J25" s="58" t="str">
        <f t="shared" si="1"/>
        <v>TER A</v>
      </c>
      <c r="K25" s="210">
        <v>3639999.9</v>
      </c>
      <c r="L25" s="101">
        <f t="shared" si="6"/>
        <v>30575.999999999996</v>
      </c>
      <c r="M25" s="101">
        <f>'[21]MAINTENANCE-2'!AP30</f>
        <v>147620</v>
      </c>
      <c r="N25" s="101"/>
      <c r="O25" s="101"/>
      <c r="P25" s="101"/>
      <c r="Q25" s="46"/>
      <c r="R25" s="46"/>
      <c r="S25" s="46"/>
      <c r="T25" s="101">
        <f>'[21]MAINTENANCE-2'!X30</f>
        <v>67500</v>
      </c>
      <c r="U25" s="46"/>
      <c r="V25" s="101"/>
      <c r="W25" s="46"/>
      <c r="X25" s="101">
        <f>'[21]MAINTENANCE-2'!AC30</f>
        <v>50500</v>
      </c>
      <c r="Y25" s="46"/>
      <c r="Z25" s="46"/>
      <c r="AA25" s="46"/>
      <c r="AB25" s="46"/>
      <c r="AC25" s="231">
        <v>0</v>
      </c>
      <c r="AD25" s="46"/>
      <c r="AE25" s="46"/>
      <c r="AF25" s="62">
        <f t="shared" si="7"/>
        <v>3936195</v>
      </c>
      <c r="AG25" s="63">
        <f t="shared" si="0"/>
        <v>0</v>
      </c>
      <c r="AH25" s="106">
        <f t="shared" si="8"/>
        <v>0</v>
      </c>
      <c r="AJ25" s="93">
        <f t="shared" si="2"/>
        <v>0</v>
      </c>
      <c r="AL25" s="206">
        <v>3757999.9000000004</v>
      </c>
      <c r="AM25" s="207">
        <f t="shared" si="3"/>
        <v>3936195.9000000004</v>
      </c>
      <c r="AN25" s="151">
        <f t="shared" si="4"/>
        <v>0.90000000037252903</v>
      </c>
      <c r="AO25" s="93">
        <f t="shared" si="5"/>
        <v>118000</v>
      </c>
    </row>
    <row r="26" spans="2:41" s="27" customFormat="1">
      <c r="B26" s="97">
        <v>21</v>
      </c>
      <c r="C26" s="98" t="s">
        <v>280</v>
      </c>
      <c r="D26" s="42" t="s">
        <v>281</v>
      </c>
      <c r="E26" s="43" t="s">
        <v>356</v>
      </c>
      <c r="F26" s="41" t="s">
        <v>282</v>
      </c>
      <c r="G26" s="107" t="s">
        <v>88</v>
      </c>
      <c r="H26" s="44" t="s">
        <v>38</v>
      </c>
      <c r="I26" s="45" t="s">
        <v>7</v>
      </c>
      <c r="J26" s="58" t="str">
        <f t="shared" si="1"/>
        <v>TER A</v>
      </c>
      <c r="K26" s="210">
        <v>3639999.9</v>
      </c>
      <c r="L26" s="101">
        <f t="shared" si="6"/>
        <v>30575.999999999996</v>
      </c>
      <c r="M26" s="101">
        <f>'[21]MAINTENANCE-2'!AP31</f>
        <v>147480</v>
      </c>
      <c r="N26" s="101"/>
      <c r="O26" s="101"/>
      <c r="P26" s="101"/>
      <c r="Q26" s="46"/>
      <c r="R26" s="46"/>
      <c r="S26" s="46"/>
      <c r="T26" s="101">
        <f>'[21]MAINTENANCE-2'!X31</f>
        <v>65250</v>
      </c>
      <c r="U26" s="46"/>
      <c r="V26" s="101"/>
      <c r="W26" s="46"/>
      <c r="X26" s="101">
        <f>'[21]MAINTENANCE-2'!AC31</f>
        <v>47000</v>
      </c>
      <c r="Y26" s="46"/>
      <c r="Z26" s="46"/>
      <c r="AA26" s="46"/>
      <c r="AB26" s="46"/>
      <c r="AC26" s="231">
        <v>-121333.33</v>
      </c>
      <c r="AD26" s="46"/>
      <c r="AE26" s="46"/>
      <c r="AF26" s="62">
        <f t="shared" si="7"/>
        <v>3808972</v>
      </c>
      <c r="AG26" s="63">
        <f t="shared" si="0"/>
        <v>0</v>
      </c>
      <c r="AH26" s="106">
        <f t="shared" si="8"/>
        <v>0</v>
      </c>
      <c r="AJ26" s="93">
        <f t="shared" si="2"/>
        <v>0</v>
      </c>
      <c r="AL26" s="206">
        <v>3630916.5700000003</v>
      </c>
      <c r="AM26" s="207">
        <f t="shared" si="3"/>
        <v>3808972.5700000003</v>
      </c>
      <c r="AN26" s="151">
        <f t="shared" si="4"/>
        <v>0.57000000029802322</v>
      </c>
      <c r="AO26" s="93">
        <f t="shared" si="5"/>
        <v>-9083.3300000000017</v>
      </c>
    </row>
    <row r="27" spans="2:41" s="27" customFormat="1">
      <c r="B27" s="97">
        <v>22</v>
      </c>
      <c r="C27" s="98" t="s">
        <v>357</v>
      </c>
      <c r="D27" s="42" t="s">
        <v>284</v>
      </c>
      <c r="E27" s="43" t="s">
        <v>358</v>
      </c>
      <c r="F27" s="41" t="s">
        <v>285</v>
      </c>
      <c r="G27" s="107" t="s">
        <v>88</v>
      </c>
      <c r="H27" s="44" t="s">
        <v>38</v>
      </c>
      <c r="I27" s="45" t="s">
        <v>7</v>
      </c>
      <c r="J27" s="58" t="str">
        <f t="shared" si="1"/>
        <v>TER A</v>
      </c>
      <c r="K27" s="210">
        <v>3639999.9</v>
      </c>
      <c r="L27" s="101">
        <f t="shared" si="6"/>
        <v>30575.999999999996</v>
      </c>
      <c r="M27" s="101">
        <f>'[21]MAINTENANCE-2'!AP32</f>
        <v>146200</v>
      </c>
      <c r="N27" s="101"/>
      <c r="O27" s="101"/>
      <c r="P27" s="101"/>
      <c r="Q27" s="46"/>
      <c r="R27" s="46"/>
      <c r="S27" s="46"/>
      <c r="T27" s="101">
        <f>'[21]MAINTENANCE-2'!X32</f>
        <v>67500</v>
      </c>
      <c r="U27" s="46"/>
      <c r="V27" s="101"/>
      <c r="W27" s="46"/>
      <c r="X27" s="101">
        <f>'[21]MAINTENANCE-2'!AC32</f>
        <v>15000</v>
      </c>
      <c r="Y27" s="46"/>
      <c r="Z27" s="46"/>
      <c r="AA27" s="46"/>
      <c r="AB27" s="46"/>
      <c r="AC27" s="231">
        <v>0</v>
      </c>
      <c r="AD27" s="46"/>
      <c r="AE27" s="46"/>
      <c r="AF27" s="62">
        <f t="shared" si="7"/>
        <v>3899275</v>
      </c>
      <c r="AG27" s="63">
        <f t="shared" si="0"/>
        <v>0</v>
      </c>
      <c r="AH27" s="106">
        <f t="shared" si="8"/>
        <v>0</v>
      </c>
      <c r="AJ27" s="93">
        <f t="shared" si="2"/>
        <v>0</v>
      </c>
      <c r="AL27" s="206">
        <v>3722499.9000000004</v>
      </c>
      <c r="AM27" s="207">
        <f t="shared" si="3"/>
        <v>3899275.9000000004</v>
      </c>
      <c r="AN27" s="151">
        <f t="shared" si="4"/>
        <v>0.90000000037252903</v>
      </c>
      <c r="AO27" s="93">
        <f t="shared" si="5"/>
        <v>82500</v>
      </c>
    </row>
    <row r="28" spans="2:41" s="27" customFormat="1">
      <c r="B28" s="97">
        <v>23</v>
      </c>
      <c r="C28" s="98" t="s">
        <v>286</v>
      </c>
      <c r="D28" s="42" t="s">
        <v>287</v>
      </c>
      <c r="E28" s="209" t="s">
        <v>73</v>
      </c>
      <c r="F28" s="41" t="s">
        <v>288</v>
      </c>
      <c r="G28" s="107" t="s">
        <v>88</v>
      </c>
      <c r="H28" s="44" t="s">
        <v>38</v>
      </c>
      <c r="I28" s="45" t="s">
        <v>7</v>
      </c>
      <c r="J28" s="58" t="str">
        <f t="shared" si="1"/>
        <v>TER A</v>
      </c>
      <c r="K28" s="210">
        <v>3639999.9</v>
      </c>
      <c r="L28" s="101">
        <f t="shared" si="6"/>
        <v>30575.999999999996</v>
      </c>
      <c r="M28" s="101">
        <f>'[21]MAINTENANCE-2'!AP33</f>
        <v>146200</v>
      </c>
      <c r="N28" s="101"/>
      <c r="O28" s="101"/>
      <c r="P28" s="101"/>
      <c r="Q28" s="46"/>
      <c r="R28" s="46"/>
      <c r="S28" s="46"/>
      <c r="T28" s="101">
        <f>'[21]MAINTENANCE-2'!X33</f>
        <v>65250</v>
      </c>
      <c r="U28" s="46"/>
      <c r="V28" s="101"/>
      <c r="W28" s="46"/>
      <c r="X28" s="101">
        <f>'[21]MAINTENANCE-2'!AC33</f>
        <v>15000</v>
      </c>
      <c r="Y28" s="46"/>
      <c r="Z28" s="46"/>
      <c r="AA28" s="46"/>
      <c r="AB28" s="46"/>
      <c r="AC28" s="231">
        <v>-121333.33</v>
      </c>
      <c r="AD28" s="46"/>
      <c r="AE28" s="46"/>
      <c r="AF28" s="62">
        <f t="shared" si="7"/>
        <v>3775692</v>
      </c>
      <c r="AG28" s="63">
        <f t="shared" si="0"/>
        <v>0</v>
      </c>
      <c r="AH28" s="106">
        <f t="shared" si="8"/>
        <v>0</v>
      </c>
      <c r="AJ28" s="93">
        <f t="shared" si="2"/>
        <v>0</v>
      </c>
      <c r="AL28" s="206">
        <v>3598916.5700000003</v>
      </c>
      <c r="AM28" s="207">
        <f t="shared" si="3"/>
        <v>3775692.5700000003</v>
      </c>
      <c r="AN28" s="151">
        <f t="shared" si="4"/>
        <v>0.57000000029802322</v>
      </c>
      <c r="AO28" s="93">
        <f t="shared" si="5"/>
        <v>-41083.33</v>
      </c>
    </row>
    <row r="29" spans="2:41" s="27" customFormat="1">
      <c r="B29" s="97">
        <v>24</v>
      </c>
      <c r="C29" s="98" t="s">
        <v>289</v>
      </c>
      <c r="D29" s="42" t="s">
        <v>290</v>
      </c>
      <c r="E29" s="209" t="s">
        <v>73</v>
      </c>
      <c r="F29" s="41" t="s">
        <v>291</v>
      </c>
      <c r="G29" s="107" t="s">
        <v>88</v>
      </c>
      <c r="H29" s="44" t="s">
        <v>38</v>
      </c>
      <c r="I29" s="45" t="s">
        <v>7</v>
      </c>
      <c r="J29" s="58" t="str">
        <f t="shared" si="1"/>
        <v>TER A</v>
      </c>
      <c r="K29" s="210">
        <v>3639999.9</v>
      </c>
      <c r="L29" s="101">
        <f t="shared" si="6"/>
        <v>30575.999999999996</v>
      </c>
      <c r="M29" s="101">
        <f>'[21]MAINTENANCE-2'!AP34</f>
        <v>146200</v>
      </c>
      <c r="N29" s="101"/>
      <c r="O29" s="101"/>
      <c r="P29" s="101"/>
      <c r="Q29" s="46"/>
      <c r="R29" s="46"/>
      <c r="S29" s="46"/>
      <c r="T29" s="101">
        <f>'[21]MAINTENANCE-2'!X34</f>
        <v>67500</v>
      </c>
      <c r="U29" s="46"/>
      <c r="V29" s="101"/>
      <c r="W29" s="46"/>
      <c r="X29" s="101">
        <f>'[21]MAINTENANCE-2'!AC34</f>
        <v>15000</v>
      </c>
      <c r="Y29" s="46"/>
      <c r="Z29" s="46"/>
      <c r="AA29" s="46"/>
      <c r="AB29" s="46"/>
      <c r="AC29" s="231">
        <v>0</v>
      </c>
      <c r="AD29" s="46"/>
      <c r="AE29" s="46"/>
      <c r="AF29" s="62">
        <f t="shared" si="7"/>
        <v>3899275</v>
      </c>
      <c r="AG29" s="63">
        <f t="shared" si="0"/>
        <v>0</v>
      </c>
      <c r="AH29" s="106">
        <f t="shared" si="8"/>
        <v>0</v>
      </c>
      <c r="AJ29" s="93">
        <f t="shared" si="2"/>
        <v>0</v>
      </c>
      <c r="AL29" s="206">
        <v>3722499.9000000004</v>
      </c>
      <c r="AM29" s="207">
        <f t="shared" si="3"/>
        <v>3899275.9000000004</v>
      </c>
      <c r="AN29" s="151">
        <f t="shared" si="4"/>
        <v>0.90000000037252903</v>
      </c>
      <c r="AO29" s="93">
        <f t="shared" si="5"/>
        <v>82500</v>
      </c>
    </row>
    <row r="30" spans="2:41" s="27" customFormat="1">
      <c r="B30" s="97">
        <v>25</v>
      </c>
      <c r="C30" s="98" t="s">
        <v>292</v>
      </c>
      <c r="D30" s="42" t="s">
        <v>293</v>
      </c>
      <c r="E30" s="43" t="s">
        <v>359</v>
      </c>
      <c r="F30" s="41" t="s">
        <v>294</v>
      </c>
      <c r="G30" s="107" t="s">
        <v>88</v>
      </c>
      <c r="H30" s="44" t="s">
        <v>38</v>
      </c>
      <c r="I30" s="45" t="s">
        <v>7</v>
      </c>
      <c r="J30" s="58" t="str">
        <f t="shared" si="1"/>
        <v>TER A</v>
      </c>
      <c r="K30" s="210">
        <v>3639999.9</v>
      </c>
      <c r="L30" s="101">
        <f t="shared" si="6"/>
        <v>30575.999999999996</v>
      </c>
      <c r="M30" s="101">
        <f>'[21]MAINTENANCE-2'!AP35</f>
        <v>146200</v>
      </c>
      <c r="N30" s="101"/>
      <c r="O30" s="101"/>
      <c r="P30" s="101"/>
      <c r="Q30" s="46"/>
      <c r="R30" s="46"/>
      <c r="S30" s="46"/>
      <c r="T30" s="101">
        <f>'[21]MAINTENANCE-2'!X35</f>
        <v>67500</v>
      </c>
      <c r="U30" s="46"/>
      <c r="V30" s="101"/>
      <c r="W30" s="46"/>
      <c r="X30" s="101">
        <f>'[21]MAINTENANCE-2'!AC35</f>
        <v>15000</v>
      </c>
      <c r="Y30" s="46"/>
      <c r="Z30" s="46"/>
      <c r="AA30" s="46"/>
      <c r="AB30" s="46"/>
      <c r="AC30" s="231">
        <v>0</v>
      </c>
      <c r="AD30" s="46"/>
      <c r="AE30" s="46"/>
      <c r="AF30" s="62">
        <f>ROUNDDOWN(SUM(K30:AE30),0)</f>
        <v>3899275</v>
      </c>
      <c r="AG30" s="63">
        <f t="shared" si="0"/>
        <v>0</v>
      </c>
      <c r="AH30" s="106">
        <f t="shared" si="8"/>
        <v>0</v>
      </c>
      <c r="AJ30" s="93">
        <f t="shared" si="2"/>
        <v>0</v>
      </c>
      <c r="AL30" s="206">
        <v>3722499.9000000004</v>
      </c>
      <c r="AM30" s="207">
        <f t="shared" si="3"/>
        <v>3899275.9000000004</v>
      </c>
      <c r="AN30" s="151">
        <f t="shared" si="4"/>
        <v>0.90000000037252903</v>
      </c>
      <c r="AO30" s="93">
        <f t="shared" si="5"/>
        <v>82500</v>
      </c>
    </row>
    <row r="31" spans="2:41" s="27" customFormat="1">
      <c r="B31" s="97">
        <v>26</v>
      </c>
      <c r="C31" s="98" t="s">
        <v>295</v>
      </c>
      <c r="D31" s="42" t="s">
        <v>296</v>
      </c>
      <c r="E31" s="43" t="s">
        <v>360</v>
      </c>
      <c r="F31" s="41" t="s">
        <v>297</v>
      </c>
      <c r="G31" s="107" t="s">
        <v>88</v>
      </c>
      <c r="H31" s="44" t="s">
        <v>39</v>
      </c>
      <c r="I31" s="45" t="s">
        <v>17</v>
      </c>
      <c r="J31" s="58" t="str">
        <f t="shared" si="1"/>
        <v>TER A</v>
      </c>
      <c r="K31" s="210">
        <v>3639999.9</v>
      </c>
      <c r="L31" s="101">
        <f t="shared" si="6"/>
        <v>30575.999999999996</v>
      </c>
      <c r="M31" s="101">
        <f>'[21]MAINTENANCE-2'!AP36</f>
        <v>146920</v>
      </c>
      <c r="N31" s="101"/>
      <c r="O31" s="101"/>
      <c r="P31" s="101"/>
      <c r="Q31" s="46"/>
      <c r="R31" s="46"/>
      <c r="S31" s="46"/>
      <c r="T31" s="101">
        <f>'[21]MAINTENANCE-2'!X36</f>
        <v>100800</v>
      </c>
      <c r="U31" s="46"/>
      <c r="V31" s="101"/>
      <c r="W31" s="46"/>
      <c r="X31" s="101">
        <f>'[21]MAINTENANCE-2'!AC36</f>
        <v>33000</v>
      </c>
      <c r="Y31" s="46"/>
      <c r="Z31" s="46"/>
      <c r="AA31" s="46"/>
      <c r="AB31" s="46"/>
      <c r="AC31" s="231">
        <v>-242666.66</v>
      </c>
      <c r="AD31" s="46"/>
      <c r="AE31" s="46"/>
      <c r="AF31" s="62">
        <f t="shared" si="7"/>
        <v>3708629</v>
      </c>
      <c r="AG31" s="63">
        <f t="shared" si="0"/>
        <v>0</v>
      </c>
      <c r="AH31" s="106">
        <f t="shared" si="8"/>
        <v>0</v>
      </c>
      <c r="AJ31" s="93">
        <f t="shared" si="2"/>
        <v>0</v>
      </c>
      <c r="AL31" s="206">
        <v>3531133.2399999998</v>
      </c>
      <c r="AM31" s="207">
        <f t="shared" si="3"/>
        <v>3708629.2399999998</v>
      </c>
      <c r="AN31" s="151">
        <f t="shared" si="4"/>
        <v>0.23999999975785613</v>
      </c>
      <c r="AO31" s="93">
        <f t="shared" si="5"/>
        <v>-108866.66</v>
      </c>
    </row>
    <row r="32" spans="2:41" s="27" customFormat="1">
      <c r="B32" s="97">
        <v>27</v>
      </c>
      <c r="C32" s="98" t="s">
        <v>298</v>
      </c>
      <c r="D32" s="42" t="s">
        <v>299</v>
      </c>
      <c r="E32" s="43" t="s">
        <v>361</v>
      </c>
      <c r="F32" s="41" t="s">
        <v>300</v>
      </c>
      <c r="G32" s="107" t="s">
        <v>88</v>
      </c>
      <c r="H32" s="44" t="s">
        <v>38</v>
      </c>
      <c r="I32" s="45" t="s">
        <v>7</v>
      </c>
      <c r="J32" s="58" t="str">
        <f t="shared" si="1"/>
        <v>TER A</v>
      </c>
      <c r="K32" s="210">
        <v>3639999.9</v>
      </c>
      <c r="L32" s="101">
        <f t="shared" si="6"/>
        <v>30575.999999999996</v>
      </c>
      <c r="M32" s="101">
        <f>'[21]MAINTENANCE-2'!AP37</f>
        <v>147340</v>
      </c>
      <c r="N32" s="101"/>
      <c r="O32" s="101"/>
      <c r="P32" s="101"/>
      <c r="Q32" s="46"/>
      <c r="R32" s="46"/>
      <c r="S32" s="46"/>
      <c r="T32" s="101">
        <f>'[21]MAINTENANCE-2'!X37</f>
        <v>65250</v>
      </c>
      <c r="U32" s="46"/>
      <c r="V32" s="101"/>
      <c r="W32" s="46"/>
      <c r="X32" s="101">
        <f>'[21]MAINTENANCE-2'!AC37</f>
        <v>43500</v>
      </c>
      <c r="Y32" s="46"/>
      <c r="Z32" s="46"/>
      <c r="AA32" s="46"/>
      <c r="AB32" s="46"/>
      <c r="AC32" s="231">
        <v>-121333.33</v>
      </c>
      <c r="AD32" s="46"/>
      <c r="AE32" s="46"/>
      <c r="AF32" s="62">
        <f t="shared" si="7"/>
        <v>3805332</v>
      </c>
      <c r="AG32" s="63">
        <f t="shared" si="0"/>
        <v>0</v>
      </c>
      <c r="AH32" s="106">
        <f t="shared" si="8"/>
        <v>0</v>
      </c>
      <c r="AJ32" s="93">
        <f t="shared" si="2"/>
        <v>0</v>
      </c>
      <c r="AL32" s="206">
        <v>3627416.5700000003</v>
      </c>
      <c r="AM32" s="207">
        <f t="shared" si="3"/>
        <v>3805332.5700000003</v>
      </c>
      <c r="AN32" s="151">
        <f t="shared" si="4"/>
        <v>0.57000000029802322</v>
      </c>
      <c r="AO32" s="93">
        <f t="shared" si="5"/>
        <v>-12583.330000000002</v>
      </c>
    </row>
    <row r="33" spans="2:41" s="27" customFormat="1">
      <c r="B33" s="97">
        <v>28</v>
      </c>
      <c r="C33" s="98" t="s">
        <v>301</v>
      </c>
      <c r="D33" s="42" t="s">
        <v>302</v>
      </c>
      <c r="E33" s="43" t="s">
        <v>362</v>
      </c>
      <c r="F33" s="41" t="s">
        <v>303</v>
      </c>
      <c r="G33" s="107" t="s">
        <v>88</v>
      </c>
      <c r="H33" s="44" t="s">
        <v>39</v>
      </c>
      <c r="I33" s="45" t="s">
        <v>11</v>
      </c>
      <c r="J33" s="58" t="str">
        <f t="shared" si="1"/>
        <v>TER B</v>
      </c>
      <c r="K33" s="210">
        <v>3639999.9</v>
      </c>
      <c r="L33" s="101">
        <f t="shared" si="6"/>
        <v>30575.999999999996</v>
      </c>
      <c r="M33" s="101">
        <f>'[21]MAINTENANCE-2'!AP38</f>
        <v>147480</v>
      </c>
      <c r="N33" s="101"/>
      <c r="O33" s="101"/>
      <c r="P33" s="101"/>
      <c r="Q33" s="46"/>
      <c r="R33" s="46"/>
      <c r="S33" s="46"/>
      <c r="T33" s="101">
        <f>'[21]MAINTENANCE-2'!X38</f>
        <v>151200</v>
      </c>
      <c r="U33" s="46"/>
      <c r="V33" s="101"/>
      <c r="W33" s="46"/>
      <c r="X33" s="101">
        <f>'[21]MAINTENANCE-2'!AC38</f>
        <v>47000</v>
      </c>
      <c r="Y33" s="46"/>
      <c r="Z33" s="46"/>
      <c r="AA33" s="46"/>
      <c r="AB33" s="46"/>
      <c r="AC33" s="231">
        <v>-242666.66</v>
      </c>
      <c r="AD33" s="46"/>
      <c r="AE33" s="46"/>
      <c r="AF33" s="62">
        <f t="shared" si="7"/>
        <v>3773589</v>
      </c>
      <c r="AG33" s="63">
        <f t="shared" si="0"/>
        <v>0</v>
      </c>
      <c r="AH33" s="106">
        <f t="shared" si="8"/>
        <v>0</v>
      </c>
      <c r="AJ33" s="93">
        <f t="shared" si="2"/>
        <v>0</v>
      </c>
      <c r="AL33" s="206">
        <v>3595533.24</v>
      </c>
      <c r="AM33" s="207">
        <f t="shared" si="3"/>
        <v>3773589.24</v>
      </c>
      <c r="AN33" s="151">
        <f t="shared" si="4"/>
        <v>0.24000000022351742</v>
      </c>
      <c r="AO33" s="93">
        <f t="shared" si="5"/>
        <v>-44466.66</v>
      </c>
    </row>
    <row r="34" spans="2:41" s="27" customFormat="1">
      <c r="B34" s="97">
        <v>29</v>
      </c>
      <c r="C34" s="98" t="s">
        <v>304</v>
      </c>
      <c r="D34" s="42" t="s">
        <v>305</v>
      </c>
      <c r="E34" s="209" t="s">
        <v>73</v>
      </c>
      <c r="F34" s="41" t="s">
        <v>306</v>
      </c>
      <c r="G34" s="107" t="s">
        <v>88</v>
      </c>
      <c r="H34" s="44" t="s">
        <v>39</v>
      </c>
      <c r="I34" s="45" t="s">
        <v>11</v>
      </c>
      <c r="J34" s="58" t="str">
        <f t="shared" si="1"/>
        <v>TER B</v>
      </c>
      <c r="K34" s="210">
        <v>3639999.9</v>
      </c>
      <c r="L34" s="101">
        <f t="shared" si="6"/>
        <v>30575.999999999996</v>
      </c>
      <c r="M34" s="101">
        <f>'[21]MAINTENANCE-2'!AP39</f>
        <v>146560</v>
      </c>
      <c r="N34" s="101"/>
      <c r="O34" s="101"/>
      <c r="P34" s="101"/>
      <c r="Q34" s="46"/>
      <c r="R34" s="46"/>
      <c r="S34" s="46"/>
      <c r="T34" s="101">
        <f>'[21]MAINTENANCE-2'!X39</f>
        <v>151200</v>
      </c>
      <c r="U34" s="46"/>
      <c r="V34" s="101"/>
      <c r="W34" s="46"/>
      <c r="X34" s="101">
        <f>'[21]MAINTENANCE-2'!AC39</f>
        <v>24000</v>
      </c>
      <c r="Y34" s="46"/>
      <c r="Z34" s="46"/>
      <c r="AA34" s="46"/>
      <c r="AB34" s="46"/>
      <c r="AC34" s="231">
        <v>-242666.66</v>
      </c>
      <c r="AD34" s="46"/>
      <c r="AE34" s="46"/>
      <c r="AF34" s="62">
        <f t="shared" si="7"/>
        <v>3749669</v>
      </c>
      <c r="AG34" s="63">
        <f t="shared" si="0"/>
        <v>0</v>
      </c>
      <c r="AH34" s="106">
        <f t="shared" si="8"/>
        <v>0</v>
      </c>
      <c r="AJ34" s="93">
        <f t="shared" si="2"/>
        <v>0</v>
      </c>
      <c r="AL34" s="206">
        <v>3572533.24</v>
      </c>
      <c r="AM34" s="207">
        <f t="shared" si="3"/>
        <v>3749669.24</v>
      </c>
      <c r="AN34" s="151">
        <f t="shared" si="4"/>
        <v>0.24000000022351742</v>
      </c>
      <c r="AO34" s="93">
        <f t="shared" si="5"/>
        <v>-67466.66</v>
      </c>
    </row>
    <row r="35" spans="2:41" s="27" customFormat="1">
      <c r="B35" s="97">
        <v>30</v>
      </c>
      <c r="C35" s="98" t="s">
        <v>307</v>
      </c>
      <c r="D35" s="42" t="s">
        <v>308</v>
      </c>
      <c r="E35" s="43" t="s">
        <v>363</v>
      </c>
      <c r="F35" s="41" t="s">
        <v>309</v>
      </c>
      <c r="G35" s="107" t="s">
        <v>88</v>
      </c>
      <c r="H35" s="44" t="s">
        <v>38</v>
      </c>
      <c r="I35" s="45" t="s">
        <v>7</v>
      </c>
      <c r="J35" s="58" t="str">
        <f t="shared" si="1"/>
        <v>TER A</v>
      </c>
      <c r="K35" s="210">
        <v>3639999.9</v>
      </c>
      <c r="L35" s="101">
        <f t="shared" si="6"/>
        <v>30575.999999999996</v>
      </c>
      <c r="M35" s="101">
        <f>'[21]MAINTENANCE-2'!AP40</f>
        <v>146200</v>
      </c>
      <c r="N35" s="101"/>
      <c r="O35" s="101"/>
      <c r="P35" s="101"/>
      <c r="Q35" s="46"/>
      <c r="R35" s="46"/>
      <c r="S35" s="46"/>
      <c r="T35" s="101">
        <f>'[21]MAINTENANCE-2'!X40</f>
        <v>65250</v>
      </c>
      <c r="U35" s="46"/>
      <c r="V35" s="101"/>
      <c r="W35" s="46"/>
      <c r="X35" s="101">
        <f>'[21]MAINTENANCE-2'!AC40</f>
        <v>15000</v>
      </c>
      <c r="Y35" s="46"/>
      <c r="Z35" s="46"/>
      <c r="AA35" s="46"/>
      <c r="AB35" s="46"/>
      <c r="AC35" s="231">
        <v>-121333.33</v>
      </c>
      <c r="AD35" s="46"/>
      <c r="AE35" s="46"/>
      <c r="AF35" s="62">
        <f t="shared" si="7"/>
        <v>3775692</v>
      </c>
      <c r="AG35" s="63">
        <f t="shared" si="0"/>
        <v>0</v>
      </c>
      <c r="AH35" s="106">
        <f t="shared" si="8"/>
        <v>0</v>
      </c>
      <c r="AJ35" s="93">
        <f t="shared" si="2"/>
        <v>0</v>
      </c>
      <c r="AL35" s="206">
        <v>3598916.5700000003</v>
      </c>
      <c r="AM35" s="207">
        <f t="shared" si="3"/>
        <v>3775692.5700000003</v>
      </c>
      <c r="AN35" s="151">
        <f t="shared" si="4"/>
        <v>0.57000000029802322</v>
      </c>
      <c r="AO35" s="93">
        <f t="shared" si="5"/>
        <v>-41083.33</v>
      </c>
    </row>
    <row r="36" spans="2:41" s="27" customFormat="1">
      <c r="B36" s="97">
        <v>31</v>
      </c>
      <c r="C36" s="98" t="s">
        <v>313</v>
      </c>
      <c r="D36" s="42" t="s">
        <v>314</v>
      </c>
      <c r="E36" s="43" t="s">
        <v>364</v>
      </c>
      <c r="F36" s="41" t="s">
        <v>315</v>
      </c>
      <c r="G36" s="107" t="s">
        <v>88</v>
      </c>
      <c r="H36" s="44" t="s">
        <v>38</v>
      </c>
      <c r="I36" s="45" t="s">
        <v>7</v>
      </c>
      <c r="J36" s="58" t="str">
        <f t="shared" si="1"/>
        <v>TER A</v>
      </c>
      <c r="K36" s="210">
        <v>3639999.9</v>
      </c>
      <c r="L36" s="101">
        <f t="shared" si="6"/>
        <v>30575.999999999996</v>
      </c>
      <c r="M36" s="101">
        <f>'[21]MAINTENANCE-2'!AP41</f>
        <v>147480</v>
      </c>
      <c r="N36" s="101"/>
      <c r="O36" s="101"/>
      <c r="P36" s="101"/>
      <c r="Q36" s="46"/>
      <c r="R36" s="46"/>
      <c r="S36" s="46"/>
      <c r="T36" s="101">
        <f>'[21]MAINTENANCE-2'!X41</f>
        <v>67500</v>
      </c>
      <c r="U36" s="46"/>
      <c r="V36" s="101"/>
      <c r="W36" s="46"/>
      <c r="X36" s="101">
        <f>'[21]MAINTENANCE-2'!AC41</f>
        <v>47000</v>
      </c>
      <c r="Y36" s="46"/>
      <c r="Z36" s="46"/>
      <c r="AA36" s="46"/>
      <c r="AB36" s="46"/>
      <c r="AC36" s="231">
        <v>0</v>
      </c>
      <c r="AD36" s="46"/>
      <c r="AE36" s="46"/>
      <c r="AF36" s="62">
        <f t="shared" si="7"/>
        <v>3932555</v>
      </c>
      <c r="AG36" s="63">
        <f t="shared" si="0"/>
        <v>0</v>
      </c>
      <c r="AH36" s="106">
        <f t="shared" si="8"/>
        <v>0</v>
      </c>
      <c r="AJ36" s="93">
        <f t="shared" si="2"/>
        <v>0</v>
      </c>
      <c r="AL36" s="206">
        <v>3754499.9000000004</v>
      </c>
      <c r="AM36" s="207">
        <f t="shared" si="3"/>
        <v>3932555.9000000004</v>
      </c>
      <c r="AN36" s="151">
        <f t="shared" si="4"/>
        <v>0.90000000037252903</v>
      </c>
      <c r="AO36" s="93">
        <f t="shared" si="5"/>
        <v>114500</v>
      </c>
    </row>
    <row r="37" spans="2:41" s="27" customFormat="1">
      <c r="B37" s="97">
        <v>32</v>
      </c>
      <c r="C37" s="234" t="s">
        <v>397</v>
      </c>
      <c r="D37" s="235" t="s">
        <v>398</v>
      </c>
      <c r="E37" s="209" t="s">
        <v>73</v>
      </c>
      <c r="F37" s="41" t="s">
        <v>399</v>
      </c>
      <c r="G37" s="107" t="s">
        <v>88</v>
      </c>
      <c r="H37" s="44" t="s">
        <v>39</v>
      </c>
      <c r="I37" s="45" t="s">
        <v>7</v>
      </c>
      <c r="J37" s="58" t="str">
        <f t="shared" si="1"/>
        <v>TER A</v>
      </c>
      <c r="K37" s="210">
        <v>3639999.9</v>
      </c>
      <c r="L37" s="101">
        <f t="shared" si="6"/>
        <v>30575.999999999996</v>
      </c>
      <c r="M37" s="101">
        <f>'[21]MAINTENANCE-2'!AP42</f>
        <v>145600</v>
      </c>
      <c r="N37" s="101"/>
      <c r="O37" s="101"/>
      <c r="P37" s="101"/>
      <c r="Q37" s="46"/>
      <c r="R37" s="101"/>
      <c r="S37" s="101"/>
      <c r="T37" s="101">
        <f>'[21]MAINTENANCE-2'!X42</f>
        <v>60750</v>
      </c>
      <c r="U37" s="46"/>
      <c r="V37" s="101"/>
      <c r="W37" s="46"/>
      <c r="X37" s="101">
        <f>'[21]MAINTENANCE-2'!AC42</f>
        <v>0</v>
      </c>
      <c r="Y37" s="46"/>
      <c r="Z37" s="46"/>
      <c r="AA37" s="46"/>
      <c r="AB37" s="46"/>
      <c r="AC37" s="231">
        <v>-363999.99</v>
      </c>
      <c r="AD37" s="46"/>
      <c r="AE37" s="46"/>
      <c r="AF37" s="62">
        <f t="shared" si="7"/>
        <v>3512925</v>
      </c>
      <c r="AG37" s="63">
        <f t="shared" si="0"/>
        <v>0</v>
      </c>
      <c r="AH37" s="106">
        <f t="shared" si="8"/>
        <v>0</v>
      </c>
      <c r="AJ37" s="93"/>
      <c r="AL37" s="206">
        <v>3336749.91</v>
      </c>
      <c r="AM37" s="207">
        <f t="shared" si="3"/>
        <v>3512925.91</v>
      </c>
      <c r="AN37" s="151">
        <f t="shared" si="4"/>
        <v>0.91000000014901161</v>
      </c>
      <c r="AO37" s="93">
        <f t="shared" si="5"/>
        <v>-303249.99</v>
      </c>
    </row>
    <row r="38" spans="2:41" s="27" customFormat="1">
      <c r="B38" s="97">
        <v>33</v>
      </c>
      <c r="C38" s="234" t="s">
        <v>400</v>
      </c>
      <c r="D38" s="235" t="s">
        <v>401</v>
      </c>
      <c r="E38" s="43" t="s">
        <v>402</v>
      </c>
      <c r="F38" s="41" t="s">
        <v>403</v>
      </c>
      <c r="G38" s="107" t="s">
        <v>88</v>
      </c>
      <c r="H38" s="44" t="s">
        <v>39</v>
      </c>
      <c r="I38" s="45" t="s">
        <v>9</v>
      </c>
      <c r="J38" s="58" t="str">
        <f t="shared" si="1"/>
        <v>TER B</v>
      </c>
      <c r="K38" s="210">
        <v>3639999.9</v>
      </c>
      <c r="L38" s="101">
        <f t="shared" si="6"/>
        <v>30575.999999999996</v>
      </c>
      <c r="M38" s="101">
        <f>'[21]MAINTENANCE-2'!AP43</f>
        <v>146560</v>
      </c>
      <c r="N38" s="101"/>
      <c r="O38" s="101"/>
      <c r="P38" s="101"/>
      <c r="Q38" s="46"/>
      <c r="R38" s="101"/>
      <c r="S38" s="101"/>
      <c r="T38" s="101">
        <f>'[21]MAINTENANCE-2'!X43</f>
        <v>126000</v>
      </c>
      <c r="U38" s="46"/>
      <c r="V38" s="101"/>
      <c r="W38" s="46"/>
      <c r="X38" s="101">
        <f>'[21]MAINTENANCE-2'!AC43</f>
        <v>24000</v>
      </c>
      <c r="Y38" s="46"/>
      <c r="Z38" s="46"/>
      <c r="AA38" s="46"/>
      <c r="AB38" s="46"/>
      <c r="AC38" s="231">
        <v>-242666.66</v>
      </c>
      <c r="AD38" s="46"/>
      <c r="AE38" s="46"/>
      <c r="AF38" s="62">
        <f t="shared" si="7"/>
        <v>3724469</v>
      </c>
      <c r="AG38" s="63">
        <f t="shared" si="0"/>
        <v>0</v>
      </c>
      <c r="AH38" s="106">
        <f t="shared" si="8"/>
        <v>0</v>
      </c>
      <c r="AJ38" s="93"/>
      <c r="AL38" s="206">
        <v>3547333.24</v>
      </c>
      <c r="AM38" s="207">
        <f t="shared" si="3"/>
        <v>3724469.24</v>
      </c>
      <c r="AN38" s="151">
        <f t="shared" si="4"/>
        <v>0.24000000022351742</v>
      </c>
      <c r="AO38" s="93">
        <f t="shared" si="5"/>
        <v>-92666.66</v>
      </c>
    </row>
    <row r="39" spans="2:41" s="27" customFormat="1">
      <c r="B39" s="97">
        <v>34</v>
      </c>
      <c r="C39" s="234" t="s">
        <v>404</v>
      </c>
      <c r="D39" s="235" t="s">
        <v>405</v>
      </c>
      <c r="E39" s="43" t="s">
        <v>406</v>
      </c>
      <c r="F39" s="41" t="s">
        <v>407</v>
      </c>
      <c r="G39" s="107" t="s">
        <v>88</v>
      </c>
      <c r="H39" s="44" t="s">
        <v>38</v>
      </c>
      <c r="I39" s="45" t="s">
        <v>7</v>
      </c>
      <c r="J39" s="58" t="str">
        <f t="shared" si="1"/>
        <v>TER A</v>
      </c>
      <c r="K39" s="210">
        <v>3639999.9</v>
      </c>
      <c r="L39" s="101">
        <f t="shared" si="6"/>
        <v>30575.999999999996</v>
      </c>
      <c r="M39" s="101">
        <f>'[21]MAINTENANCE-2'!AP44</f>
        <v>146680</v>
      </c>
      <c r="N39" s="101"/>
      <c r="O39" s="101"/>
      <c r="P39" s="101"/>
      <c r="Q39" s="46"/>
      <c r="R39" s="101"/>
      <c r="S39" s="101"/>
      <c r="T39" s="101">
        <f>'[21]MAINTENANCE-2'!X44</f>
        <v>63000</v>
      </c>
      <c r="U39" s="46"/>
      <c r="V39" s="101"/>
      <c r="W39" s="46"/>
      <c r="X39" s="101">
        <f>'[21]MAINTENANCE-2'!AC44</f>
        <v>27000</v>
      </c>
      <c r="Y39" s="46"/>
      <c r="Z39" s="46"/>
      <c r="AA39" s="46"/>
      <c r="AB39" s="46"/>
      <c r="AC39" s="231">
        <v>-242666.66</v>
      </c>
      <c r="AD39" s="46"/>
      <c r="AE39" s="46"/>
      <c r="AF39" s="62">
        <f t="shared" si="7"/>
        <v>3664589</v>
      </c>
      <c r="AG39" s="63">
        <f t="shared" si="0"/>
        <v>0</v>
      </c>
      <c r="AH39" s="106">
        <f t="shared" si="8"/>
        <v>0</v>
      </c>
      <c r="AJ39" s="93"/>
      <c r="AL39" s="206">
        <v>3487333.24</v>
      </c>
      <c r="AM39" s="207">
        <f t="shared" si="3"/>
        <v>3664589.24</v>
      </c>
      <c r="AN39" s="151">
        <f t="shared" si="4"/>
        <v>0.24000000022351742</v>
      </c>
      <c r="AO39" s="93">
        <f t="shared" si="5"/>
        <v>-152666.66</v>
      </c>
    </row>
    <row r="40" spans="2:41" s="27" customFormat="1">
      <c r="B40" s="97">
        <v>35</v>
      </c>
      <c r="C40" s="234" t="s">
        <v>408</v>
      </c>
      <c r="D40" s="42" t="s">
        <v>409</v>
      </c>
      <c r="E40" s="43" t="s">
        <v>410</v>
      </c>
      <c r="F40" s="41" t="s">
        <v>411</v>
      </c>
      <c r="G40" s="107" t="s">
        <v>88</v>
      </c>
      <c r="H40" s="44" t="s">
        <v>39</v>
      </c>
      <c r="I40" s="45" t="s">
        <v>11</v>
      </c>
      <c r="J40" s="58" t="str">
        <f t="shared" si="1"/>
        <v>TER B</v>
      </c>
      <c r="K40" s="210">
        <v>3639999.9</v>
      </c>
      <c r="L40" s="101">
        <f t="shared" si="6"/>
        <v>30575.999999999996</v>
      </c>
      <c r="M40" s="101">
        <f>'[21]MAINTENANCE-2'!AP45</f>
        <v>146920</v>
      </c>
      <c r="N40" s="101"/>
      <c r="O40" s="101"/>
      <c r="P40" s="101"/>
      <c r="Q40" s="46"/>
      <c r="R40" s="101"/>
      <c r="S40" s="101"/>
      <c r="T40" s="101">
        <f>'[21]MAINTENANCE-2'!X45</f>
        <v>151200</v>
      </c>
      <c r="U40" s="46"/>
      <c r="V40" s="101"/>
      <c r="W40" s="46"/>
      <c r="X40" s="101">
        <f>'[21]MAINTENANCE-2'!AC45</f>
        <v>33000</v>
      </c>
      <c r="Y40" s="46"/>
      <c r="Z40" s="46"/>
      <c r="AA40" s="46"/>
      <c r="AB40" s="46"/>
      <c r="AC40" s="231">
        <v>-242666.66</v>
      </c>
      <c r="AD40" s="46"/>
      <c r="AE40" s="46"/>
      <c r="AF40" s="62">
        <f t="shared" si="7"/>
        <v>3759029</v>
      </c>
      <c r="AG40" s="63">
        <f t="shared" si="0"/>
        <v>0</v>
      </c>
      <c r="AH40" s="106">
        <f t="shared" si="8"/>
        <v>0</v>
      </c>
      <c r="AJ40" s="93"/>
      <c r="AL40" s="206">
        <v>3581533.24</v>
      </c>
      <c r="AM40" s="207">
        <f t="shared" si="3"/>
        <v>3759029.24</v>
      </c>
      <c r="AN40" s="151">
        <f t="shared" si="4"/>
        <v>0.24000000022351742</v>
      </c>
      <c r="AO40" s="93">
        <f t="shared" si="5"/>
        <v>-58466.66</v>
      </c>
    </row>
    <row r="41" spans="2:41" s="27" customFormat="1">
      <c r="B41" s="97">
        <v>36</v>
      </c>
      <c r="C41" s="234" t="s">
        <v>412</v>
      </c>
      <c r="D41" s="42" t="s">
        <v>413</v>
      </c>
      <c r="E41" s="43" t="s">
        <v>414</v>
      </c>
      <c r="F41" s="41" t="s">
        <v>415</v>
      </c>
      <c r="G41" s="107" t="s">
        <v>88</v>
      </c>
      <c r="H41" s="44" t="s">
        <v>39</v>
      </c>
      <c r="I41" s="45" t="s">
        <v>9</v>
      </c>
      <c r="J41" s="58" t="str">
        <f t="shared" si="1"/>
        <v>TER B</v>
      </c>
      <c r="K41" s="210">
        <v>3639999.9</v>
      </c>
      <c r="L41" s="101">
        <f t="shared" si="6"/>
        <v>30575.999999999996</v>
      </c>
      <c r="M41" s="101">
        <f>'[21]MAINTENANCE-2'!AP46</f>
        <v>147480</v>
      </c>
      <c r="N41" s="101">
        <v>8425</v>
      </c>
      <c r="O41" s="101"/>
      <c r="P41" s="101"/>
      <c r="Q41" s="46"/>
      <c r="R41" s="101"/>
      <c r="S41" s="101"/>
      <c r="T41" s="101">
        <f>'[21]MAINTENANCE-2'!X46</f>
        <v>126000</v>
      </c>
      <c r="U41" s="46"/>
      <c r="V41" s="101">
        <v>73641.61</v>
      </c>
      <c r="W41" s="46"/>
      <c r="X41" s="101">
        <f>'[21]MAINTENANCE-2'!AC46</f>
        <v>47000</v>
      </c>
      <c r="Y41" s="46"/>
      <c r="Z41" s="46"/>
      <c r="AA41" s="46"/>
      <c r="AB41" s="46"/>
      <c r="AC41" s="231">
        <v>-242666.66</v>
      </c>
      <c r="AD41" s="46"/>
      <c r="AE41" s="46"/>
      <c r="AF41" s="62">
        <f t="shared" si="7"/>
        <v>3830455</v>
      </c>
      <c r="AG41" s="63">
        <f t="shared" si="0"/>
        <v>0</v>
      </c>
      <c r="AH41" s="106">
        <f t="shared" si="8"/>
        <v>0</v>
      </c>
      <c r="AJ41" s="93"/>
      <c r="AL41" s="206">
        <v>3652399.85</v>
      </c>
      <c r="AM41" s="207">
        <f t="shared" si="3"/>
        <v>3830455.85</v>
      </c>
      <c r="AN41" s="151">
        <f t="shared" si="4"/>
        <v>0.85000000009313226</v>
      </c>
      <c r="AO41" s="93">
        <f t="shared" si="5"/>
        <v>12399.949999999983</v>
      </c>
    </row>
    <row r="42" spans="2:41" s="27" customFormat="1">
      <c r="B42" s="97">
        <v>37</v>
      </c>
      <c r="C42" s="234" t="s">
        <v>416</v>
      </c>
      <c r="D42" s="235" t="s">
        <v>417</v>
      </c>
      <c r="E42" s="43" t="s">
        <v>418</v>
      </c>
      <c r="F42" s="41" t="s">
        <v>419</v>
      </c>
      <c r="G42" s="107" t="s">
        <v>88</v>
      </c>
      <c r="H42" s="44" t="s">
        <v>39</v>
      </c>
      <c r="I42" s="45" t="s">
        <v>11</v>
      </c>
      <c r="J42" s="58" t="str">
        <f t="shared" si="1"/>
        <v>TER B</v>
      </c>
      <c r="K42" s="210">
        <v>3714999.9</v>
      </c>
      <c r="L42" s="101">
        <f>3715000*0.84%</f>
        <v>31205.999999999996</v>
      </c>
      <c r="M42" s="101">
        <f>'[21]MAINTENANCE-2'!AP47</f>
        <v>150480</v>
      </c>
      <c r="N42" s="101"/>
      <c r="O42" s="101"/>
      <c r="P42" s="101"/>
      <c r="Q42" s="46"/>
      <c r="R42" s="101"/>
      <c r="S42" s="101"/>
      <c r="T42" s="101">
        <f>'[21]MAINTENANCE-2'!X47</f>
        <v>156600</v>
      </c>
      <c r="U42" s="46"/>
      <c r="V42" s="101">
        <v>311372.82</v>
      </c>
      <c r="W42" s="46"/>
      <c r="X42" s="101">
        <f>'[21]MAINTENANCE-2'!AC47</f>
        <v>47000</v>
      </c>
      <c r="Y42" s="46"/>
      <c r="Z42" s="46"/>
      <c r="AA42" s="46"/>
      <c r="AB42" s="46"/>
      <c r="AC42" s="231">
        <v>-123833.33</v>
      </c>
      <c r="AD42" s="46"/>
      <c r="AE42" s="46"/>
      <c r="AF42" s="62">
        <f t="shared" si="7"/>
        <v>4287825</v>
      </c>
      <c r="AG42" s="63">
        <f t="shared" si="0"/>
        <v>0</v>
      </c>
      <c r="AH42" s="106">
        <f t="shared" si="8"/>
        <v>0</v>
      </c>
      <c r="AJ42" s="93"/>
      <c r="AL42" s="206">
        <v>4106139.39</v>
      </c>
      <c r="AM42" s="207">
        <f t="shared" si="3"/>
        <v>4287825.3900000006</v>
      </c>
      <c r="AN42" s="151">
        <f t="shared" si="4"/>
        <v>0.39000000059604645</v>
      </c>
      <c r="AO42" s="93">
        <f t="shared" si="5"/>
        <v>391139.49</v>
      </c>
    </row>
    <row r="43" spans="2:41" s="27" customFormat="1">
      <c r="B43" s="97">
        <v>38</v>
      </c>
      <c r="C43" s="98" t="s">
        <v>316</v>
      </c>
      <c r="D43" s="42" t="s">
        <v>317</v>
      </c>
      <c r="E43" s="43" t="s">
        <v>370</v>
      </c>
      <c r="F43" s="41" t="s">
        <v>318</v>
      </c>
      <c r="G43" s="107" t="s">
        <v>87</v>
      </c>
      <c r="H43" s="44" t="s">
        <v>39</v>
      </c>
      <c r="I43" s="45" t="s">
        <v>9</v>
      </c>
      <c r="J43" s="58" t="str">
        <f t="shared" si="1"/>
        <v>TER B</v>
      </c>
      <c r="K43" s="210">
        <v>3639999.9</v>
      </c>
      <c r="L43" s="46">
        <f>3640000*0.84%</f>
        <v>30575.999999999996</v>
      </c>
      <c r="M43" s="101">
        <f>[21]TRANSPORT!AJ11</f>
        <v>147480</v>
      </c>
      <c r="N43" s="101">
        <v>563500</v>
      </c>
      <c r="O43" s="101">
        <v>231000</v>
      </c>
      <c r="P43" s="101">
        <v>21000</v>
      </c>
      <c r="Q43" s="46">
        <v>59340</v>
      </c>
      <c r="R43" s="46"/>
      <c r="S43" s="46"/>
      <c r="T43" s="101">
        <f>[21]TRANSPORT!T11</f>
        <v>130500</v>
      </c>
      <c r="U43" s="46">
        <v>66000</v>
      </c>
      <c r="V43" s="101">
        <v>1157225.3</v>
      </c>
      <c r="W43" s="46"/>
      <c r="X43" s="101">
        <f>[21]TRANSPORT!Y11</f>
        <v>47000</v>
      </c>
      <c r="Y43" s="46"/>
      <c r="Z43" s="46"/>
      <c r="AA43" s="46"/>
      <c r="AB43" s="46"/>
      <c r="AC43" s="231">
        <v>-121333.33</v>
      </c>
      <c r="AD43" s="46"/>
      <c r="AE43" s="46"/>
      <c r="AF43" s="62">
        <f>ROUNDDOWN(SUM(K43:AE43),0)</f>
        <v>5972287</v>
      </c>
      <c r="AG43" s="63">
        <f t="shared" ref="AG43:AG48" si="9">IF(J43="TER A",VLOOKUP(AF43,Ter_A,4,TRUE),IF(J43="TER B",VLOOKUP(AF43,Ter_B,4,TRUE),VLOOKUP(AF43,Ter_C,4,TRUE)))</f>
        <v>0</v>
      </c>
      <c r="AH43" s="106">
        <f t="shared" si="8"/>
        <v>0</v>
      </c>
      <c r="AJ43" s="93">
        <f t="shared" si="2"/>
        <v>0</v>
      </c>
      <c r="AL43" s="92">
        <v>5794231.8700000001</v>
      </c>
      <c r="AM43" s="207">
        <f t="shared" si="3"/>
        <v>5972287.8700000001</v>
      </c>
      <c r="AN43" s="151">
        <f t="shared" si="4"/>
        <v>0.87000000011175871</v>
      </c>
      <c r="AO43" s="93">
        <f t="shared" si="5"/>
        <v>2154231.9699999997</v>
      </c>
    </row>
    <row r="44" spans="2:41" s="27" customFormat="1">
      <c r="B44" s="97">
        <v>39</v>
      </c>
      <c r="C44" s="98" t="s">
        <v>393</v>
      </c>
      <c r="D44" s="42" t="s">
        <v>320</v>
      </c>
      <c r="E44" s="43" t="s">
        <v>371</v>
      </c>
      <c r="F44" s="41" t="s">
        <v>321</v>
      </c>
      <c r="G44" s="107" t="s">
        <v>372</v>
      </c>
      <c r="H44" s="44" t="s">
        <v>39</v>
      </c>
      <c r="I44" s="45" t="s">
        <v>9</v>
      </c>
      <c r="J44" s="58" t="str">
        <f t="shared" si="1"/>
        <v>TER B</v>
      </c>
      <c r="K44" s="210">
        <v>3639999.9</v>
      </c>
      <c r="L44" s="46">
        <f t="shared" ref="L44:L48" si="10">3640000*0.84%</f>
        <v>30575.999999999996</v>
      </c>
      <c r="M44" s="101">
        <f>[21]TRANSPORT!AJ12</f>
        <v>146800</v>
      </c>
      <c r="N44" s="101">
        <v>563500</v>
      </c>
      <c r="O44" s="101">
        <v>231000</v>
      </c>
      <c r="P44" s="101">
        <v>21000</v>
      </c>
      <c r="Q44" s="46">
        <v>59340</v>
      </c>
      <c r="R44" s="46"/>
      <c r="S44" s="46"/>
      <c r="T44" s="101">
        <f>[21]TRANSPORT!T12</f>
        <v>135000</v>
      </c>
      <c r="U44" s="46">
        <v>44000</v>
      </c>
      <c r="V44" s="46">
        <v>1157225.3</v>
      </c>
      <c r="W44" s="46"/>
      <c r="X44" s="101">
        <f>[21]TRANSPORT!Y12</f>
        <v>30000</v>
      </c>
      <c r="Y44" s="46"/>
      <c r="Z44" s="46"/>
      <c r="AA44" s="46"/>
      <c r="AB44" s="46"/>
      <c r="AC44" s="231"/>
      <c r="AD44" s="46"/>
      <c r="AE44" s="46"/>
      <c r="AF44" s="62">
        <f t="shared" si="7"/>
        <v>6058441</v>
      </c>
      <c r="AG44" s="63">
        <f t="shared" si="9"/>
        <v>0</v>
      </c>
      <c r="AH44" s="106">
        <f t="shared" si="8"/>
        <v>0</v>
      </c>
      <c r="AJ44" s="93">
        <f t="shared" si="2"/>
        <v>0</v>
      </c>
      <c r="AL44" s="92">
        <v>5881065.2000000002</v>
      </c>
      <c r="AM44" s="207">
        <f t="shared" si="3"/>
        <v>6058441.2000000002</v>
      </c>
      <c r="AN44" s="151">
        <f t="shared" si="4"/>
        <v>0.20000000018626451</v>
      </c>
      <c r="AO44" s="93">
        <f t="shared" si="5"/>
        <v>2241065.2999999998</v>
      </c>
    </row>
    <row r="45" spans="2:41" s="27" customFormat="1">
      <c r="B45" s="97">
        <v>40</v>
      </c>
      <c r="C45" s="98" t="s">
        <v>322</v>
      </c>
      <c r="D45" s="42" t="s">
        <v>323</v>
      </c>
      <c r="E45" s="43" t="s">
        <v>373</v>
      </c>
      <c r="F45" s="41" t="s">
        <v>223</v>
      </c>
      <c r="G45" s="107" t="s">
        <v>87</v>
      </c>
      <c r="H45" s="44" t="s">
        <v>39</v>
      </c>
      <c r="I45" s="45" t="s">
        <v>11</v>
      </c>
      <c r="J45" s="58" t="str">
        <f t="shared" si="1"/>
        <v>TER B</v>
      </c>
      <c r="K45" s="210">
        <v>3639999.9</v>
      </c>
      <c r="L45" s="46">
        <f t="shared" si="10"/>
        <v>30575.999999999996</v>
      </c>
      <c r="M45" s="101">
        <f>[21]TRANSPORT!AJ13</f>
        <v>148040</v>
      </c>
      <c r="N45" s="101">
        <v>115255</v>
      </c>
      <c r="O45" s="101">
        <v>642000</v>
      </c>
      <c r="P45" s="101">
        <v>13500</v>
      </c>
      <c r="Q45" s="46">
        <v>44700</v>
      </c>
      <c r="R45" s="46"/>
      <c r="S45" s="46"/>
      <c r="T45" s="101">
        <f>[21]TRANSPORT!T13</f>
        <v>162000</v>
      </c>
      <c r="U45" s="46">
        <v>66000</v>
      </c>
      <c r="V45" s="46">
        <v>1073063.46</v>
      </c>
      <c r="W45" s="46"/>
      <c r="X45" s="101">
        <f>[21]TRANSPORT!Y13</f>
        <v>61000</v>
      </c>
      <c r="Y45" s="46"/>
      <c r="Z45" s="46"/>
      <c r="AA45" s="46"/>
      <c r="AB45" s="46"/>
      <c r="AC45" s="231"/>
      <c r="AD45" s="46"/>
      <c r="AE45" s="46"/>
      <c r="AF45" s="62">
        <f t="shared" si="7"/>
        <v>5996134</v>
      </c>
      <c r="AG45" s="63">
        <f t="shared" si="9"/>
        <v>0</v>
      </c>
      <c r="AH45" s="106">
        <f t="shared" si="8"/>
        <v>0</v>
      </c>
      <c r="AJ45" s="93">
        <f t="shared" si="2"/>
        <v>0</v>
      </c>
      <c r="AL45" s="92">
        <v>5817518.3600000003</v>
      </c>
      <c r="AM45" s="207">
        <f t="shared" si="3"/>
        <v>5996134.3600000003</v>
      </c>
      <c r="AN45" s="151">
        <f t="shared" si="4"/>
        <v>0.36000000033527613</v>
      </c>
      <c r="AO45" s="93">
        <f t="shared" si="5"/>
        <v>2177518.46</v>
      </c>
    </row>
    <row r="46" spans="2:41" s="27" customFormat="1">
      <c r="B46" s="97">
        <v>41</v>
      </c>
      <c r="C46" s="98" t="s">
        <v>395</v>
      </c>
      <c r="D46" s="42" t="s">
        <v>325</v>
      </c>
      <c r="E46" s="43" t="s">
        <v>374</v>
      </c>
      <c r="F46" s="41" t="s">
        <v>223</v>
      </c>
      <c r="G46" s="107" t="s">
        <v>372</v>
      </c>
      <c r="H46" s="44" t="s">
        <v>39</v>
      </c>
      <c r="I46" s="45" t="s">
        <v>11</v>
      </c>
      <c r="J46" s="58" t="str">
        <f t="shared" si="1"/>
        <v>TER B</v>
      </c>
      <c r="K46" s="210">
        <v>3639999.9</v>
      </c>
      <c r="L46" s="46">
        <f t="shared" si="10"/>
        <v>30575.999999999996</v>
      </c>
      <c r="M46" s="101">
        <f>[21]TRANSPORT!AJ14</f>
        <v>148040</v>
      </c>
      <c r="N46" s="101">
        <v>115255</v>
      </c>
      <c r="O46" s="101">
        <v>672000</v>
      </c>
      <c r="P46" s="101">
        <v>13000</v>
      </c>
      <c r="Q46" s="46">
        <v>44700</v>
      </c>
      <c r="R46" s="46"/>
      <c r="S46" s="46"/>
      <c r="T46" s="101">
        <f>[21]TRANSPORT!T14</f>
        <v>162000</v>
      </c>
      <c r="U46" s="46">
        <v>46000</v>
      </c>
      <c r="V46" s="46">
        <v>1104624.1499999999</v>
      </c>
      <c r="W46" s="46"/>
      <c r="X46" s="101">
        <f>[21]TRANSPORT!Y14</f>
        <v>61000</v>
      </c>
      <c r="Y46" s="46"/>
      <c r="Z46" s="46"/>
      <c r="AA46" s="46"/>
      <c r="AB46" s="46"/>
      <c r="AC46" s="231"/>
      <c r="AD46" s="46"/>
      <c r="AE46" s="46"/>
      <c r="AF46" s="62">
        <f t="shared" si="7"/>
        <v>6037195</v>
      </c>
      <c r="AG46" s="63">
        <f t="shared" si="9"/>
        <v>0</v>
      </c>
      <c r="AH46" s="106">
        <f t="shared" si="8"/>
        <v>0</v>
      </c>
      <c r="AJ46" s="93">
        <f t="shared" si="2"/>
        <v>0</v>
      </c>
      <c r="AL46" s="92">
        <v>5858579.0500000007</v>
      </c>
      <c r="AM46" s="207">
        <f t="shared" si="3"/>
        <v>6037195.0500000007</v>
      </c>
      <c r="AN46" s="151">
        <f t="shared" si="4"/>
        <v>5.000000074505806E-2</v>
      </c>
      <c r="AO46" s="93">
        <f t="shared" si="5"/>
        <v>2218579.15</v>
      </c>
    </row>
    <row r="47" spans="2:41" s="27" customFormat="1">
      <c r="B47" s="97">
        <v>42</v>
      </c>
      <c r="C47" s="98" t="s">
        <v>209</v>
      </c>
      <c r="D47" s="42" t="s">
        <v>210</v>
      </c>
      <c r="E47" s="209" t="s">
        <v>73</v>
      </c>
      <c r="F47" s="41" t="s">
        <v>211</v>
      </c>
      <c r="G47" s="107" t="s">
        <v>375</v>
      </c>
      <c r="H47" s="44" t="s">
        <v>39</v>
      </c>
      <c r="I47" s="45" t="s">
        <v>9</v>
      </c>
      <c r="J47" s="58" t="str">
        <f t="shared" si="1"/>
        <v>TER B</v>
      </c>
      <c r="K47" s="210">
        <v>3639999.9</v>
      </c>
      <c r="L47" s="46">
        <f t="shared" si="10"/>
        <v>30575.999999999996</v>
      </c>
      <c r="M47" s="46">
        <f>[21]HARVESTING!AS11</f>
        <v>146100</v>
      </c>
      <c r="N47" s="46"/>
      <c r="O47" s="46"/>
      <c r="P47" s="46"/>
      <c r="Q47" s="46"/>
      <c r="R47" s="46"/>
      <c r="S47" s="46">
        <v>103950</v>
      </c>
      <c r="T47" s="101">
        <f>[21]HARVESTING!X11</f>
        <v>135000</v>
      </c>
      <c r="U47" s="46"/>
      <c r="V47" s="46"/>
      <c r="W47" s="46"/>
      <c r="X47" s="101">
        <f>[21]HARVESTING!AC11</f>
        <v>12500</v>
      </c>
      <c r="Y47" s="46"/>
      <c r="Z47" s="46"/>
      <c r="AA47" s="46"/>
      <c r="AB47" s="46"/>
      <c r="AC47" s="231"/>
      <c r="AD47" s="46"/>
      <c r="AE47" s="46"/>
      <c r="AF47" s="62">
        <f t="shared" si="7"/>
        <v>4068125</v>
      </c>
      <c r="AG47" s="63">
        <f t="shared" si="9"/>
        <v>0</v>
      </c>
      <c r="AH47" s="106">
        <f t="shared" si="8"/>
        <v>0</v>
      </c>
      <c r="AJ47" s="93">
        <f t="shared" si="2"/>
        <v>0</v>
      </c>
      <c r="AL47" s="92">
        <v>3891449.9000000004</v>
      </c>
      <c r="AM47" s="207">
        <f>AL47+L47+M47+AE47</f>
        <v>4068125.9000000004</v>
      </c>
      <c r="AN47" s="151">
        <f t="shared" si="4"/>
        <v>0.90000000037252903</v>
      </c>
      <c r="AO47" s="93">
        <f t="shared" si="5"/>
        <v>251450</v>
      </c>
    </row>
    <row r="48" spans="2:41" s="27" customFormat="1">
      <c r="B48" s="97">
        <v>43</v>
      </c>
      <c r="C48" s="98" t="s">
        <v>212</v>
      </c>
      <c r="D48" s="42" t="s">
        <v>213</v>
      </c>
      <c r="E48" s="209" t="s">
        <v>73</v>
      </c>
      <c r="F48" s="41" t="s">
        <v>214</v>
      </c>
      <c r="G48" s="107" t="s">
        <v>375</v>
      </c>
      <c r="H48" s="44" t="s">
        <v>39</v>
      </c>
      <c r="I48" s="45" t="s">
        <v>9</v>
      </c>
      <c r="J48" s="58" t="str">
        <f t="shared" si="1"/>
        <v>TER B</v>
      </c>
      <c r="K48" s="210">
        <v>3639999.9</v>
      </c>
      <c r="L48" s="46">
        <f t="shared" si="10"/>
        <v>30575.999999999996</v>
      </c>
      <c r="M48" s="46">
        <f>[21]HARVESTING!AS12</f>
        <v>146100</v>
      </c>
      <c r="N48" s="46"/>
      <c r="O48" s="46"/>
      <c r="P48" s="46"/>
      <c r="Q48" s="46"/>
      <c r="R48" s="46"/>
      <c r="S48" s="46">
        <v>122850</v>
      </c>
      <c r="T48" s="101">
        <f>[21]HARVESTING!X12</f>
        <v>135000</v>
      </c>
      <c r="U48" s="46"/>
      <c r="V48" s="46"/>
      <c r="W48" s="46"/>
      <c r="X48" s="101">
        <f>[21]HARVESTING!AC12</f>
        <v>12500</v>
      </c>
      <c r="Y48" s="46"/>
      <c r="Z48" s="46"/>
      <c r="AA48" s="46"/>
      <c r="AB48" s="46"/>
      <c r="AC48" s="231"/>
      <c r="AD48" s="46"/>
      <c r="AE48" s="46"/>
      <c r="AF48" s="62">
        <f t="shared" si="7"/>
        <v>4087025</v>
      </c>
      <c r="AG48" s="63">
        <f t="shared" si="9"/>
        <v>0</v>
      </c>
      <c r="AH48" s="106">
        <f t="shared" si="8"/>
        <v>0</v>
      </c>
      <c r="AJ48" s="93">
        <f t="shared" si="2"/>
        <v>0</v>
      </c>
      <c r="AL48" s="92">
        <v>3910349.9</v>
      </c>
      <c r="AM48" s="207">
        <f t="shared" si="3"/>
        <v>4087025.9</v>
      </c>
      <c r="AN48" s="151">
        <f>AM48-AF48</f>
        <v>0.89999999990686774</v>
      </c>
      <c r="AO48" s="93">
        <f t="shared" si="5"/>
        <v>270350</v>
      </c>
    </row>
    <row r="49" spans="2:59" s="27" customFormat="1" ht="13.5" thickBot="1">
      <c r="B49" s="97"/>
      <c r="C49" s="98" t="s">
        <v>365</v>
      </c>
      <c r="D49" s="42" t="s">
        <v>366</v>
      </c>
      <c r="E49" s="43" t="s">
        <v>367</v>
      </c>
      <c r="F49" s="41" t="s">
        <v>368</v>
      </c>
      <c r="G49" s="107" t="s">
        <v>88</v>
      </c>
      <c r="H49" s="44" t="s">
        <v>369</v>
      </c>
      <c r="I49" s="45" t="s">
        <v>11</v>
      </c>
      <c r="J49" s="58" t="str">
        <f>IF(ISBLANK(I49),"",IF(OR(I49="TK/0",I49="TK/1",I49="K/0"),"TER A",IF(I49="K/3","TER C","TER B")))</f>
        <v>TER B</v>
      </c>
      <c r="K49" s="60"/>
      <c r="L49" s="101"/>
      <c r="M49" s="101"/>
      <c r="N49" s="101"/>
      <c r="O49" s="101"/>
      <c r="P49" s="101"/>
      <c r="Q49" s="46"/>
      <c r="R49" s="101"/>
      <c r="S49" s="101"/>
      <c r="T49" s="101"/>
      <c r="U49" s="46"/>
      <c r="V49" s="101"/>
      <c r="W49" s="46"/>
      <c r="X49" s="101"/>
      <c r="Y49" s="46"/>
      <c r="Z49" s="46"/>
      <c r="AA49" s="46"/>
      <c r="AB49" s="46"/>
      <c r="AC49" s="231"/>
      <c r="AD49" s="46"/>
      <c r="AE49" s="46"/>
      <c r="AF49" s="62">
        <f t="shared" si="7"/>
        <v>0</v>
      </c>
      <c r="AG49" s="63">
        <f>IF(J49="TER A",VLOOKUP(AF49,Ter_A,4,TRUE),IF(J49="TER B",VLOOKUP(AF49,Ter_B,4,TRUE),VLOOKUP(AF49,Ter_C,4,TRUE)))</f>
        <v>0</v>
      </c>
      <c r="AH49" s="106">
        <f t="shared" si="8"/>
        <v>0</v>
      </c>
      <c r="AJ49" s="93">
        <f>AI49-AH49</f>
        <v>0</v>
      </c>
      <c r="AL49" s="206"/>
      <c r="AM49" s="207">
        <f>AL49+L49+M49+AE49</f>
        <v>0</v>
      </c>
      <c r="AN49" s="151">
        <f>AM49-AF49</f>
        <v>0</v>
      </c>
    </row>
    <row r="50" spans="2:59" s="52" customFormat="1" ht="13.5" thickBot="1">
      <c r="B50" s="82"/>
      <c r="C50" s="83"/>
      <c r="D50" s="83"/>
      <c r="E50" s="83"/>
      <c r="F50" s="83"/>
      <c r="G50" s="83"/>
      <c r="H50" s="83"/>
      <c r="I50" s="83"/>
      <c r="J50" s="83"/>
      <c r="K50" s="84">
        <f t="shared" ref="K50:AH50" si="11">SUM(K6:K49)</f>
        <v>156624995.70000011</v>
      </c>
      <c r="L50" s="84">
        <f t="shared" si="11"/>
        <v>1315649.9999999998</v>
      </c>
      <c r="M50" s="84">
        <f t="shared" si="11"/>
        <v>6325260</v>
      </c>
      <c r="N50" s="84">
        <f t="shared" si="11"/>
        <v>1365935</v>
      </c>
      <c r="O50" s="84">
        <f t="shared" si="11"/>
        <v>1776000</v>
      </c>
      <c r="P50" s="84">
        <f t="shared" si="11"/>
        <v>68500</v>
      </c>
      <c r="Q50" s="84">
        <f t="shared" si="11"/>
        <v>208080</v>
      </c>
      <c r="R50" s="84">
        <f t="shared" si="11"/>
        <v>0</v>
      </c>
      <c r="S50" s="84">
        <f t="shared" si="11"/>
        <v>226800</v>
      </c>
      <c r="T50" s="84">
        <f t="shared" si="11"/>
        <v>4253850</v>
      </c>
      <c r="U50" s="84">
        <f t="shared" si="11"/>
        <v>321000</v>
      </c>
      <c r="V50" s="84">
        <f t="shared" si="11"/>
        <v>7465649.459999999</v>
      </c>
      <c r="W50" s="84">
        <f t="shared" si="11"/>
        <v>0</v>
      </c>
      <c r="X50" s="84">
        <f t="shared" si="11"/>
        <v>1506500</v>
      </c>
      <c r="Y50" s="84">
        <f t="shared" si="11"/>
        <v>0</v>
      </c>
      <c r="Z50" s="84">
        <f t="shared" si="11"/>
        <v>0</v>
      </c>
      <c r="AA50" s="84">
        <f t="shared" si="11"/>
        <v>0</v>
      </c>
      <c r="AB50" s="84">
        <f t="shared" si="11"/>
        <v>0</v>
      </c>
      <c r="AC50" s="84">
        <f t="shared" si="11"/>
        <v>-4372499.8800000008</v>
      </c>
      <c r="AD50" s="84">
        <f t="shared" si="11"/>
        <v>0</v>
      </c>
      <c r="AE50" s="84">
        <f t="shared" si="11"/>
        <v>0</v>
      </c>
      <c r="AF50" s="84">
        <f t="shared" si="11"/>
        <v>177085694</v>
      </c>
      <c r="AG50" s="84">
        <f t="shared" si="11"/>
        <v>2.5000000000000001E-3</v>
      </c>
      <c r="AH50" s="84">
        <f t="shared" si="11"/>
        <v>13824</v>
      </c>
      <c r="AI50" s="51"/>
      <c r="AJ50" s="51"/>
      <c r="AK50" s="51"/>
      <c r="AL50" s="211">
        <f>SUM(AL6:AL49)</f>
        <v>169444810.28000003</v>
      </c>
      <c r="AM50" s="211">
        <f>SUM(AM6:AM49)</f>
        <v>177085720.28000003</v>
      </c>
      <c r="AN50" s="211"/>
    </row>
    <row r="51" spans="2:59" ht="15" hidden="1" customHeight="1">
      <c r="K51" s="28">
        <v>156867662.36000007</v>
      </c>
      <c r="M51" s="28">
        <v>6325260</v>
      </c>
      <c r="Q51" s="28">
        <f>N50+O50+P50+Q50</f>
        <v>3418515</v>
      </c>
      <c r="S51" s="28">
        <v>253050</v>
      </c>
      <c r="T51" s="28">
        <v>4253850</v>
      </c>
      <c r="U51" s="28">
        <v>321000</v>
      </c>
      <c r="V51" s="28">
        <v>7465649.459999999</v>
      </c>
      <c r="X51" s="28">
        <v>1506500</v>
      </c>
      <c r="AC51" s="28">
        <v>-4372499.8800000008</v>
      </c>
      <c r="AL51" s="232">
        <v>169462635.28</v>
      </c>
    </row>
    <row r="52" spans="2:59" ht="15" hidden="1" customHeight="1">
      <c r="B52" s="51" t="s">
        <v>48</v>
      </c>
      <c r="M52" s="54"/>
      <c r="N52" s="54"/>
      <c r="O52" s="54"/>
      <c r="P52" s="54"/>
      <c r="Q52" s="232">
        <v>3410090</v>
      </c>
      <c r="R52" s="54"/>
      <c r="S52" s="232"/>
      <c r="T52" s="54"/>
      <c r="U52" s="54"/>
      <c r="V52" s="54"/>
    </row>
    <row r="53" spans="2:59" ht="15" hidden="1" customHeight="1">
      <c r="B53" s="27" t="s">
        <v>49</v>
      </c>
      <c r="M53" s="54"/>
      <c r="N53" s="54"/>
      <c r="O53" s="54"/>
      <c r="P53" s="54"/>
      <c r="Q53" s="54"/>
      <c r="R53" s="54"/>
      <c r="S53" s="54"/>
      <c r="T53" s="54"/>
      <c r="U53" s="54"/>
      <c r="V53" s="54"/>
    </row>
    <row r="54" spans="2:59" ht="15" hidden="1" customHeight="1">
      <c r="B54" s="27" t="s">
        <v>57</v>
      </c>
      <c r="M54" s="54"/>
      <c r="N54" s="54"/>
      <c r="O54" s="54"/>
      <c r="P54" s="54"/>
      <c r="Q54" s="54"/>
      <c r="R54" s="54"/>
      <c r="S54" s="54"/>
      <c r="T54" s="54"/>
      <c r="U54" s="54"/>
      <c r="V54" s="54"/>
    </row>
    <row r="55" spans="2:59" ht="15" hidden="1" customHeight="1">
      <c r="B55" s="27" t="s">
        <v>50</v>
      </c>
      <c r="M55" s="54"/>
      <c r="N55" s="54"/>
      <c r="O55" s="54"/>
      <c r="P55" s="54"/>
      <c r="Q55" s="54"/>
      <c r="R55" s="54"/>
      <c r="S55" s="54"/>
      <c r="T55" s="54"/>
      <c r="U55" s="54"/>
      <c r="V55" s="54"/>
    </row>
    <row r="56" spans="2:59" s="31" customFormat="1" ht="15" hidden="1" customHeight="1">
      <c r="B56" s="27" t="s">
        <v>58</v>
      </c>
      <c r="C56" s="28"/>
      <c r="D56" s="194"/>
      <c r="E56" s="29"/>
      <c r="F56" s="28"/>
      <c r="G56" s="30"/>
      <c r="H56" s="195"/>
      <c r="I56" s="195"/>
      <c r="J56" s="195"/>
      <c r="K56" s="28"/>
      <c r="L56" s="28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57"/>
      <c r="AH56" s="28"/>
      <c r="AI56" s="27"/>
      <c r="AJ56" s="27"/>
      <c r="AK56" s="27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</row>
    <row r="57" spans="2:59" s="31" customFormat="1" ht="15" hidden="1" customHeight="1">
      <c r="B57" s="27" t="s">
        <v>51</v>
      </c>
      <c r="C57" s="28"/>
      <c r="D57" s="194"/>
      <c r="E57" s="29"/>
      <c r="F57" s="28"/>
      <c r="G57" s="30"/>
      <c r="H57" s="195"/>
      <c r="I57" s="195"/>
      <c r="J57" s="195"/>
      <c r="K57" s="28"/>
      <c r="L57" s="28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57"/>
      <c r="AH57" s="28"/>
      <c r="AI57" s="27"/>
      <c r="AJ57" s="27"/>
      <c r="AK57" s="27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</row>
    <row r="58" spans="2:59" s="31" customFormat="1" ht="15" hidden="1" customHeight="1">
      <c r="B58" s="27" t="s">
        <v>52</v>
      </c>
      <c r="C58" s="28"/>
      <c r="D58" s="194"/>
      <c r="E58" s="29"/>
      <c r="F58" s="28"/>
      <c r="G58" s="30"/>
      <c r="H58" s="195"/>
      <c r="I58" s="195"/>
      <c r="J58" s="195"/>
      <c r="K58" s="28"/>
      <c r="L58" s="28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57"/>
      <c r="AH58" s="28"/>
      <c r="AI58" s="27"/>
      <c r="AJ58" s="27"/>
      <c r="AK58" s="27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</row>
    <row r="59" spans="2:59" s="31" customFormat="1" ht="15" hidden="1" customHeight="1">
      <c r="B59" s="27" t="s">
        <v>53</v>
      </c>
      <c r="C59" s="28"/>
      <c r="D59" s="194"/>
      <c r="E59" s="29"/>
      <c r="F59" s="28"/>
      <c r="G59" s="30"/>
      <c r="H59" s="195"/>
      <c r="I59" s="195"/>
      <c r="J59" s="195"/>
      <c r="K59" s="28"/>
      <c r="L59" s="28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57"/>
      <c r="AH59" s="28"/>
      <c r="AI59" s="27"/>
      <c r="AJ59" s="27"/>
      <c r="AK59" s="27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</row>
    <row r="60" spans="2:59" s="31" customFormat="1" ht="15" hidden="1" customHeight="1">
      <c r="B60" s="27" t="s">
        <v>59</v>
      </c>
      <c r="C60" s="28"/>
      <c r="D60" s="194"/>
      <c r="E60" s="29"/>
      <c r="F60" s="28"/>
      <c r="G60" s="30"/>
      <c r="H60" s="195"/>
      <c r="I60" s="195"/>
      <c r="J60" s="195"/>
      <c r="K60" s="28"/>
      <c r="L60" s="28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57"/>
      <c r="AH60" s="28"/>
      <c r="AI60" s="27"/>
      <c r="AJ60" s="27"/>
      <c r="AK60" s="27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</row>
    <row r="61" spans="2:59" s="31" customFormat="1" ht="15" hidden="1" customHeight="1">
      <c r="B61" s="27" t="s">
        <v>60</v>
      </c>
      <c r="C61" s="28"/>
      <c r="D61" s="194"/>
      <c r="E61" s="29"/>
      <c r="F61" s="28"/>
      <c r="G61" s="30"/>
      <c r="H61" s="195"/>
      <c r="I61" s="195"/>
      <c r="J61" s="195"/>
      <c r="K61" s="28"/>
      <c r="L61" s="28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57"/>
      <c r="AH61" s="28"/>
      <c r="AI61" s="27"/>
      <c r="AJ61" s="27"/>
      <c r="AK61" s="27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</row>
    <row r="62" spans="2:59" s="31" customFormat="1" ht="15" hidden="1" customHeight="1">
      <c r="B62" s="27" t="s">
        <v>65</v>
      </c>
      <c r="C62" s="28"/>
      <c r="D62" s="194"/>
      <c r="E62" s="29"/>
      <c r="F62" s="28"/>
      <c r="G62" s="30"/>
      <c r="H62" s="195"/>
      <c r="I62" s="195"/>
      <c r="J62" s="195"/>
      <c r="K62" s="28"/>
      <c r="L62" s="28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57"/>
      <c r="AH62" s="28"/>
      <c r="AI62" s="27"/>
      <c r="AJ62" s="27"/>
      <c r="AK62" s="27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</row>
    <row r="63" spans="2:59" s="31" customFormat="1" ht="15" hidden="1" customHeight="1">
      <c r="B63" s="27"/>
      <c r="C63" s="28"/>
      <c r="D63" s="194"/>
      <c r="E63" s="29"/>
      <c r="F63" s="28"/>
      <c r="G63" s="30"/>
      <c r="H63" s="195"/>
      <c r="I63" s="195"/>
      <c r="J63" s="195"/>
      <c r="K63" s="28"/>
      <c r="L63" s="28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57"/>
      <c r="AH63" s="28"/>
      <c r="AI63" s="27"/>
      <c r="AJ63" s="27"/>
      <c r="AK63" s="27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</row>
    <row r="64" spans="2:59" s="31" customFormat="1" ht="15" hidden="1" customHeight="1">
      <c r="B64" s="27"/>
      <c r="C64" s="28"/>
      <c r="D64" s="194"/>
      <c r="E64" s="29"/>
      <c r="F64" s="28"/>
      <c r="G64" s="30"/>
      <c r="H64" s="195"/>
      <c r="I64" s="195"/>
      <c r="J64" s="195"/>
      <c r="K64" s="28"/>
      <c r="L64" s="28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57"/>
      <c r="AH64" s="28"/>
      <c r="AI64" s="27"/>
      <c r="AJ64" s="27"/>
      <c r="AK64" s="27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</row>
    <row r="65" spans="2:59" s="31" customFormat="1" ht="15" hidden="1" customHeight="1">
      <c r="B65" s="27"/>
      <c r="C65" s="28"/>
      <c r="D65" s="194"/>
      <c r="E65" s="29"/>
      <c r="F65" s="28"/>
      <c r="G65" s="30"/>
      <c r="H65" s="195"/>
      <c r="I65" s="195"/>
      <c r="J65" s="195"/>
      <c r="K65" s="28"/>
      <c r="L65" s="28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57"/>
      <c r="AH65" s="28"/>
      <c r="AI65" s="27"/>
      <c r="AJ65" s="27"/>
      <c r="AK65" s="27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</row>
    <row r="66" spans="2:59">
      <c r="M66" s="28">
        <f>[21]TRANSPORT!$AJ$15+[21]HARVESTING!$AS$13+'[21]MAINTENANCE-2'!$AP$48</f>
        <v>6325260</v>
      </c>
      <c r="AF66" s="28">
        <f>AF50-L50-M50</f>
        <v>169444784</v>
      </c>
      <c r="AH66" s="28">
        <f>[21]TRANSPORT!$AQ$15+[21]HARVESTING!$AY$13+'[21]MAINTENANCE-2'!$AV$48</f>
        <v>13824</v>
      </c>
      <c r="AL66" s="232">
        <v>169444810.28</v>
      </c>
    </row>
    <row r="67" spans="2:59">
      <c r="AF67" s="28">
        <f>[21]TRANSPORT!$AE$15+[21]HARVESTING!$AN$13+'[21]MAINTENANCE-2'!$AK$48</f>
        <v>169444810.28</v>
      </c>
      <c r="AL67" s="232"/>
    </row>
    <row r="68" spans="2:59">
      <c r="AF68" s="28">
        <f>AF66-AF67</f>
        <v>-26.280000001192093</v>
      </c>
      <c r="AL68" s="232"/>
    </row>
    <row r="69" spans="2:59">
      <c r="AL69" s="232"/>
    </row>
    <row r="70" spans="2:59">
      <c r="AL70" s="232"/>
    </row>
    <row r="71" spans="2:59">
      <c r="AL71" s="232"/>
    </row>
    <row r="72" spans="2:59">
      <c r="AL72" s="232"/>
    </row>
    <row r="73" spans="2:59">
      <c r="AL73" s="232"/>
    </row>
    <row r="74" spans="2:59">
      <c r="AL74" s="232"/>
    </row>
    <row r="75" spans="2:59">
      <c r="AL75" s="232"/>
    </row>
    <row r="76" spans="2:59" ht="18">
      <c r="C76" s="214" t="s">
        <v>378</v>
      </c>
      <c r="Z76" s="215"/>
      <c r="AA76" s="215"/>
      <c r="AB76" s="215"/>
      <c r="AC76" s="601" t="s">
        <v>379</v>
      </c>
      <c r="AD76" s="601"/>
      <c r="AE76" s="601"/>
      <c r="AF76" s="601"/>
    </row>
    <row r="77" spans="2:59" ht="20.25" customHeight="1">
      <c r="C77" s="214"/>
      <c r="Z77" s="215"/>
      <c r="AA77" s="215"/>
      <c r="AB77" s="215"/>
      <c r="AC77" s="216"/>
      <c r="AD77" s="216"/>
      <c r="AE77" s="216"/>
    </row>
    <row r="78" spans="2:59" ht="20.25" customHeight="1">
      <c r="C78" s="214"/>
      <c r="Z78" s="215"/>
      <c r="AA78" s="215"/>
      <c r="AB78" s="215"/>
      <c r="AC78" s="216"/>
      <c r="AD78" s="216"/>
      <c r="AE78" s="216"/>
    </row>
    <row r="79" spans="2:59" ht="20.25" hidden="1" customHeight="1">
      <c r="C79" s="214"/>
      <c r="Z79" s="215"/>
      <c r="AA79" s="215"/>
      <c r="AB79" s="215"/>
      <c r="AC79" s="216"/>
      <c r="AD79" s="216"/>
      <c r="AE79" s="216"/>
    </row>
    <row r="80" spans="2:59" ht="20.25" hidden="1" customHeight="1">
      <c r="C80" s="214"/>
      <c r="Z80" s="215"/>
      <c r="AA80" s="215"/>
      <c r="AB80" s="215"/>
      <c r="AC80" s="216"/>
      <c r="AD80" s="216"/>
      <c r="AE80" s="216"/>
    </row>
    <row r="81" spans="1:59" s="57" customFormat="1" ht="20.25" customHeight="1">
      <c r="A81" s="53"/>
      <c r="B81" s="27"/>
      <c r="C81" s="214"/>
      <c r="D81" s="194"/>
      <c r="E81" s="29"/>
      <c r="F81" s="28"/>
      <c r="G81" s="30"/>
      <c r="H81" s="195"/>
      <c r="I81" s="195"/>
      <c r="J81" s="195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15"/>
      <c r="AA81" s="215"/>
      <c r="AB81" s="215"/>
      <c r="AC81" s="216"/>
      <c r="AD81" s="216"/>
      <c r="AE81" s="216"/>
      <c r="AF81" s="28"/>
      <c r="AH81" s="28"/>
      <c r="AI81" s="27"/>
      <c r="AJ81" s="27"/>
      <c r="AK81" s="27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</row>
    <row r="82" spans="1:59" s="57" customFormat="1" ht="20.25">
      <c r="A82" s="53"/>
      <c r="B82" s="27"/>
      <c r="C82" s="217" t="s">
        <v>380</v>
      </c>
      <c r="D82" s="194"/>
      <c r="E82" s="29"/>
      <c r="F82" s="28"/>
      <c r="G82" s="30"/>
      <c r="H82" s="195"/>
      <c r="I82" s="195"/>
      <c r="J82" s="195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18"/>
      <c r="AB82" s="218"/>
      <c r="AC82" s="602" t="s">
        <v>381</v>
      </c>
      <c r="AD82" s="602"/>
      <c r="AE82" s="602"/>
      <c r="AF82" s="602"/>
      <c r="AH82" s="28"/>
      <c r="AI82" s="27"/>
      <c r="AJ82" s="27"/>
      <c r="AK82" s="27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</row>
    <row r="83" spans="1:59" s="57" customFormat="1" ht="18">
      <c r="A83" s="53"/>
      <c r="B83" s="27"/>
      <c r="C83" s="214" t="s">
        <v>382</v>
      </c>
      <c r="D83" s="194"/>
      <c r="E83" s="29"/>
      <c r="F83" s="28"/>
      <c r="G83" s="30"/>
      <c r="H83" s="195"/>
      <c r="I83" s="195"/>
      <c r="J83" s="195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15"/>
      <c r="AB83" s="215"/>
      <c r="AC83" s="601" t="s">
        <v>383</v>
      </c>
      <c r="AD83" s="601"/>
      <c r="AE83" s="601"/>
      <c r="AF83" s="601"/>
      <c r="AH83" s="28"/>
      <c r="AI83" s="27"/>
      <c r="AJ83" s="27"/>
      <c r="AK83" s="27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</row>
    <row r="97" spans="1:59" s="28" customFormat="1" ht="13.5" thickBot="1">
      <c r="A97" s="53"/>
      <c r="B97" s="27"/>
      <c r="D97" s="194"/>
      <c r="E97" s="29"/>
      <c r="G97" s="30"/>
      <c r="H97" s="195"/>
      <c r="I97" s="195"/>
      <c r="J97" s="195"/>
      <c r="AG97" s="57"/>
      <c r="AI97" s="27"/>
      <c r="AJ97" s="27"/>
      <c r="AK97" s="27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</row>
    <row r="98" spans="1:59" s="28" customFormat="1" ht="26.25" thickBot="1">
      <c r="A98" s="53"/>
      <c r="B98" s="27"/>
      <c r="C98" s="191" t="s">
        <v>25</v>
      </c>
      <c r="D98" s="192" t="s">
        <v>26</v>
      </c>
      <c r="E98" s="193" t="s">
        <v>27</v>
      </c>
      <c r="F98" s="191" t="s">
        <v>28</v>
      </c>
      <c r="G98" s="190" t="s">
        <v>29</v>
      </c>
      <c r="H98" s="80" t="s">
        <v>37</v>
      </c>
      <c r="I98" s="81" t="s">
        <v>6</v>
      </c>
      <c r="J98" s="81" t="s">
        <v>15</v>
      </c>
      <c r="AG98" s="57"/>
      <c r="AI98" s="27"/>
      <c r="AJ98" s="27"/>
      <c r="AK98" s="27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</row>
    <row r="99" spans="1:59" s="28" customFormat="1">
      <c r="A99" s="53"/>
      <c r="B99" s="27"/>
      <c r="C99" s="98" t="s">
        <v>365</v>
      </c>
      <c r="D99" s="42" t="s">
        <v>366</v>
      </c>
      <c r="E99" s="43" t="s">
        <v>367</v>
      </c>
      <c r="F99" s="41" t="s">
        <v>368</v>
      </c>
      <c r="G99" s="107" t="s">
        <v>88</v>
      </c>
      <c r="H99" s="44" t="s">
        <v>369</v>
      </c>
      <c r="I99" s="45" t="s">
        <v>11</v>
      </c>
      <c r="J99" s="58" t="str">
        <f t="shared" ref="J99" si="12">IF(ISBLANK(I99),"",IF(OR(I99="TK/0",I99="TK/1",I99="K/0"),"TER A",IF(I99="K/3","TER C","TER B")))</f>
        <v>TER B</v>
      </c>
      <c r="AG99" s="57"/>
      <c r="AI99" s="27"/>
      <c r="AJ99" s="27"/>
      <c r="AK99" s="27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</row>
    <row r="101" spans="1:59" s="28" customFormat="1">
      <c r="A101" s="53"/>
      <c r="B101" s="27"/>
      <c r="C101" s="28" t="s">
        <v>420</v>
      </c>
      <c r="D101" s="194"/>
      <c r="E101" s="29"/>
      <c r="G101" s="30"/>
      <c r="H101" s="195"/>
      <c r="I101" s="195"/>
      <c r="J101" s="195"/>
      <c r="AG101" s="57"/>
      <c r="AI101" s="27"/>
      <c r="AJ101" s="27"/>
      <c r="AK101" s="27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</row>
  </sheetData>
  <mergeCells count="3">
    <mergeCell ref="AC76:AF76"/>
    <mergeCell ref="AC82:AF82"/>
    <mergeCell ref="AC83:AF83"/>
  </mergeCells>
  <dataValidations count="2">
    <dataValidation type="list" allowBlank="1" showInputMessage="1" showErrorMessage="1" sqref="H99 H6:H49">
      <formula1>"L,P"</formula1>
    </dataValidation>
    <dataValidation type="list" allowBlank="1" showInputMessage="1" showErrorMessage="1" sqref="I99 I6:I49">
      <formula1>"TK/0,TK/1,TK/2,TK/3,K/0,K/1,K/2,K/3"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99"/>
  <sheetViews>
    <sheetView topLeftCell="K1" zoomScale="67" zoomScaleNormal="67" workbookViewId="0">
      <selection activeCell="AO7" sqref="AO7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" style="28" customWidth="1"/>
    <col min="4" max="4" width="18.5703125" style="194" customWidth="1" outlineLevel="1"/>
    <col min="5" max="5" width="19.42578125" style="29" customWidth="1" outlineLevel="1"/>
    <col min="6" max="6" width="48.28515625" style="28" customWidth="1" outlineLevel="1"/>
    <col min="7" max="7" width="25.140625" style="30" customWidth="1" outlineLevel="1"/>
    <col min="8" max="8" width="6" style="195" customWidth="1" outlineLevel="1"/>
    <col min="9" max="9" width="6.7109375" style="195" customWidth="1" outlineLevel="1"/>
    <col min="10" max="10" width="10.85546875" style="195" customWidth="1" outlineLevel="1"/>
    <col min="11" max="11" width="14.140625" style="28" customWidth="1"/>
    <col min="12" max="12" width="11.7109375" style="28" customWidth="1"/>
    <col min="13" max="13" width="12.7109375" style="28" customWidth="1"/>
    <col min="14" max="14" width="12" style="28" customWidth="1"/>
    <col min="15" max="15" width="11.42578125" style="28" customWidth="1"/>
    <col min="16" max="16" width="12" style="28" customWidth="1"/>
    <col min="17" max="17" width="11" style="28" customWidth="1"/>
    <col min="18" max="18" width="8.28515625" style="28" customWidth="1"/>
    <col min="19" max="20" width="12" style="28" customWidth="1"/>
    <col min="21" max="21" width="10.140625" style="28" customWidth="1"/>
    <col min="22" max="22" width="11.28515625" style="28" customWidth="1"/>
    <col min="23" max="23" width="9.85546875" style="28" customWidth="1"/>
    <col min="24" max="24" width="12.7109375" style="28" customWidth="1"/>
    <col min="25" max="25" width="11.42578125" style="28" customWidth="1"/>
    <col min="26" max="26" width="9" style="28" customWidth="1"/>
    <col min="27" max="28" width="12.7109375" style="28" hidden="1" customWidth="1"/>
    <col min="29" max="29" width="15.7109375" style="28" customWidth="1"/>
    <col min="30" max="30" width="7" style="28" customWidth="1"/>
    <col min="31" max="31" width="8" style="28" customWidth="1"/>
    <col min="32" max="32" width="13.5703125" style="28" customWidth="1" collapsed="1"/>
    <col min="33" max="33" width="7.7109375" style="57" customWidth="1"/>
    <col min="34" max="34" width="10.85546875" style="28" customWidth="1"/>
    <col min="35" max="35" width="10.7109375" style="27" hidden="1" customWidth="1"/>
    <col min="36" max="36" width="13" style="27" hidden="1" customWidth="1"/>
    <col min="37" max="37" width="0" style="27" hidden="1" customWidth="1"/>
    <col min="38" max="38" width="13.85546875" style="53" bestFit="1" customWidth="1"/>
    <col min="39" max="39" width="14" style="53" bestFit="1" customWidth="1"/>
    <col min="40" max="40" width="11.5703125" style="53" bestFit="1" customWidth="1"/>
    <col min="41" max="41" width="12.42578125" style="53" customWidth="1"/>
    <col min="42" max="16384" width="9.28515625" style="53"/>
  </cols>
  <sheetData>
    <row r="1" spans="2:41">
      <c r="B1" s="27" t="s">
        <v>71</v>
      </c>
      <c r="AI1" s="53"/>
      <c r="AJ1" s="53"/>
      <c r="AK1" s="53"/>
    </row>
    <row r="2" spans="2:41">
      <c r="B2" s="27" t="s">
        <v>182</v>
      </c>
      <c r="AI2" s="53"/>
      <c r="AJ2" s="53"/>
      <c r="AK2" s="53"/>
    </row>
    <row r="3" spans="2:41">
      <c r="B3" s="27" t="s">
        <v>326</v>
      </c>
      <c r="AI3" s="53"/>
      <c r="AJ3" s="53"/>
      <c r="AK3" s="53"/>
    </row>
    <row r="4" spans="2:41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/>
      <c r="R4" s="28"/>
      <c r="S4" s="28"/>
      <c r="T4" s="28" t="s">
        <v>327</v>
      </c>
      <c r="U4" s="28" t="s">
        <v>328</v>
      </c>
      <c r="V4" s="28" t="s">
        <v>329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57"/>
      <c r="AH4" s="28"/>
    </row>
    <row r="5" spans="2:41" s="27" customFormat="1" ht="51.75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89" t="s">
        <v>67</v>
      </c>
      <c r="M5" s="188" t="s">
        <v>68</v>
      </c>
      <c r="N5" s="189" t="s">
        <v>385</v>
      </c>
      <c r="O5" s="189" t="s">
        <v>386</v>
      </c>
      <c r="P5" s="189" t="s">
        <v>387</v>
      </c>
      <c r="Q5" s="189" t="s">
        <v>388</v>
      </c>
      <c r="R5" s="188" t="s">
        <v>331</v>
      </c>
      <c r="S5" s="188" t="s">
        <v>332</v>
      </c>
      <c r="T5" s="189" t="s">
        <v>76</v>
      </c>
      <c r="U5" s="189" t="s">
        <v>77</v>
      </c>
      <c r="V5" s="189" t="s">
        <v>81</v>
      </c>
      <c r="W5" s="189" t="s">
        <v>333</v>
      </c>
      <c r="X5" s="188" t="s">
        <v>82</v>
      </c>
      <c r="Y5" s="188" t="s">
        <v>334</v>
      </c>
      <c r="Z5" s="188" t="s">
        <v>335</v>
      </c>
      <c r="AA5" s="188" t="s">
        <v>84</v>
      </c>
      <c r="AB5" s="188" t="s">
        <v>85</v>
      </c>
      <c r="AC5" s="188" t="s">
        <v>336</v>
      </c>
      <c r="AD5" s="188" t="s">
        <v>79</v>
      </c>
      <c r="AE5" s="188" t="s">
        <v>80</v>
      </c>
      <c r="AF5" s="188" t="s">
        <v>41</v>
      </c>
      <c r="AG5" s="102" t="s">
        <v>42</v>
      </c>
      <c r="AH5" s="103" t="s">
        <v>43</v>
      </c>
      <c r="AI5" s="188" t="s">
        <v>69</v>
      </c>
      <c r="AJ5" s="103" t="s">
        <v>70</v>
      </c>
      <c r="AK5" s="103" t="s">
        <v>337</v>
      </c>
    </row>
    <row r="6" spans="2:41" s="27" customFormat="1">
      <c r="B6" s="34">
        <v>1</v>
      </c>
      <c r="C6" s="35" t="s">
        <v>221</v>
      </c>
      <c r="D6" s="204" t="s">
        <v>222</v>
      </c>
      <c r="E6" s="36" t="s">
        <v>338</v>
      </c>
      <c r="F6" s="35" t="s">
        <v>223</v>
      </c>
      <c r="G6" s="205" t="s">
        <v>391</v>
      </c>
      <c r="H6" s="37" t="s">
        <v>39</v>
      </c>
      <c r="I6" s="38" t="s">
        <v>7</v>
      </c>
      <c r="J6" s="55" t="str">
        <f>IF(ISBLANK(I6),"",IF(OR(I6="TK/0",I6="TK/1",I6="K/0"),"TER A",IF(I6="K/3","TER C","TER B")))</f>
        <v>TER A</v>
      </c>
      <c r="K6" s="59">
        <v>3792333.23</v>
      </c>
      <c r="L6" s="39">
        <f>3670000*0.84%</f>
        <v>30827.999999999996</v>
      </c>
      <c r="M6" s="101">
        <f>'[22]MAINTENANCE-2'!AP11</f>
        <v>148680</v>
      </c>
      <c r="N6" s="119"/>
      <c r="O6" s="119"/>
      <c r="P6" s="119"/>
      <c r="Q6" s="39"/>
      <c r="R6" s="101"/>
      <c r="S6" s="101"/>
      <c r="T6" s="39">
        <f>'[22]MAINTENANCE-2'!X11</f>
        <v>65250</v>
      </c>
      <c r="U6" s="39">
        <f>'[22]MAINTENANCE-2'!AA11</f>
        <v>69000</v>
      </c>
      <c r="V6" s="39">
        <v>159104.04999999999</v>
      </c>
      <c r="W6" s="39"/>
      <c r="X6" s="39">
        <f>'[22]MAINTENANCE-2'!AC11</f>
        <v>47000</v>
      </c>
      <c r="Y6" s="101"/>
      <c r="Z6" s="101"/>
      <c r="AA6" s="101"/>
      <c r="AB6" s="101"/>
      <c r="AC6" s="229">
        <v>-244666.66</v>
      </c>
      <c r="AD6" s="39"/>
      <c r="AE6" s="39"/>
      <c r="AF6" s="104">
        <f>ROUNDDOWN(SUM(K6:AE6),0)</f>
        <v>4067528</v>
      </c>
      <c r="AG6" s="105">
        <f t="shared" ref="AG6:AG42" si="0">IF(J6="TER A",VLOOKUP(AF6,Ter_A,4,TRUE),IF(J6="TER B",VLOOKUP(AF6,Ter_B,4,TRUE),VLOOKUP(AF6,Ter_C,4,TRUE)))</f>
        <v>0</v>
      </c>
      <c r="AH6" s="106">
        <f>ROUNDDOWN(IF(E6=0,AF6*AG6*120%,AF6*AG6),0)</f>
        <v>0</v>
      </c>
      <c r="AJ6" s="93">
        <f>AI6-AH6</f>
        <v>0</v>
      </c>
      <c r="AL6" s="206">
        <v>3888020.6199999996</v>
      </c>
      <c r="AM6" s="207">
        <f>AL6+L6+M6+AE6</f>
        <v>4067528.6199999996</v>
      </c>
      <c r="AN6" s="151">
        <f>AM6-AF6</f>
        <v>0.61999999964609742</v>
      </c>
      <c r="AO6" s="93">
        <f>SUM(N6:AC6)</f>
        <v>95687.389999999985</v>
      </c>
    </row>
    <row r="7" spans="2:41" s="27" customFormat="1">
      <c r="B7" s="97">
        <v>2</v>
      </c>
      <c r="C7" s="98" t="s">
        <v>224</v>
      </c>
      <c r="D7" s="208" t="s">
        <v>225</v>
      </c>
      <c r="E7" s="209" t="s">
        <v>73</v>
      </c>
      <c r="F7" s="98" t="s">
        <v>226</v>
      </c>
      <c r="G7" s="107" t="s">
        <v>340</v>
      </c>
      <c r="H7" s="99" t="s">
        <v>38</v>
      </c>
      <c r="I7" s="100" t="s">
        <v>7</v>
      </c>
      <c r="J7" s="58" t="str">
        <f t="shared" ref="J7:J51" si="1">IF(ISBLANK(I7),"",IF(OR(I7="TK/0",I7="TK/1",I7="K/0"),"TER A",IF(I7="K/3","TER C","TER B")))</f>
        <v>TER A</v>
      </c>
      <c r="K7" s="210">
        <v>3761333.23</v>
      </c>
      <c r="L7" s="101">
        <f>3640000*0.84%</f>
        <v>30575.999999999996</v>
      </c>
      <c r="M7" s="101">
        <f>'[22]MAINTENANCE-2'!AP12</f>
        <v>146200</v>
      </c>
      <c r="N7" s="101"/>
      <c r="O7" s="101"/>
      <c r="P7" s="101"/>
      <c r="Q7" s="101"/>
      <c r="R7" s="101"/>
      <c r="S7" s="101"/>
      <c r="T7" s="101">
        <f>'[22]MAINTENANCE-2'!X12</f>
        <v>69750</v>
      </c>
      <c r="U7" s="101">
        <f>'[22]MAINTENANCE-2'!AA12</f>
        <v>46000</v>
      </c>
      <c r="V7" s="101">
        <v>1620115.42</v>
      </c>
      <c r="W7" s="101"/>
      <c r="X7" s="46">
        <f>'[22]MAINTENANCE-2'!AC12</f>
        <v>15000</v>
      </c>
      <c r="Y7" s="101"/>
      <c r="Z7" s="101"/>
      <c r="AA7" s="101"/>
      <c r="AB7" s="101"/>
      <c r="AC7" s="230">
        <v>0</v>
      </c>
      <c r="AD7" s="101"/>
      <c r="AE7" s="101"/>
      <c r="AF7" s="62">
        <f>ROUNDDOWN(SUM(K7:AE7),0)</f>
        <v>5688974</v>
      </c>
      <c r="AG7" s="63">
        <f t="shared" si="0"/>
        <v>5.0000000000000001E-3</v>
      </c>
      <c r="AH7" s="106">
        <f>ROUNDDOWN(IF(E7=0,AF7*AG7*120%,AF7*AG7),0)</f>
        <v>28444</v>
      </c>
      <c r="AJ7" s="93">
        <f t="shared" ref="AJ7:AJ48" si="2">AI7-AH7</f>
        <v>-28444</v>
      </c>
      <c r="AL7" s="206">
        <v>5512198.6500000004</v>
      </c>
      <c r="AM7" s="207">
        <f t="shared" ref="AM7:AM51" si="3">AL7+L7+M7+AE7</f>
        <v>5688974.6500000004</v>
      </c>
      <c r="AN7" s="151">
        <f t="shared" ref="AN7:AN47" si="4">AM7-AF7</f>
        <v>0.65000000037252903</v>
      </c>
      <c r="AO7" s="93">
        <f t="shared" ref="AO7:AO52" si="5">SUM(N7:AC7)</f>
        <v>1750865.42</v>
      </c>
    </row>
    <row r="8" spans="2:41" s="27" customFormat="1">
      <c r="B8" s="97">
        <v>3</v>
      </c>
      <c r="C8" s="98" t="s">
        <v>227</v>
      </c>
      <c r="D8" s="208" t="s">
        <v>228</v>
      </c>
      <c r="E8" s="209" t="s">
        <v>341</v>
      </c>
      <c r="F8" s="98" t="s">
        <v>229</v>
      </c>
      <c r="G8" s="107" t="s">
        <v>88</v>
      </c>
      <c r="H8" s="99" t="s">
        <v>39</v>
      </c>
      <c r="I8" s="100" t="s">
        <v>7</v>
      </c>
      <c r="J8" s="58" t="str">
        <f t="shared" si="1"/>
        <v>TER A</v>
      </c>
      <c r="K8" s="210">
        <v>3761333.23</v>
      </c>
      <c r="L8" s="101">
        <f t="shared" ref="L8:L52" si="6">3640000*0.84%</f>
        <v>30575.999999999996</v>
      </c>
      <c r="M8" s="101">
        <f>'[22]MAINTENANCE-2'!AP13</f>
        <v>147480</v>
      </c>
      <c r="N8" s="101"/>
      <c r="O8" s="101"/>
      <c r="P8" s="101"/>
      <c r="Q8" s="101"/>
      <c r="R8" s="101"/>
      <c r="S8" s="101"/>
      <c r="T8" s="101">
        <f>'[22]MAINTENANCE-2'!X13</f>
        <v>67500</v>
      </c>
      <c r="U8" s="101"/>
      <c r="V8" s="101">
        <v>105202.2</v>
      </c>
      <c r="W8" s="101"/>
      <c r="X8" s="46">
        <f>'[22]MAINTENANCE-2'!AC13</f>
        <v>47000</v>
      </c>
      <c r="Y8" s="101"/>
      <c r="Z8" s="101"/>
      <c r="AA8" s="101"/>
      <c r="AB8" s="101"/>
      <c r="AC8" s="230">
        <v>-121333.33</v>
      </c>
      <c r="AD8" s="101"/>
      <c r="AE8" s="101"/>
      <c r="AF8" s="62">
        <f t="shared" ref="AF8:AF52" si="7">ROUNDDOWN(SUM(K8:AE8),0)</f>
        <v>4037758</v>
      </c>
      <c r="AG8" s="63">
        <f t="shared" si="0"/>
        <v>0</v>
      </c>
      <c r="AH8" s="106">
        <f t="shared" ref="AH8:AH52" si="8">ROUNDDOWN(IF(E8=0,AF8*AG8*120%,AF8*AG8),0)</f>
        <v>0</v>
      </c>
      <c r="AJ8" s="93">
        <f t="shared" si="2"/>
        <v>0</v>
      </c>
      <c r="AL8" s="206">
        <v>3859702.1</v>
      </c>
      <c r="AM8" s="207">
        <f t="shared" si="3"/>
        <v>4037758.1</v>
      </c>
      <c r="AN8" s="151">
        <f t="shared" si="4"/>
        <v>0.10000000009313226</v>
      </c>
      <c r="AO8" s="93">
        <f t="shared" si="5"/>
        <v>98368.87000000001</v>
      </c>
    </row>
    <row r="9" spans="2:41" s="27" customFormat="1">
      <c r="B9" s="97">
        <v>4</v>
      </c>
      <c r="C9" s="98" t="s">
        <v>230</v>
      </c>
      <c r="D9" s="208" t="s">
        <v>231</v>
      </c>
      <c r="E9" s="209" t="s">
        <v>73</v>
      </c>
      <c r="F9" s="98" t="s">
        <v>232</v>
      </c>
      <c r="G9" s="107" t="s">
        <v>88</v>
      </c>
      <c r="H9" s="99" t="s">
        <v>39</v>
      </c>
      <c r="I9" s="100" t="s">
        <v>9</v>
      </c>
      <c r="J9" s="58" t="str">
        <f t="shared" si="1"/>
        <v>TER B</v>
      </c>
      <c r="K9" s="210">
        <v>3761333.23</v>
      </c>
      <c r="L9" s="101">
        <f t="shared" si="6"/>
        <v>30575.999999999996</v>
      </c>
      <c r="M9" s="101">
        <f>'[22]MAINTENANCE-2'!AP14</f>
        <v>146680</v>
      </c>
      <c r="N9" s="101"/>
      <c r="O9" s="101"/>
      <c r="P9" s="101"/>
      <c r="Q9" s="101"/>
      <c r="R9" s="101"/>
      <c r="S9" s="101"/>
      <c r="T9" s="101">
        <f>'[22]MAINTENANCE-2'!X14</f>
        <v>130500</v>
      </c>
      <c r="U9" s="101"/>
      <c r="V9" s="101"/>
      <c r="W9" s="101"/>
      <c r="X9" s="46">
        <f>'[22]MAINTENANCE-2'!AC14</f>
        <v>27000</v>
      </c>
      <c r="Y9" s="101"/>
      <c r="Z9" s="101"/>
      <c r="AA9" s="101"/>
      <c r="AB9" s="101"/>
      <c r="AC9" s="230">
        <v>-242666.66</v>
      </c>
      <c r="AD9" s="101"/>
      <c r="AE9" s="101"/>
      <c r="AF9" s="62">
        <f t="shared" si="7"/>
        <v>3853422</v>
      </c>
      <c r="AG9" s="63">
        <f t="shared" si="0"/>
        <v>0</v>
      </c>
      <c r="AH9" s="106">
        <f t="shared" si="8"/>
        <v>0</v>
      </c>
      <c r="AJ9" s="93">
        <f t="shared" si="2"/>
        <v>0</v>
      </c>
      <c r="AL9" s="206">
        <v>3676166.57</v>
      </c>
      <c r="AM9" s="207">
        <f t="shared" si="3"/>
        <v>3853422.57</v>
      </c>
      <c r="AN9" s="151">
        <f t="shared" si="4"/>
        <v>0.56999999983236194</v>
      </c>
      <c r="AO9" s="93">
        <f t="shared" si="5"/>
        <v>-85166.66</v>
      </c>
    </row>
    <row r="10" spans="2:41" s="27" customFormat="1">
      <c r="B10" s="97">
        <v>5</v>
      </c>
      <c r="C10" s="98" t="s">
        <v>233</v>
      </c>
      <c r="D10" s="208" t="s">
        <v>234</v>
      </c>
      <c r="E10" s="209" t="s">
        <v>342</v>
      </c>
      <c r="F10" s="98" t="s">
        <v>235</v>
      </c>
      <c r="G10" s="107" t="s">
        <v>88</v>
      </c>
      <c r="H10" s="99" t="s">
        <v>38</v>
      </c>
      <c r="I10" s="100" t="s">
        <v>7</v>
      </c>
      <c r="J10" s="58" t="str">
        <f t="shared" si="1"/>
        <v>TER A</v>
      </c>
      <c r="K10" s="210">
        <v>3761333.23</v>
      </c>
      <c r="L10" s="101">
        <f t="shared" si="6"/>
        <v>30575.999999999996</v>
      </c>
      <c r="M10" s="101">
        <f>'[22]MAINTENANCE-2'!AP15</f>
        <v>147620</v>
      </c>
      <c r="N10" s="101"/>
      <c r="O10" s="101"/>
      <c r="P10" s="101"/>
      <c r="Q10" s="101"/>
      <c r="R10" s="101"/>
      <c r="S10" s="101"/>
      <c r="T10" s="101">
        <f>'[22]MAINTENANCE-2'!X15</f>
        <v>69750</v>
      </c>
      <c r="U10" s="101"/>
      <c r="V10" s="101"/>
      <c r="W10" s="101"/>
      <c r="X10" s="46">
        <f>'[22]MAINTENANCE-2'!AC15</f>
        <v>50500</v>
      </c>
      <c r="Y10" s="101"/>
      <c r="Z10" s="101"/>
      <c r="AA10" s="101"/>
      <c r="AB10" s="101"/>
      <c r="AC10" s="230">
        <v>0</v>
      </c>
      <c r="AD10" s="101"/>
      <c r="AE10" s="101"/>
      <c r="AF10" s="62">
        <f t="shared" si="7"/>
        <v>4059779</v>
      </c>
      <c r="AG10" s="63">
        <f t="shared" si="0"/>
        <v>0</v>
      </c>
      <c r="AH10" s="106">
        <f t="shared" si="8"/>
        <v>0</v>
      </c>
      <c r="AJ10" s="93">
        <f t="shared" si="2"/>
        <v>0</v>
      </c>
      <c r="AL10" s="206">
        <v>3881583.23</v>
      </c>
      <c r="AM10" s="207">
        <f t="shared" si="3"/>
        <v>4059779.23</v>
      </c>
      <c r="AN10" s="151">
        <f t="shared" si="4"/>
        <v>0.22999999998137355</v>
      </c>
      <c r="AO10" s="93">
        <f t="shared" si="5"/>
        <v>120250</v>
      </c>
    </row>
    <row r="11" spans="2:41" s="27" customFormat="1">
      <c r="B11" s="97">
        <v>6</v>
      </c>
      <c r="C11" s="98" t="s">
        <v>236</v>
      </c>
      <c r="D11" s="208" t="s">
        <v>237</v>
      </c>
      <c r="E11" s="209" t="s">
        <v>343</v>
      </c>
      <c r="F11" s="98" t="s">
        <v>238</v>
      </c>
      <c r="G11" s="107" t="s">
        <v>88</v>
      </c>
      <c r="H11" s="99" t="s">
        <v>38</v>
      </c>
      <c r="I11" s="100" t="s">
        <v>7</v>
      </c>
      <c r="J11" s="58" t="str">
        <f t="shared" si="1"/>
        <v>TER A</v>
      </c>
      <c r="K11" s="210">
        <v>3761333.23</v>
      </c>
      <c r="L11" s="101">
        <f t="shared" si="6"/>
        <v>30575.999999999996</v>
      </c>
      <c r="M11" s="101">
        <f>'[22]MAINTENANCE-2'!AP16</f>
        <v>147620</v>
      </c>
      <c r="N11" s="101"/>
      <c r="O11" s="101"/>
      <c r="P11" s="101"/>
      <c r="Q11" s="101"/>
      <c r="R11" s="101"/>
      <c r="S11" s="101"/>
      <c r="T11" s="101">
        <f>'[22]MAINTENANCE-2'!X16</f>
        <v>67500</v>
      </c>
      <c r="U11" s="101"/>
      <c r="V11" s="101"/>
      <c r="W11" s="101"/>
      <c r="X11" s="46">
        <f>'[22]MAINTENANCE-2'!AC16</f>
        <v>50500</v>
      </c>
      <c r="Y11" s="101"/>
      <c r="Z11" s="101"/>
      <c r="AA11" s="101"/>
      <c r="AB11" s="101"/>
      <c r="AC11" s="230">
        <v>-121333.33</v>
      </c>
      <c r="AD11" s="101"/>
      <c r="AE11" s="101"/>
      <c r="AF11" s="62">
        <f t="shared" si="7"/>
        <v>3936195</v>
      </c>
      <c r="AG11" s="63">
        <f t="shared" si="0"/>
        <v>0</v>
      </c>
      <c r="AH11" s="106">
        <f t="shared" si="8"/>
        <v>0</v>
      </c>
      <c r="AJ11" s="93">
        <f t="shared" si="2"/>
        <v>0</v>
      </c>
      <c r="AL11" s="206">
        <v>3757999.9000000004</v>
      </c>
      <c r="AM11" s="207">
        <f t="shared" si="3"/>
        <v>3936195.9000000004</v>
      </c>
      <c r="AN11" s="151">
        <f t="shared" si="4"/>
        <v>0.90000000037252903</v>
      </c>
      <c r="AO11" s="93">
        <f t="shared" si="5"/>
        <v>-3333.3300000000017</v>
      </c>
    </row>
    <row r="12" spans="2:41" s="27" customFormat="1">
      <c r="B12" s="97">
        <v>7</v>
      </c>
      <c r="C12" s="98" t="s">
        <v>239</v>
      </c>
      <c r="D12" s="208" t="s">
        <v>240</v>
      </c>
      <c r="E12" s="209" t="s">
        <v>344</v>
      </c>
      <c r="F12" s="98" t="s">
        <v>241</v>
      </c>
      <c r="G12" s="107" t="s">
        <v>88</v>
      </c>
      <c r="H12" s="99" t="s">
        <v>38</v>
      </c>
      <c r="I12" s="100" t="s">
        <v>7</v>
      </c>
      <c r="J12" s="58" t="str">
        <f t="shared" si="1"/>
        <v>TER A</v>
      </c>
      <c r="K12" s="210">
        <v>3761333.23</v>
      </c>
      <c r="L12" s="101">
        <f t="shared" si="6"/>
        <v>30575.999999999996</v>
      </c>
      <c r="M12" s="101">
        <f>'[22]MAINTENANCE-2'!AP17</f>
        <v>147480</v>
      </c>
      <c r="N12" s="101"/>
      <c r="O12" s="101"/>
      <c r="P12" s="101"/>
      <c r="Q12" s="101"/>
      <c r="R12" s="101"/>
      <c r="S12" s="101"/>
      <c r="T12" s="101">
        <f>'[22]MAINTENANCE-2'!X17</f>
        <v>69750</v>
      </c>
      <c r="U12" s="101"/>
      <c r="V12" s="101"/>
      <c r="W12" s="101"/>
      <c r="X12" s="46">
        <f>'[22]MAINTENANCE-2'!AC17</f>
        <v>47000</v>
      </c>
      <c r="Y12" s="101"/>
      <c r="Z12" s="101"/>
      <c r="AA12" s="101"/>
      <c r="AB12" s="101"/>
      <c r="AC12" s="230">
        <v>0</v>
      </c>
      <c r="AD12" s="101"/>
      <c r="AE12" s="101"/>
      <c r="AF12" s="62">
        <f t="shared" si="7"/>
        <v>4056139</v>
      </c>
      <c r="AG12" s="63">
        <f t="shared" si="0"/>
        <v>0</v>
      </c>
      <c r="AH12" s="106">
        <f t="shared" si="8"/>
        <v>0</v>
      </c>
      <c r="AJ12" s="93">
        <f t="shared" si="2"/>
        <v>0</v>
      </c>
      <c r="AL12" s="206">
        <v>3878083.23</v>
      </c>
      <c r="AM12" s="207">
        <f t="shared" si="3"/>
        <v>4056139.23</v>
      </c>
      <c r="AN12" s="151">
        <f t="shared" si="4"/>
        <v>0.22999999998137355</v>
      </c>
      <c r="AO12" s="93">
        <f t="shared" si="5"/>
        <v>116750</v>
      </c>
    </row>
    <row r="13" spans="2:41" s="27" customFormat="1">
      <c r="B13" s="97">
        <v>8</v>
      </c>
      <c r="C13" s="98" t="s">
        <v>242</v>
      </c>
      <c r="D13" s="208" t="s">
        <v>243</v>
      </c>
      <c r="E13" s="209" t="s">
        <v>345</v>
      </c>
      <c r="F13" s="98" t="s">
        <v>244</v>
      </c>
      <c r="G13" s="107" t="s">
        <v>88</v>
      </c>
      <c r="H13" s="99" t="s">
        <v>38</v>
      </c>
      <c r="I13" s="100" t="s">
        <v>7</v>
      </c>
      <c r="J13" s="58" t="str">
        <f t="shared" si="1"/>
        <v>TER A</v>
      </c>
      <c r="K13" s="210">
        <v>3761333.23</v>
      </c>
      <c r="L13" s="101">
        <f t="shared" si="6"/>
        <v>30575.999999999996</v>
      </c>
      <c r="M13" s="101">
        <f>'[22]MAINTENANCE-2'!AP18</f>
        <v>148040</v>
      </c>
      <c r="N13" s="101"/>
      <c r="O13" s="101"/>
      <c r="P13" s="101"/>
      <c r="Q13" s="101"/>
      <c r="R13" s="101"/>
      <c r="S13" s="101"/>
      <c r="T13" s="101">
        <f>'[22]MAINTENANCE-2'!X18</f>
        <v>69750</v>
      </c>
      <c r="U13" s="101"/>
      <c r="V13" s="101"/>
      <c r="W13" s="101"/>
      <c r="X13" s="46">
        <f>'[22]MAINTENANCE-2'!AC18</f>
        <v>61000</v>
      </c>
      <c r="Y13" s="101"/>
      <c r="Z13" s="101"/>
      <c r="AA13" s="101"/>
      <c r="AB13" s="101"/>
      <c r="AC13" s="230">
        <v>0</v>
      </c>
      <c r="AD13" s="101"/>
      <c r="AE13" s="101"/>
      <c r="AF13" s="62">
        <f t="shared" si="7"/>
        <v>4070699</v>
      </c>
      <c r="AG13" s="63">
        <f t="shared" si="0"/>
        <v>0</v>
      </c>
      <c r="AH13" s="106">
        <f t="shared" si="8"/>
        <v>0</v>
      </c>
      <c r="AJ13" s="93">
        <f t="shared" si="2"/>
        <v>0</v>
      </c>
      <c r="AL13" s="206">
        <v>3892083.23</v>
      </c>
      <c r="AM13" s="207">
        <f t="shared" si="3"/>
        <v>4070699.23</v>
      </c>
      <c r="AN13" s="151">
        <f t="shared" si="4"/>
        <v>0.22999999998137355</v>
      </c>
      <c r="AO13" s="93">
        <f t="shared" si="5"/>
        <v>130750</v>
      </c>
    </row>
    <row r="14" spans="2:41" s="27" customFormat="1">
      <c r="B14" s="97">
        <v>9</v>
      </c>
      <c r="C14" s="98" t="s">
        <v>245</v>
      </c>
      <c r="D14" s="208" t="s">
        <v>246</v>
      </c>
      <c r="E14" s="209" t="s">
        <v>346</v>
      </c>
      <c r="F14" s="98" t="s">
        <v>247</v>
      </c>
      <c r="G14" s="107" t="s">
        <v>88</v>
      </c>
      <c r="H14" s="99" t="s">
        <v>38</v>
      </c>
      <c r="I14" s="100" t="s">
        <v>7</v>
      </c>
      <c r="J14" s="58" t="str">
        <f t="shared" si="1"/>
        <v>TER A</v>
      </c>
      <c r="K14" s="210">
        <v>3761333.23</v>
      </c>
      <c r="L14" s="101">
        <f t="shared" si="6"/>
        <v>30575.999999999996</v>
      </c>
      <c r="M14" s="101">
        <f>'[22]MAINTENANCE-2'!AP19</f>
        <v>147340</v>
      </c>
      <c r="N14" s="101"/>
      <c r="O14" s="101"/>
      <c r="P14" s="101"/>
      <c r="Q14" s="101"/>
      <c r="R14" s="101"/>
      <c r="S14" s="101"/>
      <c r="T14" s="101">
        <f>'[22]MAINTENANCE-2'!X19</f>
        <v>69750</v>
      </c>
      <c r="U14" s="101"/>
      <c r="V14" s="101"/>
      <c r="W14" s="101"/>
      <c r="X14" s="46">
        <f>'[22]MAINTENANCE-2'!AC19</f>
        <v>43500</v>
      </c>
      <c r="Y14" s="101"/>
      <c r="Z14" s="101"/>
      <c r="AA14" s="101"/>
      <c r="AB14" s="101"/>
      <c r="AC14" s="230">
        <v>0</v>
      </c>
      <c r="AD14" s="101"/>
      <c r="AE14" s="101"/>
      <c r="AF14" s="62">
        <f t="shared" si="7"/>
        <v>4052499</v>
      </c>
      <c r="AG14" s="63">
        <f t="shared" si="0"/>
        <v>0</v>
      </c>
      <c r="AH14" s="106">
        <f t="shared" si="8"/>
        <v>0</v>
      </c>
      <c r="AJ14" s="93">
        <f t="shared" si="2"/>
        <v>0</v>
      </c>
      <c r="AL14" s="206">
        <v>3874583.23</v>
      </c>
      <c r="AM14" s="207">
        <f t="shared" si="3"/>
        <v>4052499.23</v>
      </c>
      <c r="AN14" s="151">
        <f t="shared" si="4"/>
        <v>0.22999999998137355</v>
      </c>
      <c r="AO14" s="93">
        <f t="shared" si="5"/>
        <v>113250</v>
      </c>
    </row>
    <row r="15" spans="2:41" s="27" customFormat="1">
      <c r="B15" s="97">
        <v>10</v>
      </c>
      <c r="C15" s="98" t="s">
        <v>248</v>
      </c>
      <c r="D15" s="208" t="s">
        <v>249</v>
      </c>
      <c r="E15" s="209" t="s">
        <v>347</v>
      </c>
      <c r="F15" s="98" t="s">
        <v>250</v>
      </c>
      <c r="G15" s="107" t="s">
        <v>88</v>
      </c>
      <c r="H15" s="99" t="s">
        <v>39</v>
      </c>
      <c r="I15" s="100" t="s">
        <v>17</v>
      </c>
      <c r="J15" s="58" t="str">
        <f t="shared" si="1"/>
        <v>TER A</v>
      </c>
      <c r="K15" s="210">
        <v>3761333.23</v>
      </c>
      <c r="L15" s="101">
        <f t="shared" si="6"/>
        <v>30575.999999999996</v>
      </c>
      <c r="M15" s="101">
        <f>'[22]MAINTENANCE-2'!AP20</f>
        <v>148040</v>
      </c>
      <c r="N15" s="101"/>
      <c r="O15" s="101"/>
      <c r="P15" s="101"/>
      <c r="Q15" s="101"/>
      <c r="R15" s="101"/>
      <c r="S15" s="101"/>
      <c r="T15" s="101">
        <f>'[22]MAINTENANCE-2'!X20</f>
        <v>108000</v>
      </c>
      <c r="U15" s="101"/>
      <c r="V15" s="101"/>
      <c r="W15" s="101"/>
      <c r="X15" s="46">
        <f>'[22]MAINTENANCE-2'!AC20</f>
        <v>61000</v>
      </c>
      <c r="Y15" s="101"/>
      <c r="Z15" s="101"/>
      <c r="AA15" s="101"/>
      <c r="AB15" s="101"/>
      <c r="AC15" s="230">
        <v>-121333.33</v>
      </c>
      <c r="AD15" s="101"/>
      <c r="AE15" s="101"/>
      <c r="AF15" s="62">
        <f t="shared" si="7"/>
        <v>3987615</v>
      </c>
      <c r="AG15" s="63">
        <f t="shared" si="0"/>
        <v>0</v>
      </c>
      <c r="AH15" s="106">
        <f t="shared" si="8"/>
        <v>0</v>
      </c>
      <c r="AJ15" s="93">
        <f t="shared" si="2"/>
        <v>0</v>
      </c>
      <c r="AL15" s="206">
        <v>3808999.9</v>
      </c>
      <c r="AM15" s="207">
        <f t="shared" si="3"/>
        <v>3987615.9</v>
      </c>
      <c r="AN15" s="151">
        <f t="shared" si="4"/>
        <v>0.89999999990686774</v>
      </c>
      <c r="AO15" s="93">
        <f t="shared" si="5"/>
        <v>47666.67</v>
      </c>
    </row>
    <row r="16" spans="2:41" s="27" customFormat="1">
      <c r="B16" s="97">
        <v>11</v>
      </c>
      <c r="C16" s="98" t="s">
        <v>251</v>
      </c>
      <c r="D16" s="208" t="s">
        <v>252</v>
      </c>
      <c r="E16" s="209" t="s">
        <v>348</v>
      </c>
      <c r="F16" s="98" t="s">
        <v>253</v>
      </c>
      <c r="G16" s="107" t="s">
        <v>88</v>
      </c>
      <c r="H16" s="99" t="s">
        <v>39</v>
      </c>
      <c r="I16" s="100" t="s">
        <v>7</v>
      </c>
      <c r="J16" s="58" t="str">
        <f t="shared" si="1"/>
        <v>TER A</v>
      </c>
      <c r="K16" s="210">
        <v>3761333.23</v>
      </c>
      <c r="L16" s="101">
        <f t="shared" si="6"/>
        <v>30575.999999999996</v>
      </c>
      <c r="M16" s="101">
        <f>'[22]MAINTENANCE-2'!AP21</f>
        <v>146560</v>
      </c>
      <c r="N16" s="101"/>
      <c r="O16" s="101"/>
      <c r="P16" s="101"/>
      <c r="Q16" s="101"/>
      <c r="R16" s="101"/>
      <c r="S16" s="101"/>
      <c r="T16" s="101">
        <f>'[22]MAINTENANCE-2'!X21</f>
        <v>111600</v>
      </c>
      <c r="U16" s="101"/>
      <c r="V16" s="101"/>
      <c r="W16" s="101"/>
      <c r="X16" s="46">
        <f>'[22]MAINTENANCE-2'!AC21</f>
        <v>24000</v>
      </c>
      <c r="Y16" s="101"/>
      <c r="Z16" s="101"/>
      <c r="AA16" s="101"/>
      <c r="AB16" s="101"/>
      <c r="AC16" s="230">
        <v>0</v>
      </c>
      <c r="AD16" s="101"/>
      <c r="AE16" s="101"/>
      <c r="AF16" s="62">
        <f t="shared" si="7"/>
        <v>4074069</v>
      </c>
      <c r="AG16" s="63">
        <f t="shared" si="0"/>
        <v>0</v>
      </c>
      <c r="AH16" s="106">
        <f t="shared" si="8"/>
        <v>0</v>
      </c>
      <c r="AJ16" s="93">
        <f t="shared" si="2"/>
        <v>0</v>
      </c>
      <c r="AL16" s="206">
        <v>3896933.23</v>
      </c>
      <c r="AM16" s="207">
        <f t="shared" si="3"/>
        <v>4074069.23</v>
      </c>
      <c r="AN16" s="151">
        <f t="shared" si="4"/>
        <v>0.22999999998137355</v>
      </c>
      <c r="AO16" s="93">
        <f t="shared" si="5"/>
        <v>135600</v>
      </c>
    </row>
    <row r="17" spans="2:41" s="27" customFormat="1">
      <c r="B17" s="97">
        <v>12</v>
      </c>
      <c r="C17" s="98" t="s">
        <v>394</v>
      </c>
      <c r="D17" s="208" t="s">
        <v>255</v>
      </c>
      <c r="E17" s="209" t="s">
        <v>349</v>
      </c>
      <c r="F17" s="98" t="s">
        <v>256</v>
      </c>
      <c r="G17" s="107" t="s">
        <v>88</v>
      </c>
      <c r="H17" s="99" t="s">
        <v>38</v>
      </c>
      <c r="I17" s="100" t="s">
        <v>7</v>
      </c>
      <c r="J17" s="58" t="str">
        <f t="shared" si="1"/>
        <v>TER A</v>
      </c>
      <c r="K17" s="210">
        <v>3761333.23</v>
      </c>
      <c r="L17" s="101">
        <f t="shared" si="6"/>
        <v>30575.999999999996</v>
      </c>
      <c r="M17" s="101">
        <f>'[22]MAINTENANCE-2'!AP22</f>
        <v>146800</v>
      </c>
      <c r="N17" s="101"/>
      <c r="O17" s="101"/>
      <c r="P17" s="101"/>
      <c r="Q17" s="101"/>
      <c r="R17" s="101"/>
      <c r="S17" s="101"/>
      <c r="T17" s="101">
        <f>'[22]MAINTENANCE-2'!X22</f>
        <v>69750</v>
      </c>
      <c r="U17" s="101"/>
      <c r="V17" s="101"/>
      <c r="W17" s="101"/>
      <c r="X17" s="46">
        <f>'[22]MAINTENANCE-2'!AC22</f>
        <v>30000</v>
      </c>
      <c r="Y17" s="101"/>
      <c r="Z17" s="101"/>
      <c r="AA17" s="101"/>
      <c r="AB17" s="101"/>
      <c r="AC17" s="230">
        <v>0</v>
      </c>
      <c r="AD17" s="101"/>
      <c r="AE17" s="101"/>
      <c r="AF17" s="62">
        <f t="shared" si="7"/>
        <v>4038459</v>
      </c>
      <c r="AG17" s="63">
        <f t="shared" si="0"/>
        <v>0</v>
      </c>
      <c r="AH17" s="106">
        <f t="shared" si="8"/>
        <v>0</v>
      </c>
      <c r="AJ17" s="93">
        <f t="shared" si="2"/>
        <v>0</v>
      </c>
      <c r="AL17" s="206">
        <v>3861083.23</v>
      </c>
      <c r="AM17" s="207">
        <f t="shared" si="3"/>
        <v>4038459.23</v>
      </c>
      <c r="AN17" s="151">
        <f t="shared" si="4"/>
        <v>0.22999999998137355</v>
      </c>
      <c r="AO17" s="93">
        <f t="shared" si="5"/>
        <v>99750</v>
      </c>
    </row>
    <row r="18" spans="2:41" s="27" customFormat="1">
      <c r="B18" s="97">
        <v>13</v>
      </c>
      <c r="C18" s="98" t="s">
        <v>257</v>
      </c>
      <c r="D18" s="208" t="s">
        <v>258</v>
      </c>
      <c r="E18" s="209" t="s">
        <v>350</v>
      </c>
      <c r="F18" s="98" t="s">
        <v>259</v>
      </c>
      <c r="G18" s="107" t="s">
        <v>88</v>
      </c>
      <c r="H18" s="99" t="s">
        <v>39</v>
      </c>
      <c r="I18" s="100" t="s">
        <v>9</v>
      </c>
      <c r="J18" s="58" t="str">
        <f t="shared" si="1"/>
        <v>TER B</v>
      </c>
      <c r="K18" s="210">
        <v>3761333.23</v>
      </c>
      <c r="L18" s="101">
        <f t="shared" si="6"/>
        <v>30575.999999999996</v>
      </c>
      <c r="M18" s="101">
        <f>'[22]MAINTENANCE-2'!AP23</f>
        <v>146800</v>
      </c>
      <c r="N18" s="101">
        <v>17250</v>
      </c>
      <c r="O18" s="101">
        <v>93000</v>
      </c>
      <c r="P18" s="101"/>
      <c r="Q18" s="101"/>
      <c r="R18" s="101"/>
      <c r="S18" s="101"/>
      <c r="T18" s="101">
        <f>'[22]MAINTENANCE-2'!X23</f>
        <v>139500</v>
      </c>
      <c r="U18" s="101"/>
      <c r="V18" s="101">
        <v>178843.91</v>
      </c>
      <c r="W18" s="101"/>
      <c r="X18" s="46">
        <f>'[22]MAINTENANCE-2'!AC23</f>
        <v>30000</v>
      </c>
      <c r="Y18" s="101"/>
      <c r="Z18" s="101"/>
      <c r="AA18" s="101"/>
      <c r="AB18" s="101"/>
      <c r="AC18" s="230">
        <v>0</v>
      </c>
      <c r="AD18" s="101"/>
      <c r="AE18" s="101"/>
      <c r="AF18" s="62">
        <f t="shared" si="7"/>
        <v>4397303</v>
      </c>
      <c r="AG18" s="63">
        <f t="shared" si="0"/>
        <v>0</v>
      </c>
      <c r="AH18" s="106">
        <f t="shared" si="8"/>
        <v>0</v>
      </c>
      <c r="AJ18" s="93">
        <f t="shared" si="2"/>
        <v>0</v>
      </c>
      <c r="AL18" s="206">
        <v>4219927.1399999997</v>
      </c>
      <c r="AM18" s="207">
        <f t="shared" si="3"/>
        <v>4397303.1399999997</v>
      </c>
      <c r="AN18" s="151">
        <f t="shared" si="4"/>
        <v>0.13999999966472387</v>
      </c>
      <c r="AO18" s="93">
        <f t="shared" si="5"/>
        <v>458593.91000000003</v>
      </c>
    </row>
    <row r="19" spans="2:41" s="27" customFormat="1">
      <c r="B19" s="97">
        <v>14</v>
      </c>
      <c r="C19" s="98" t="s">
        <v>260</v>
      </c>
      <c r="D19" s="208" t="s">
        <v>261</v>
      </c>
      <c r="E19" s="209" t="s">
        <v>73</v>
      </c>
      <c r="F19" s="98" t="s">
        <v>262</v>
      </c>
      <c r="G19" s="107" t="s">
        <v>88</v>
      </c>
      <c r="H19" s="99" t="s">
        <v>39</v>
      </c>
      <c r="I19" s="100" t="s">
        <v>11</v>
      </c>
      <c r="J19" s="58" t="str">
        <f t="shared" si="1"/>
        <v>TER B</v>
      </c>
      <c r="K19" s="210">
        <v>3761333.23</v>
      </c>
      <c r="L19" s="101">
        <f t="shared" si="6"/>
        <v>30575.999999999996</v>
      </c>
      <c r="M19" s="101">
        <f>'[22]MAINTENANCE-2'!AP24</f>
        <v>146440</v>
      </c>
      <c r="N19" s="101"/>
      <c r="O19" s="101"/>
      <c r="P19" s="101"/>
      <c r="Q19" s="101"/>
      <c r="R19" s="101"/>
      <c r="S19" s="101"/>
      <c r="T19" s="101">
        <f>'[22]MAINTENANCE-2'!X24</f>
        <v>162000</v>
      </c>
      <c r="U19" s="101"/>
      <c r="V19" s="101"/>
      <c r="W19" s="101"/>
      <c r="X19" s="46">
        <f>'[22]MAINTENANCE-2'!AC24</f>
        <v>21000</v>
      </c>
      <c r="Y19" s="101"/>
      <c r="Z19" s="101"/>
      <c r="AA19" s="101"/>
      <c r="AB19" s="101"/>
      <c r="AC19" s="230">
        <v>-121333.33</v>
      </c>
      <c r="AD19" s="101"/>
      <c r="AE19" s="101"/>
      <c r="AF19" s="62">
        <f t="shared" si="7"/>
        <v>4000015</v>
      </c>
      <c r="AG19" s="63">
        <f t="shared" si="0"/>
        <v>0</v>
      </c>
      <c r="AH19" s="106">
        <f t="shared" si="8"/>
        <v>0</v>
      </c>
      <c r="AJ19" s="93">
        <f t="shared" si="2"/>
        <v>0</v>
      </c>
      <c r="AL19" s="206">
        <v>3822999.9</v>
      </c>
      <c r="AM19" s="207">
        <f t="shared" si="3"/>
        <v>4000015.9</v>
      </c>
      <c r="AN19" s="151">
        <f t="shared" si="4"/>
        <v>0.89999999990686774</v>
      </c>
      <c r="AO19" s="93">
        <f t="shared" si="5"/>
        <v>61666.67</v>
      </c>
    </row>
    <row r="20" spans="2:41" s="27" customFormat="1">
      <c r="B20" s="97">
        <v>15</v>
      </c>
      <c r="C20" s="98" t="s">
        <v>263</v>
      </c>
      <c r="D20" s="208" t="s">
        <v>264</v>
      </c>
      <c r="E20" s="209" t="s">
        <v>73</v>
      </c>
      <c r="F20" s="98" t="s">
        <v>265</v>
      </c>
      <c r="G20" s="107" t="s">
        <v>88</v>
      </c>
      <c r="H20" s="99" t="s">
        <v>39</v>
      </c>
      <c r="I20" s="100" t="s">
        <v>9</v>
      </c>
      <c r="J20" s="58" t="str">
        <f t="shared" si="1"/>
        <v>TER B</v>
      </c>
      <c r="K20" s="210">
        <v>3761333.23</v>
      </c>
      <c r="L20" s="101">
        <f t="shared" si="6"/>
        <v>30575.999999999996</v>
      </c>
      <c r="M20" s="101">
        <f>'[22]MAINTENANCE-2'!AP25</f>
        <v>145900</v>
      </c>
      <c r="N20" s="101"/>
      <c r="O20" s="101"/>
      <c r="P20" s="101"/>
      <c r="Q20" s="101"/>
      <c r="R20" s="101"/>
      <c r="S20" s="101"/>
      <c r="T20" s="101">
        <f>'[22]MAINTENANCE-2'!X25</f>
        <v>135000</v>
      </c>
      <c r="U20" s="101"/>
      <c r="V20" s="101"/>
      <c r="W20" s="101"/>
      <c r="X20" s="46">
        <f>'[22]MAINTENANCE-2'!AC25</f>
        <v>7500</v>
      </c>
      <c r="Y20" s="101"/>
      <c r="Z20" s="101"/>
      <c r="AA20" s="101"/>
      <c r="AB20" s="101"/>
      <c r="AC20" s="230">
        <v>-121333.33</v>
      </c>
      <c r="AD20" s="101"/>
      <c r="AE20" s="101"/>
      <c r="AF20" s="62">
        <f t="shared" si="7"/>
        <v>3958975</v>
      </c>
      <c r="AG20" s="63">
        <f t="shared" si="0"/>
        <v>0</v>
      </c>
      <c r="AH20" s="106">
        <f t="shared" si="8"/>
        <v>0</v>
      </c>
      <c r="AJ20" s="93">
        <f t="shared" si="2"/>
        <v>0</v>
      </c>
      <c r="AL20" s="206">
        <v>3782499.9</v>
      </c>
      <c r="AM20" s="207">
        <f t="shared" si="3"/>
        <v>3958975.9</v>
      </c>
      <c r="AN20" s="151">
        <f t="shared" si="4"/>
        <v>0.89999999990686774</v>
      </c>
      <c r="AO20" s="93">
        <f t="shared" si="5"/>
        <v>21166.67</v>
      </c>
    </row>
    <row r="21" spans="2:41" s="27" customFormat="1">
      <c r="B21" s="97">
        <v>16</v>
      </c>
      <c r="C21" s="98" t="s">
        <v>266</v>
      </c>
      <c r="D21" s="208" t="s">
        <v>267</v>
      </c>
      <c r="E21" s="209" t="s">
        <v>351</v>
      </c>
      <c r="F21" s="98" t="s">
        <v>268</v>
      </c>
      <c r="G21" s="107" t="s">
        <v>88</v>
      </c>
      <c r="H21" s="99" t="s">
        <v>38</v>
      </c>
      <c r="I21" s="100" t="s">
        <v>7</v>
      </c>
      <c r="J21" s="58" t="str">
        <f t="shared" si="1"/>
        <v>TER A</v>
      </c>
      <c r="K21" s="210">
        <v>3761333.23</v>
      </c>
      <c r="L21" s="101">
        <f t="shared" si="6"/>
        <v>30575.999999999996</v>
      </c>
      <c r="M21" s="101">
        <f>'[22]MAINTENANCE-2'!AP26</f>
        <v>147480</v>
      </c>
      <c r="N21" s="101"/>
      <c r="O21" s="101"/>
      <c r="P21" s="101"/>
      <c r="Q21" s="101"/>
      <c r="R21" s="101"/>
      <c r="S21" s="101"/>
      <c r="T21" s="101">
        <f>'[22]MAINTENANCE-2'!X26</f>
        <v>69750</v>
      </c>
      <c r="U21" s="101"/>
      <c r="V21" s="101"/>
      <c r="W21" s="101"/>
      <c r="X21" s="46">
        <f>'[22]MAINTENANCE-2'!AC26</f>
        <v>47000</v>
      </c>
      <c r="Y21" s="101"/>
      <c r="Z21" s="101"/>
      <c r="AA21" s="101"/>
      <c r="AB21" s="101"/>
      <c r="AC21" s="230">
        <v>0</v>
      </c>
      <c r="AD21" s="101"/>
      <c r="AE21" s="101"/>
      <c r="AF21" s="62">
        <f t="shared" si="7"/>
        <v>4056139</v>
      </c>
      <c r="AG21" s="63">
        <f t="shared" si="0"/>
        <v>0</v>
      </c>
      <c r="AH21" s="106">
        <f t="shared" si="8"/>
        <v>0</v>
      </c>
      <c r="AJ21" s="93">
        <f t="shared" si="2"/>
        <v>0</v>
      </c>
      <c r="AL21" s="206">
        <v>3878083.23</v>
      </c>
      <c r="AM21" s="207">
        <f t="shared" si="3"/>
        <v>4056139.23</v>
      </c>
      <c r="AN21" s="151">
        <f t="shared" si="4"/>
        <v>0.22999999998137355</v>
      </c>
      <c r="AO21" s="93">
        <f t="shared" si="5"/>
        <v>116750</v>
      </c>
    </row>
    <row r="22" spans="2:41" s="27" customFormat="1">
      <c r="B22" s="97">
        <v>17</v>
      </c>
      <c r="C22" s="98" t="s">
        <v>269</v>
      </c>
      <c r="D22" s="208" t="s">
        <v>270</v>
      </c>
      <c r="E22" s="209" t="s">
        <v>352</v>
      </c>
      <c r="F22" s="98" t="s">
        <v>271</v>
      </c>
      <c r="G22" s="107" t="s">
        <v>88</v>
      </c>
      <c r="H22" s="99" t="s">
        <v>38</v>
      </c>
      <c r="I22" s="100" t="s">
        <v>7</v>
      </c>
      <c r="J22" s="58" t="str">
        <f t="shared" si="1"/>
        <v>TER A</v>
      </c>
      <c r="K22" s="210">
        <v>3761333.23</v>
      </c>
      <c r="L22" s="101">
        <f t="shared" si="6"/>
        <v>30575.999999999996</v>
      </c>
      <c r="M22" s="101">
        <f>'[22]MAINTENANCE-2'!AP27</f>
        <v>147620</v>
      </c>
      <c r="N22" s="101"/>
      <c r="O22" s="101"/>
      <c r="P22" s="101"/>
      <c r="Q22" s="101"/>
      <c r="R22" s="101"/>
      <c r="S22" s="101"/>
      <c r="T22" s="101">
        <f>'[22]MAINTENANCE-2'!X27</f>
        <v>67500</v>
      </c>
      <c r="U22" s="101"/>
      <c r="V22" s="101"/>
      <c r="W22" s="101"/>
      <c r="X22" s="46">
        <f>'[22]MAINTENANCE-2'!AC27</f>
        <v>50500</v>
      </c>
      <c r="Y22" s="101"/>
      <c r="Z22" s="101"/>
      <c r="AA22" s="101"/>
      <c r="AB22" s="101"/>
      <c r="AC22" s="231">
        <v>-121333.33</v>
      </c>
      <c r="AD22" s="101"/>
      <c r="AE22" s="101"/>
      <c r="AF22" s="62">
        <f t="shared" si="7"/>
        <v>3936195</v>
      </c>
      <c r="AG22" s="63">
        <f t="shared" si="0"/>
        <v>0</v>
      </c>
      <c r="AH22" s="106">
        <f t="shared" si="8"/>
        <v>0</v>
      </c>
      <c r="AJ22" s="93">
        <f t="shared" si="2"/>
        <v>0</v>
      </c>
      <c r="AL22" s="206">
        <v>3757999.9</v>
      </c>
      <c r="AM22" s="207">
        <f t="shared" si="3"/>
        <v>3936195.9</v>
      </c>
      <c r="AN22" s="151">
        <f t="shared" si="4"/>
        <v>0.89999999990686774</v>
      </c>
      <c r="AO22" s="93">
        <f t="shared" si="5"/>
        <v>-3333.3300000000017</v>
      </c>
    </row>
    <row r="23" spans="2:41" s="27" customFormat="1">
      <c r="B23" s="97">
        <v>18</v>
      </c>
      <c r="C23" s="98" t="s">
        <v>272</v>
      </c>
      <c r="D23" s="42" t="s">
        <v>273</v>
      </c>
      <c r="E23" s="43" t="s">
        <v>353</v>
      </c>
      <c r="F23" s="41" t="s">
        <v>274</v>
      </c>
      <c r="G23" s="107" t="s">
        <v>88</v>
      </c>
      <c r="H23" s="44" t="s">
        <v>38</v>
      </c>
      <c r="I23" s="45" t="s">
        <v>7</v>
      </c>
      <c r="J23" s="58" t="str">
        <f t="shared" si="1"/>
        <v>TER A</v>
      </c>
      <c r="K23" s="210">
        <v>3761333.23</v>
      </c>
      <c r="L23" s="101">
        <f t="shared" si="6"/>
        <v>30575.999999999996</v>
      </c>
      <c r="M23" s="101">
        <f>'[22]MAINTENANCE-2'!AP28</f>
        <v>146560</v>
      </c>
      <c r="N23" s="101"/>
      <c r="O23" s="101"/>
      <c r="P23" s="101"/>
      <c r="Q23" s="46"/>
      <c r="R23" s="46"/>
      <c r="S23" s="46"/>
      <c r="T23" s="101">
        <f>'[22]MAINTENANCE-2'!X28</f>
        <v>69750</v>
      </c>
      <c r="U23" s="46"/>
      <c r="V23" s="101"/>
      <c r="W23" s="46"/>
      <c r="X23" s="46">
        <f>'[22]MAINTENANCE-2'!AC28</f>
        <v>24000</v>
      </c>
      <c r="Y23" s="46"/>
      <c r="Z23" s="46"/>
      <c r="AA23" s="46"/>
      <c r="AB23" s="46"/>
      <c r="AC23" s="231">
        <v>0</v>
      </c>
      <c r="AD23" s="46"/>
      <c r="AE23" s="46"/>
      <c r="AF23" s="62">
        <f t="shared" si="7"/>
        <v>4032219</v>
      </c>
      <c r="AG23" s="63">
        <f t="shared" si="0"/>
        <v>0</v>
      </c>
      <c r="AH23" s="106">
        <f t="shared" si="8"/>
        <v>0</v>
      </c>
      <c r="AJ23" s="93">
        <f t="shared" si="2"/>
        <v>0</v>
      </c>
      <c r="AL23" s="206">
        <v>3855083.23</v>
      </c>
      <c r="AM23" s="207">
        <f t="shared" si="3"/>
        <v>4032219.23</v>
      </c>
      <c r="AN23" s="151">
        <f t="shared" si="4"/>
        <v>0.22999999998137355</v>
      </c>
      <c r="AO23" s="93">
        <f t="shared" si="5"/>
        <v>93750</v>
      </c>
    </row>
    <row r="24" spans="2:41" s="27" customFormat="1">
      <c r="B24" s="97">
        <v>19</v>
      </c>
      <c r="C24" s="98" t="s">
        <v>275</v>
      </c>
      <c r="D24" s="42" t="s">
        <v>276</v>
      </c>
      <c r="E24" s="43" t="s">
        <v>354</v>
      </c>
      <c r="F24" s="41" t="s">
        <v>247</v>
      </c>
      <c r="G24" s="107" t="s">
        <v>88</v>
      </c>
      <c r="H24" s="44" t="s">
        <v>39</v>
      </c>
      <c r="I24" s="45" t="s">
        <v>11</v>
      </c>
      <c r="J24" s="58" t="str">
        <f t="shared" si="1"/>
        <v>TER B</v>
      </c>
      <c r="K24" s="210">
        <v>3761333.23</v>
      </c>
      <c r="L24" s="101">
        <f t="shared" si="6"/>
        <v>30575.999999999996</v>
      </c>
      <c r="M24" s="101">
        <f>'[22]MAINTENANCE-2'!AP29</f>
        <v>148040</v>
      </c>
      <c r="N24" s="101"/>
      <c r="O24" s="101"/>
      <c r="P24" s="101"/>
      <c r="Q24" s="46"/>
      <c r="R24" s="46"/>
      <c r="S24" s="46"/>
      <c r="T24" s="101">
        <f>'[22]MAINTENANCE-2'!X29</f>
        <v>167400</v>
      </c>
      <c r="U24" s="46"/>
      <c r="V24" s="101">
        <v>1062543.23</v>
      </c>
      <c r="W24" s="46"/>
      <c r="X24" s="46">
        <f>'[22]MAINTENANCE-2'!AC29</f>
        <v>61000</v>
      </c>
      <c r="Y24" s="46"/>
      <c r="Z24" s="46"/>
      <c r="AA24" s="46"/>
      <c r="AB24" s="46"/>
      <c r="AC24" s="231">
        <v>0</v>
      </c>
      <c r="AD24" s="46"/>
      <c r="AE24" s="46"/>
      <c r="AF24" s="62">
        <f t="shared" si="7"/>
        <v>5230892</v>
      </c>
      <c r="AG24" s="63">
        <f t="shared" si="0"/>
        <v>0</v>
      </c>
      <c r="AH24" s="106">
        <f t="shared" si="8"/>
        <v>0</v>
      </c>
      <c r="AJ24" s="93">
        <f t="shared" si="2"/>
        <v>0</v>
      </c>
      <c r="AL24" s="206">
        <v>5052276.46</v>
      </c>
      <c r="AM24" s="207">
        <f t="shared" si="3"/>
        <v>5230892.46</v>
      </c>
      <c r="AN24" s="151">
        <f t="shared" si="4"/>
        <v>0.4599999999627471</v>
      </c>
      <c r="AO24" s="93">
        <f t="shared" si="5"/>
        <v>1290943.23</v>
      </c>
    </row>
    <row r="25" spans="2:41" s="27" customFormat="1">
      <c r="B25" s="97">
        <v>20</v>
      </c>
      <c r="C25" s="98" t="s">
        <v>277</v>
      </c>
      <c r="D25" s="42" t="s">
        <v>278</v>
      </c>
      <c r="E25" s="43" t="s">
        <v>355</v>
      </c>
      <c r="F25" s="41" t="s">
        <v>279</v>
      </c>
      <c r="G25" s="107" t="s">
        <v>88</v>
      </c>
      <c r="H25" s="44" t="s">
        <v>38</v>
      </c>
      <c r="I25" s="45" t="s">
        <v>7</v>
      </c>
      <c r="J25" s="58" t="str">
        <f t="shared" si="1"/>
        <v>TER A</v>
      </c>
      <c r="K25" s="210">
        <v>3761333.23</v>
      </c>
      <c r="L25" s="101">
        <f t="shared" si="6"/>
        <v>30575.999999999996</v>
      </c>
      <c r="M25" s="101">
        <f>'[22]MAINTENANCE-2'!AP30</f>
        <v>147620</v>
      </c>
      <c r="N25" s="101"/>
      <c r="O25" s="101"/>
      <c r="P25" s="101"/>
      <c r="Q25" s="46"/>
      <c r="R25" s="46"/>
      <c r="S25" s="46"/>
      <c r="T25" s="101">
        <f>'[22]MAINTENANCE-2'!X30</f>
        <v>69750</v>
      </c>
      <c r="U25" s="46"/>
      <c r="V25" s="101"/>
      <c r="W25" s="46"/>
      <c r="X25" s="46">
        <f>'[22]MAINTENANCE-2'!AC30</f>
        <v>50500</v>
      </c>
      <c r="Y25" s="46"/>
      <c r="Z25" s="46"/>
      <c r="AA25" s="46"/>
      <c r="AB25" s="46"/>
      <c r="AC25" s="231">
        <v>0</v>
      </c>
      <c r="AD25" s="46"/>
      <c r="AE25" s="46"/>
      <c r="AF25" s="62">
        <f t="shared" si="7"/>
        <v>4059779</v>
      </c>
      <c r="AG25" s="63">
        <f t="shared" si="0"/>
        <v>0</v>
      </c>
      <c r="AH25" s="106">
        <f t="shared" si="8"/>
        <v>0</v>
      </c>
      <c r="AJ25" s="93">
        <f t="shared" si="2"/>
        <v>0</v>
      </c>
      <c r="AL25" s="206">
        <v>3881583.23</v>
      </c>
      <c r="AM25" s="207">
        <f t="shared" si="3"/>
        <v>4059779.23</v>
      </c>
      <c r="AN25" s="151">
        <f t="shared" si="4"/>
        <v>0.22999999998137355</v>
      </c>
      <c r="AO25" s="93">
        <f t="shared" si="5"/>
        <v>120250</v>
      </c>
    </row>
    <row r="26" spans="2:41" s="27" customFormat="1">
      <c r="B26" s="97">
        <v>21</v>
      </c>
      <c r="C26" s="236" t="s">
        <v>280</v>
      </c>
      <c r="D26" s="237" t="s">
        <v>421</v>
      </c>
      <c r="E26" s="43" t="s">
        <v>356</v>
      </c>
      <c r="F26" s="41" t="s">
        <v>422</v>
      </c>
      <c r="G26" s="107" t="s">
        <v>88</v>
      </c>
      <c r="H26" s="44" t="s">
        <v>38</v>
      </c>
      <c r="I26" s="45" t="s">
        <v>7</v>
      </c>
      <c r="J26" s="58" t="str">
        <f t="shared" si="1"/>
        <v>TER A</v>
      </c>
      <c r="K26" s="210">
        <v>3761333.23</v>
      </c>
      <c r="L26" s="101">
        <f t="shared" si="6"/>
        <v>30575.999999999996</v>
      </c>
      <c r="M26" s="101">
        <f>'[22]MAINTENANCE-2'!AP31</f>
        <v>147480</v>
      </c>
      <c r="N26" s="101"/>
      <c r="O26" s="101"/>
      <c r="P26" s="101"/>
      <c r="Q26" s="46"/>
      <c r="R26" s="46"/>
      <c r="S26" s="46"/>
      <c r="T26" s="101">
        <f>'[22]MAINTENANCE-2'!X31</f>
        <v>67500</v>
      </c>
      <c r="U26" s="46"/>
      <c r="V26" s="101"/>
      <c r="W26" s="46"/>
      <c r="X26" s="46">
        <f>'[22]MAINTENANCE-2'!AC31</f>
        <v>47000</v>
      </c>
      <c r="Y26" s="46"/>
      <c r="Z26" s="46"/>
      <c r="AA26" s="46"/>
      <c r="AB26" s="46"/>
      <c r="AC26" s="231">
        <v>-121333.33</v>
      </c>
      <c r="AD26" s="46"/>
      <c r="AE26" s="46"/>
      <c r="AF26" s="62">
        <f t="shared" si="7"/>
        <v>3932555</v>
      </c>
      <c r="AG26" s="63">
        <f t="shared" si="0"/>
        <v>0</v>
      </c>
      <c r="AH26" s="106">
        <f t="shared" si="8"/>
        <v>0</v>
      </c>
      <c r="AJ26" s="93">
        <f t="shared" si="2"/>
        <v>0</v>
      </c>
      <c r="AL26" s="206">
        <v>3754499.9000000004</v>
      </c>
      <c r="AM26" s="207">
        <f t="shared" si="3"/>
        <v>3932555.9000000004</v>
      </c>
      <c r="AN26" s="151">
        <f t="shared" si="4"/>
        <v>0.90000000037252903</v>
      </c>
      <c r="AO26" s="93">
        <f t="shared" si="5"/>
        <v>-6833.3300000000017</v>
      </c>
    </row>
    <row r="27" spans="2:41" s="27" customFormat="1">
      <c r="B27" s="97">
        <v>22</v>
      </c>
      <c r="C27" s="98" t="s">
        <v>357</v>
      </c>
      <c r="D27" s="42" t="s">
        <v>284</v>
      </c>
      <c r="E27" s="43" t="s">
        <v>358</v>
      </c>
      <c r="F27" s="41" t="s">
        <v>285</v>
      </c>
      <c r="G27" s="107" t="s">
        <v>88</v>
      </c>
      <c r="H27" s="44" t="s">
        <v>38</v>
      </c>
      <c r="I27" s="45" t="s">
        <v>7</v>
      </c>
      <c r="J27" s="58" t="str">
        <f t="shared" si="1"/>
        <v>TER A</v>
      </c>
      <c r="K27" s="210">
        <v>3761333.23</v>
      </c>
      <c r="L27" s="101">
        <f t="shared" si="6"/>
        <v>30575.999999999996</v>
      </c>
      <c r="M27" s="101">
        <f>'[22]MAINTENANCE-2'!AP32</f>
        <v>146200</v>
      </c>
      <c r="N27" s="101"/>
      <c r="O27" s="101"/>
      <c r="P27" s="101"/>
      <c r="Q27" s="46"/>
      <c r="R27" s="46"/>
      <c r="S27" s="46"/>
      <c r="T27" s="101">
        <f>'[22]MAINTENANCE-2'!X32</f>
        <v>69750</v>
      </c>
      <c r="U27" s="46"/>
      <c r="V27" s="101"/>
      <c r="W27" s="46"/>
      <c r="X27" s="46">
        <f>'[22]MAINTENANCE-2'!AC32</f>
        <v>15000</v>
      </c>
      <c r="Y27" s="46"/>
      <c r="Z27" s="46"/>
      <c r="AA27" s="46"/>
      <c r="AB27" s="46"/>
      <c r="AC27" s="231">
        <v>0</v>
      </c>
      <c r="AD27" s="46"/>
      <c r="AE27" s="46"/>
      <c r="AF27" s="62">
        <f t="shared" si="7"/>
        <v>4022859</v>
      </c>
      <c r="AG27" s="63">
        <f t="shared" si="0"/>
        <v>0</v>
      </c>
      <c r="AH27" s="106">
        <f t="shared" si="8"/>
        <v>0</v>
      </c>
      <c r="AJ27" s="93">
        <f t="shared" si="2"/>
        <v>0</v>
      </c>
      <c r="AL27" s="206">
        <v>3846083.23</v>
      </c>
      <c r="AM27" s="207">
        <f t="shared" si="3"/>
        <v>4022859.23</v>
      </c>
      <c r="AN27" s="151">
        <f t="shared" si="4"/>
        <v>0.22999999998137355</v>
      </c>
      <c r="AO27" s="93">
        <f t="shared" si="5"/>
        <v>84750</v>
      </c>
    </row>
    <row r="28" spans="2:41" s="27" customFormat="1">
      <c r="B28" s="97">
        <v>23</v>
      </c>
      <c r="C28" s="98" t="s">
        <v>286</v>
      </c>
      <c r="D28" s="42" t="s">
        <v>287</v>
      </c>
      <c r="E28" s="209" t="s">
        <v>73</v>
      </c>
      <c r="F28" s="41" t="s">
        <v>288</v>
      </c>
      <c r="G28" s="107" t="s">
        <v>88</v>
      </c>
      <c r="H28" s="44" t="s">
        <v>38</v>
      </c>
      <c r="I28" s="45" t="s">
        <v>7</v>
      </c>
      <c r="J28" s="58" t="str">
        <f t="shared" si="1"/>
        <v>TER A</v>
      </c>
      <c r="K28" s="210">
        <v>3761333.23</v>
      </c>
      <c r="L28" s="101">
        <f t="shared" si="6"/>
        <v>30575.999999999996</v>
      </c>
      <c r="M28" s="101">
        <f>'[22]MAINTENANCE-2'!AP33</f>
        <v>146200</v>
      </c>
      <c r="N28" s="101"/>
      <c r="O28" s="101"/>
      <c r="P28" s="101"/>
      <c r="Q28" s="46"/>
      <c r="R28" s="46"/>
      <c r="S28" s="46"/>
      <c r="T28" s="101">
        <f>'[22]MAINTENANCE-2'!X33</f>
        <v>69750</v>
      </c>
      <c r="U28" s="46"/>
      <c r="V28" s="101"/>
      <c r="W28" s="46"/>
      <c r="X28" s="46">
        <f>'[22]MAINTENANCE-2'!AC33</f>
        <v>15000</v>
      </c>
      <c r="Y28" s="46"/>
      <c r="Z28" s="46"/>
      <c r="AA28" s="46"/>
      <c r="AB28" s="46"/>
      <c r="AC28" s="231">
        <v>0</v>
      </c>
      <c r="AD28" s="46"/>
      <c r="AE28" s="46"/>
      <c r="AF28" s="62">
        <f t="shared" si="7"/>
        <v>4022859</v>
      </c>
      <c r="AG28" s="63">
        <f t="shared" si="0"/>
        <v>0</v>
      </c>
      <c r="AH28" s="106">
        <f t="shared" si="8"/>
        <v>0</v>
      </c>
      <c r="AJ28" s="93">
        <f t="shared" si="2"/>
        <v>0</v>
      </c>
      <c r="AL28" s="206">
        <v>3846083.23</v>
      </c>
      <c r="AM28" s="207">
        <f t="shared" si="3"/>
        <v>4022859.23</v>
      </c>
      <c r="AN28" s="151">
        <f t="shared" si="4"/>
        <v>0.22999999998137355</v>
      </c>
      <c r="AO28" s="93">
        <f t="shared" si="5"/>
        <v>84750</v>
      </c>
    </row>
    <row r="29" spans="2:41" s="27" customFormat="1">
      <c r="B29" s="97">
        <v>24</v>
      </c>
      <c r="C29" s="98" t="s">
        <v>289</v>
      </c>
      <c r="D29" s="42" t="s">
        <v>290</v>
      </c>
      <c r="E29" s="209" t="s">
        <v>73</v>
      </c>
      <c r="F29" s="41" t="s">
        <v>291</v>
      </c>
      <c r="G29" s="107" t="s">
        <v>88</v>
      </c>
      <c r="H29" s="44" t="s">
        <v>38</v>
      </c>
      <c r="I29" s="45" t="s">
        <v>7</v>
      </c>
      <c r="J29" s="58" t="str">
        <f t="shared" si="1"/>
        <v>TER A</v>
      </c>
      <c r="K29" s="210">
        <v>3761333.23</v>
      </c>
      <c r="L29" s="101">
        <f t="shared" si="6"/>
        <v>30575.999999999996</v>
      </c>
      <c r="M29" s="101">
        <f>'[22]MAINTENANCE-2'!AP34</f>
        <v>146200</v>
      </c>
      <c r="N29" s="101"/>
      <c r="O29" s="101"/>
      <c r="P29" s="101"/>
      <c r="Q29" s="46"/>
      <c r="R29" s="46"/>
      <c r="S29" s="46"/>
      <c r="T29" s="101">
        <f>'[22]MAINTENANCE-2'!X34</f>
        <v>69750</v>
      </c>
      <c r="U29" s="46"/>
      <c r="V29" s="101"/>
      <c r="W29" s="46"/>
      <c r="X29" s="46">
        <f>'[22]MAINTENANCE-2'!AC34</f>
        <v>15000</v>
      </c>
      <c r="Y29" s="46"/>
      <c r="Z29" s="46"/>
      <c r="AA29" s="46"/>
      <c r="AB29" s="46"/>
      <c r="AC29" s="231">
        <v>0</v>
      </c>
      <c r="AD29" s="46"/>
      <c r="AE29" s="46"/>
      <c r="AF29" s="62">
        <f t="shared" si="7"/>
        <v>4022859</v>
      </c>
      <c r="AG29" s="63">
        <f t="shared" si="0"/>
        <v>0</v>
      </c>
      <c r="AH29" s="106">
        <f t="shared" si="8"/>
        <v>0</v>
      </c>
      <c r="AJ29" s="93">
        <f t="shared" si="2"/>
        <v>0</v>
      </c>
      <c r="AL29" s="206">
        <v>3846083.23</v>
      </c>
      <c r="AM29" s="207">
        <f t="shared" si="3"/>
        <v>4022859.23</v>
      </c>
      <c r="AN29" s="151">
        <f t="shared" si="4"/>
        <v>0.22999999998137355</v>
      </c>
      <c r="AO29" s="93">
        <f t="shared" si="5"/>
        <v>84750</v>
      </c>
    </row>
    <row r="30" spans="2:41" s="27" customFormat="1">
      <c r="B30" s="97">
        <v>25</v>
      </c>
      <c r="C30" s="98" t="s">
        <v>292</v>
      </c>
      <c r="D30" s="42" t="s">
        <v>293</v>
      </c>
      <c r="E30" s="43" t="s">
        <v>359</v>
      </c>
      <c r="F30" s="41" t="s">
        <v>294</v>
      </c>
      <c r="G30" s="107" t="s">
        <v>88</v>
      </c>
      <c r="H30" s="44" t="s">
        <v>38</v>
      </c>
      <c r="I30" s="45" t="s">
        <v>7</v>
      </c>
      <c r="J30" s="58" t="str">
        <f t="shared" si="1"/>
        <v>TER A</v>
      </c>
      <c r="K30" s="210">
        <v>3761333.23</v>
      </c>
      <c r="L30" s="101">
        <f t="shared" si="6"/>
        <v>30575.999999999996</v>
      </c>
      <c r="M30" s="101">
        <f>'[22]MAINTENANCE-2'!AP35</f>
        <v>146200</v>
      </c>
      <c r="N30" s="101"/>
      <c r="O30" s="101"/>
      <c r="P30" s="101"/>
      <c r="Q30" s="46"/>
      <c r="R30" s="46"/>
      <c r="S30" s="46"/>
      <c r="T30" s="101">
        <f>'[22]MAINTENANCE-2'!X35</f>
        <v>69750</v>
      </c>
      <c r="U30" s="46"/>
      <c r="V30" s="101"/>
      <c r="W30" s="46"/>
      <c r="X30" s="46">
        <f>'[22]MAINTENANCE-2'!AC35</f>
        <v>15000</v>
      </c>
      <c r="Y30" s="46"/>
      <c r="Z30" s="46"/>
      <c r="AA30" s="46"/>
      <c r="AB30" s="46"/>
      <c r="AC30" s="231">
        <v>0</v>
      </c>
      <c r="AD30" s="46"/>
      <c r="AE30" s="46"/>
      <c r="AF30" s="62">
        <f t="shared" si="7"/>
        <v>4022859</v>
      </c>
      <c r="AG30" s="63">
        <f t="shared" si="0"/>
        <v>0</v>
      </c>
      <c r="AH30" s="106">
        <f t="shared" si="8"/>
        <v>0</v>
      </c>
      <c r="AJ30" s="93">
        <f t="shared" si="2"/>
        <v>0</v>
      </c>
      <c r="AL30" s="206">
        <v>3846083.23</v>
      </c>
      <c r="AM30" s="207">
        <f t="shared" si="3"/>
        <v>4022859.23</v>
      </c>
      <c r="AN30" s="151">
        <f t="shared" si="4"/>
        <v>0.22999999998137355</v>
      </c>
      <c r="AO30" s="93">
        <f t="shared" si="5"/>
        <v>84750</v>
      </c>
    </row>
    <row r="31" spans="2:41" s="27" customFormat="1">
      <c r="B31" s="97">
        <v>26</v>
      </c>
      <c r="C31" s="98" t="s">
        <v>295</v>
      </c>
      <c r="D31" s="42" t="s">
        <v>296</v>
      </c>
      <c r="E31" s="43" t="s">
        <v>360</v>
      </c>
      <c r="F31" s="41" t="s">
        <v>297</v>
      </c>
      <c r="G31" s="107" t="s">
        <v>88</v>
      </c>
      <c r="H31" s="44" t="s">
        <v>39</v>
      </c>
      <c r="I31" s="45" t="s">
        <v>17</v>
      </c>
      <c r="J31" s="58" t="str">
        <f t="shared" si="1"/>
        <v>TER A</v>
      </c>
      <c r="K31" s="210">
        <v>3761333.23</v>
      </c>
      <c r="L31" s="101">
        <f t="shared" si="6"/>
        <v>30575.999999999996</v>
      </c>
      <c r="M31" s="101">
        <f>'[22]MAINTENANCE-2'!AP36</f>
        <v>146920</v>
      </c>
      <c r="N31" s="101"/>
      <c r="O31" s="101"/>
      <c r="P31" s="101"/>
      <c r="Q31" s="46"/>
      <c r="R31" s="46"/>
      <c r="S31" s="46"/>
      <c r="T31" s="101">
        <f>'[22]MAINTENANCE-2'!X36</f>
        <v>108000</v>
      </c>
      <c r="U31" s="46"/>
      <c r="V31" s="101"/>
      <c r="W31" s="46"/>
      <c r="X31" s="46">
        <f>'[22]MAINTENANCE-2'!AC36</f>
        <v>33000</v>
      </c>
      <c r="Y31" s="46"/>
      <c r="Z31" s="46"/>
      <c r="AA31" s="46"/>
      <c r="AB31" s="46"/>
      <c r="AC31" s="231">
        <v>-121333.33</v>
      </c>
      <c r="AD31" s="46"/>
      <c r="AE31" s="46"/>
      <c r="AF31" s="62">
        <f t="shared" si="7"/>
        <v>3958495</v>
      </c>
      <c r="AG31" s="63">
        <f t="shared" si="0"/>
        <v>0</v>
      </c>
      <c r="AH31" s="106">
        <f t="shared" si="8"/>
        <v>0</v>
      </c>
      <c r="AJ31" s="93">
        <f t="shared" si="2"/>
        <v>0</v>
      </c>
      <c r="AL31" s="206">
        <v>3780999.9</v>
      </c>
      <c r="AM31" s="207">
        <f t="shared" si="3"/>
        <v>3958495.9</v>
      </c>
      <c r="AN31" s="151">
        <f t="shared" si="4"/>
        <v>0.89999999990686774</v>
      </c>
      <c r="AO31" s="93">
        <f t="shared" si="5"/>
        <v>19666.669999999998</v>
      </c>
    </row>
    <row r="32" spans="2:41" s="27" customFormat="1">
      <c r="B32" s="97">
        <v>27</v>
      </c>
      <c r="C32" s="98" t="s">
        <v>298</v>
      </c>
      <c r="D32" s="42" t="s">
        <v>299</v>
      </c>
      <c r="E32" s="43" t="s">
        <v>361</v>
      </c>
      <c r="F32" s="41" t="s">
        <v>300</v>
      </c>
      <c r="G32" s="107" t="s">
        <v>88</v>
      </c>
      <c r="H32" s="44" t="s">
        <v>38</v>
      </c>
      <c r="I32" s="45" t="s">
        <v>7</v>
      </c>
      <c r="J32" s="58" t="str">
        <f t="shared" si="1"/>
        <v>TER A</v>
      </c>
      <c r="K32" s="210">
        <v>3761333.23</v>
      </c>
      <c r="L32" s="101">
        <f t="shared" si="6"/>
        <v>30575.999999999996</v>
      </c>
      <c r="M32" s="101">
        <f>'[22]MAINTENANCE-2'!AP37</f>
        <v>147480</v>
      </c>
      <c r="N32" s="101"/>
      <c r="O32" s="101"/>
      <c r="P32" s="101"/>
      <c r="Q32" s="46"/>
      <c r="R32" s="46"/>
      <c r="S32" s="46"/>
      <c r="T32" s="101">
        <f>'[22]MAINTENANCE-2'!X37</f>
        <v>69750</v>
      </c>
      <c r="U32" s="46"/>
      <c r="V32" s="101"/>
      <c r="W32" s="46"/>
      <c r="X32" s="46">
        <f>'[22]MAINTENANCE-2'!AC37</f>
        <v>47000</v>
      </c>
      <c r="Y32" s="46"/>
      <c r="Z32" s="46"/>
      <c r="AA32" s="46"/>
      <c r="AB32" s="46"/>
      <c r="AC32" s="231">
        <v>0</v>
      </c>
      <c r="AD32" s="46"/>
      <c r="AE32" s="46"/>
      <c r="AF32" s="62">
        <f t="shared" si="7"/>
        <v>4056139</v>
      </c>
      <c r="AG32" s="63">
        <f t="shared" si="0"/>
        <v>0</v>
      </c>
      <c r="AH32" s="106">
        <f t="shared" si="8"/>
        <v>0</v>
      </c>
      <c r="AJ32" s="93">
        <f t="shared" si="2"/>
        <v>0</v>
      </c>
      <c r="AL32" s="206">
        <v>3878083.2300000004</v>
      </c>
      <c r="AM32" s="207">
        <f t="shared" si="3"/>
        <v>4056139.2300000004</v>
      </c>
      <c r="AN32" s="151">
        <f t="shared" si="4"/>
        <v>0.23000000044703484</v>
      </c>
      <c r="AO32" s="93">
        <f t="shared" si="5"/>
        <v>116750</v>
      </c>
    </row>
    <row r="33" spans="2:41" s="27" customFormat="1">
      <c r="B33" s="97">
        <v>28</v>
      </c>
      <c r="C33" s="98" t="s">
        <v>301</v>
      </c>
      <c r="D33" s="42" t="s">
        <v>302</v>
      </c>
      <c r="E33" s="43" t="s">
        <v>362</v>
      </c>
      <c r="F33" s="41" t="s">
        <v>303</v>
      </c>
      <c r="G33" s="107" t="s">
        <v>88</v>
      </c>
      <c r="H33" s="44" t="s">
        <v>39</v>
      </c>
      <c r="I33" s="45" t="s">
        <v>11</v>
      </c>
      <c r="J33" s="58" t="str">
        <f t="shared" si="1"/>
        <v>TER B</v>
      </c>
      <c r="K33" s="210">
        <v>3761333.23</v>
      </c>
      <c r="L33" s="101">
        <f t="shared" si="6"/>
        <v>30575.999999999996</v>
      </c>
      <c r="M33" s="101">
        <f>'[22]MAINTENANCE-2'!AP38</f>
        <v>147480</v>
      </c>
      <c r="N33" s="101"/>
      <c r="O33" s="101"/>
      <c r="P33" s="101"/>
      <c r="Q33" s="46"/>
      <c r="R33" s="46"/>
      <c r="S33" s="46"/>
      <c r="T33" s="101">
        <f>'[22]MAINTENANCE-2'!X38</f>
        <v>156600</v>
      </c>
      <c r="U33" s="46"/>
      <c r="V33" s="101"/>
      <c r="W33" s="46"/>
      <c r="X33" s="46">
        <f>'[22]MAINTENANCE-2'!AC38</f>
        <v>47000</v>
      </c>
      <c r="Y33" s="46"/>
      <c r="Z33" s="46"/>
      <c r="AA33" s="46"/>
      <c r="AB33" s="46"/>
      <c r="AC33" s="231">
        <v>-242666.66</v>
      </c>
      <c r="AD33" s="46"/>
      <c r="AE33" s="46"/>
      <c r="AF33" s="62">
        <f t="shared" si="7"/>
        <v>3900322</v>
      </c>
      <c r="AG33" s="63">
        <f t="shared" si="0"/>
        <v>0</v>
      </c>
      <c r="AH33" s="106">
        <f t="shared" si="8"/>
        <v>0</v>
      </c>
      <c r="AJ33" s="93">
        <f t="shared" si="2"/>
        <v>0</v>
      </c>
      <c r="AL33" s="206">
        <v>3722266.57</v>
      </c>
      <c r="AM33" s="207">
        <f t="shared" si="3"/>
        <v>3900322.57</v>
      </c>
      <c r="AN33" s="151">
        <f t="shared" si="4"/>
        <v>0.56999999983236194</v>
      </c>
      <c r="AO33" s="93">
        <f t="shared" si="5"/>
        <v>-39066.660000000003</v>
      </c>
    </row>
    <row r="34" spans="2:41" s="27" customFormat="1">
      <c r="B34" s="97">
        <v>29</v>
      </c>
      <c r="C34" s="98" t="s">
        <v>304</v>
      </c>
      <c r="D34" s="42" t="s">
        <v>305</v>
      </c>
      <c r="E34" s="209" t="s">
        <v>73</v>
      </c>
      <c r="F34" s="41" t="s">
        <v>306</v>
      </c>
      <c r="G34" s="107" t="s">
        <v>88</v>
      </c>
      <c r="H34" s="44" t="s">
        <v>39</v>
      </c>
      <c r="I34" s="45" t="s">
        <v>11</v>
      </c>
      <c r="J34" s="58" t="str">
        <f t="shared" si="1"/>
        <v>TER B</v>
      </c>
      <c r="K34" s="210">
        <v>3761333.23</v>
      </c>
      <c r="L34" s="101">
        <f t="shared" si="6"/>
        <v>30575.999999999996</v>
      </c>
      <c r="M34" s="101">
        <f>'[22]MAINTENANCE-2'!AP39</f>
        <v>146560</v>
      </c>
      <c r="N34" s="101"/>
      <c r="O34" s="101"/>
      <c r="P34" s="101"/>
      <c r="Q34" s="46"/>
      <c r="R34" s="46"/>
      <c r="S34" s="46"/>
      <c r="T34" s="101">
        <f>'[22]MAINTENANCE-2'!X39</f>
        <v>162000</v>
      </c>
      <c r="U34" s="46"/>
      <c r="V34" s="101"/>
      <c r="W34" s="46"/>
      <c r="X34" s="46">
        <f>'[22]MAINTENANCE-2'!AC39</f>
        <v>24000</v>
      </c>
      <c r="Y34" s="46"/>
      <c r="Z34" s="46"/>
      <c r="AA34" s="46"/>
      <c r="AB34" s="46"/>
      <c r="AC34" s="231">
        <v>-121333.33</v>
      </c>
      <c r="AD34" s="46"/>
      <c r="AE34" s="46"/>
      <c r="AF34" s="62">
        <f t="shared" si="7"/>
        <v>4003135</v>
      </c>
      <c r="AG34" s="63">
        <f t="shared" si="0"/>
        <v>0</v>
      </c>
      <c r="AH34" s="106">
        <f t="shared" si="8"/>
        <v>0</v>
      </c>
      <c r="AJ34" s="93">
        <f t="shared" si="2"/>
        <v>0</v>
      </c>
      <c r="AL34" s="206">
        <v>3825999.9</v>
      </c>
      <c r="AM34" s="207">
        <f t="shared" si="3"/>
        <v>4003135.9</v>
      </c>
      <c r="AN34" s="151">
        <f t="shared" si="4"/>
        <v>0.89999999990686774</v>
      </c>
      <c r="AO34" s="93">
        <f t="shared" si="5"/>
        <v>64666.67</v>
      </c>
    </row>
    <row r="35" spans="2:41" s="27" customFormat="1">
      <c r="B35" s="97">
        <v>30</v>
      </c>
      <c r="C35" s="98" t="s">
        <v>307</v>
      </c>
      <c r="D35" s="42" t="s">
        <v>308</v>
      </c>
      <c r="E35" s="43" t="s">
        <v>363</v>
      </c>
      <c r="F35" s="41" t="s">
        <v>309</v>
      </c>
      <c r="G35" s="107" t="s">
        <v>88</v>
      </c>
      <c r="H35" s="44" t="s">
        <v>38</v>
      </c>
      <c r="I35" s="45" t="s">
        <v>7</v>
      </c>
      <c r="J35" s="58" t="str">
        <f t="shared" si="1"/>
        <v>TER A</v>
      </c>
      <c r="K35" s="210">
        <v>3761333.23</v>
      </c>
      <c r="L35" s="101">
        <f t="shared" si="6"/>
        <v>30575.999999999996</v>
      </c>
      <c r="M35" s="101">
        <f>'[22]MAINTENANCE-2'!AP40</f>
        <v>146320</v>
      </c>
      <c r="N35" s="101"/>
      <c r="O35" s="101"/>
      <c r="P35" s="101"/>
      <c r="Q35" s="46"/>
      <c r="R35" s="46"/>
      <c r="S35" s="46"/>
      <c r="T35" s="101">
        <f>'[22]MAINTENANCE-2'!X40</f>
        <v>69750</v>
      </c>
      <c r="U35" s="46"/>
      <c r="V35" s="101"/>
      <c r="W35" s="46"/>
      <c r="X35" s="46">
        <f>'[22]MAINTENANCE-2'!AC40</f>
        <v>18000</v>
      </c>
      <c r="Y35" s="46"/>
      <c r="Z35" s="46"/>
      <c r="AA35" s="46"/>
      <c r="AB35" s="46"/>
      <c r="AC35" s="231">
        <v>0</v>
      </c>
      <c r="AD35" s="46"/>
      <c r="AE35" s="46"/>
      <c r="AF35" s="62">
        <f t="shared" si="7"/>
        <v>4025979</v>
      </c>
      <c r="AG35" s="63">
        <f t="shared" si="0"/>
        <v>0</v>
      </c>
      <c r="AH35" s="106">
        <f t="shared" si="8"/>
        <v>0</v>
      </c>
      <c r="AJ35" s="93">
        <f t="shared" si="2"/>
        <v>0</v>
      </c>
      <c r="AL35" s="206">
        <v>3849083.23</v>
      </c>
      <c r="AM35" s="207">
        <f t="shared" si="3"/>
        <v>4025979.23</v>
      </c>
      <c r="AN35" s="151">
        <f t="shared" si="4"/>
        <v>0.22999999998137355</v>
      </c>
      <c r="AO35" s="93">
        <f t="shared" si="5"/>
        <v>87750</v>
      </c>
    </row>
    <row r="36" spans="2:41" s="27" customFormat="1">
      <c r="B36" s="97">
        <v>31</v>
      </c>
      <c r="C36" s="98" t="s">
        <v>313</v>
      </c>
      <c r="D36" s="42" t="s">
        <v>314</v>
      </c>
      <c r="E36" s="43" t="s">
        <v>364</v>
      </c>
      <c r="F36" s="41" t="s">
        <v>315</v>
      </c>
      <c r="G36" s="107" t="s">
        <v>88</v>
      </c>
      <c r="H36" s="44" t="s">
        <v>38</v>
      </c>
      <c r="I36" s="45" t="s">
        <v>7</v>
      </c>
      <c r="J36" s="58" t="str">
        <f t="shared" si="1"/>
        <v>TER A</v>
      </c>
      <c r="K36" s="210">
        <v>3761333.23</v>
      </c>
      <c r="L36" s="101">
        <f t="shared" si="6"/>
        <v>30575.999999999996</v>
      </c>
      <c r="M36" s="101">
        <f>'[22]MAINTENANCE-2'!AP41</f>
        <v>147620</v>
      </c>
      <c r="N36" s="101"/>
      <c r="O36" s="101"/>
      <c r="P36" s="101"/>
      <c r="Q36" s="46"/>
      <c r="R36" s="46"/>
      <c r="S36" s="46"/>
      <c r="T36" s="101">
        <f>'[22]MAINTENANCE-2'!X41</f>
        <v>69750</v>
      </c>
      <c r="U36" s="46"/>
      <c r="V36" s="101"/>
      <c r="W36" s="46"/>
      <c r="X36" s="46">
        <f>'[22]MAINTENANCE-2'!AC41</f>
        <v>50500</v>
      </c>
      <c r="Y36" s="46"/>
      <c r="Z36" s="46"/>
      <c r="AA36" s="46"/>
      <c r="AB36" s="46"/>
      <c r="AC36" s="231">
        <v>0</v>
      </c>
      <c r="AD36" s="46"/>
      <c r="AE36" s="46"/>
      <c r="AF36" s="62">
        <f t="shared" si="7"/>
        <v>4059779</v>
      </c>
      <c r="AG36" s="63">
        <f t="shared" si="0"/>
        <v>0</v>
      </c>
      <c r="AH36" s="106">
        <f t="shared" si="8"/>
        <v>0</v>
      </c>
      <c r="AJ36" s="93">
        <f t="shared" si="2"/>
        <v>0</v>
      </c>
      <c r="AL36" s="206">
        <v>3881583.23</v>
      </c>
      <c r="AM36" s="207">
        <f t="shared" si="3"/>
        <v>4059779.23</v>
      </c>
      <c r="AN36" s="151">
        <f t="shared" si="4"/>
        <v>0.22999999998137355</v>
      </c>
      <c r="AO36" s="93">
        <f t="shared" si="5"/>
        <v>120250</v>
      </c>
    </row>
    <row r="37" spans="2:41" s="27" customFormat="1">
      <c r="B37" s="97">
        <v>32</v>
      </c>
      <c r="C37" s="98" t="s">
        <v>397</v>
      </c>
      <c r="D37" s="235" t="s">
        <v>398</v>
      </c>
      <c r="E37" s="209" t="s">
        <v>73</v>
      </c>
      <c r="F37" s="41" t="s">
        <v>399</v>
      </c>
      <c r="G37" s="107" t="s">
        <v>88</v>
      </c>
      <c r="H37" s="44" t="s">
        <v>39</v>
      </c>
      <c r="I37" s="45" t="s">
        <v>7</v>
      </c>
      <c r="J37" s="58" t="str">
        <f t="shared" si="1"/>
        <v>TER A</v>
      </c>
      <c r="K37" s="210">
        <v>3761333.23</v>
      </c>
      <c r="L37" s="101">
        <f t="shared" si="6"/>
        <v>30575.999999999996</v>
      </c>
      <c r="M37" s="101">
        <f>'[22]MAINTENANCE-2'!AP42</f>
        <v>145600</v>
      </c>
      <c r="N37" s="101"/>
      <c r="O37" s="101"/>
      <c r="P37" s="101"/>
      <c r="Q37" s="46"/>
      <c r="R37" s="101"/>
      <c r="S37" s="101"/>
      <c r="T37" s="101">
        <f>'[22]MAINTENANCE-2'!X42</f>
        <v>69750</v>
      </c>
      <c r="U37" s="46"/>
      <c r="V37" s="101"/>
      <c r="W37" s="46"/>
      <c r="X37" s="46">
        <f>'[22]MAINTENANCE-2'!AC42</f>
        <v>0</v>
      </c>
      <c r="Y37" s="46"/>
      <c r="Z37" s="46"/>
      <c r="AA37" s="46"/>
      <c r="AB37" s="46"/>
      <c r="AC37" s="231">
        <v>0</v>
      </c>
      <c r="AD37" s="46"/>
      <c r="AE37" s="46"/>
      <c r="AF37" s="62">
        <f t="shared" si="7"/>
        <v>4007259</v>
      </c>
      <c r="AG37" s="63">
        <f t="shared" si="0"/>
        <v>0</v>
      </c>
      <c r="AH37" s="106">
        <f t="shared" si="8"/>
        <v>0</v>
      </c>
      <c r="AJ37" s="93"/>
      <c r="AL37" s="206">
        <v>3831083.23</v>
      </c>
      <c r="AM37" s="207">
        <f t="shared" si="3"/>
        <v>4007259.23</v>
      </c>
      <c r="AN37" s="151">
        <f t="shared" si="4"/>
        <v>0.22999999998137355</v>
      </c>
      <c r="AO37" s="93">
        <f t="shared" si="5"/>
        <v>69750</v>
      </c>
    </row>
    <row r="38" spans="2:41" s="27" customFormat="1">
      <c r="B38" s="97">
        <v>33</v>
      </c>
      <c r="C38" s="98" t="s">
        <v>400</v>
      </c>
      <c r="D38" s="235" t="s">
        <v>401</v>
      </c>
      <c r="E38" s="43" t="s">
        <v>402</v>
      </c>
      <c r="F38" s="41" t="s">
        <v>403</v>
      </c>
      <c r="G38" s="107" t="s">
        <v>88</v>
      </c>
      <c r="H38" s="44" t="s">
        <v>39</v>
      </c>
      <c r="I38" s="45" t="s">
        <v>9</v>
      </c>
      <c r="J38" s="58" t="str">
        <f t="shared" si="1"/>
        <v>TER B</v>
      </c>
      <c r="K38" s="210">
        <v>3761333.23</v>
      </c>
      <c r="L38" s="101">
        <f t="shared" si="6"/>
        <v>30575.999999999996</v>
      </c>
      <c r="M38" s="101">
        <f>'[22]MAINTENANCE-2'!AP43</f>
        <v>146560</v>
      </c>
      <c r="N38" s="101"/>
      <c r="O38" s="101"/>
      <c r="P38" s="101"/>
      <c r="Q38" s="46"/>
      <c r="R38" s="101"/>
      <c r="S38" s="101"/>
      <c r="T38" s="101">
        <f>'[22]MAINTENANCE-2'!X43</f>
        <v>130500</v>
      </c>
      <c r="U38" s="46"/>
      <c r="V38" s="101"/>
      <c r="W38" s="46"/>
      <c r="X38" s="46">
        <f>'[22]MAINTENANCE-2'!AC43</f>
        <v>24000</v>
      </c>
      <c r="Y38" s="46"/>
      <c r="Z38" s="46"/>
      <c r="AA38" s="46"/>
      <c r="AB38" s="46"/>
      <c r="AC38" s="231">
        <v>-242666.66</v>
      </c>
      <c r="AD38" s="46"/>
      <c r="AE38" s="46"/>
      <c r="AF38" s="62">
        <f t="shared" si="7"/>
        <v>3850302</v>
      </c>
      <c r="AG38" s="63">
        <f t="shared" si="0"/>
        <v>0</v>
      </c>
      <c r="AH38" s="106">
        <f t="shared" si="8"/>
        <v>0</v>
      </c>
      <c r="AJ38" s="93"/>
      <c r="AL38" s="206">
        <v>3673166.57</v>
      </c>
      <c r="AM38" s="207">
        <f t="shared" si="3"/>
        <v>3850302.57</v>
      </c>
      <c r="AN38" s="151">
        <f t="shared" si="4"/>
        <v>0.56999999983236194</v>
      </c>
      <c r="AO38" s="93">
        <f t="shared" si="5"/>
        <v>-88166.66</v>
      </c>
    </row>
    <row r="39" spans="2:41" s="27" customFormat="1">
      <c r="B39" s="97">
        <v>34</v>
      </c>
      <c r="C39" s="98" t="s">
        <v>404</v>
      </c>
      <c r="D39" s="235" t="s">
        <v>405</v>
      </c>
      <c r="E39" s="43" t="s">
        <v>406</v>
      </c>
      <c r="F39" s="41" t="s">
        <v>407</v>
      </c>
      <c r="G39" s="107" t="s">
        <v>88</v>
      </c>
      <c r="H39" s="44" t="s">
        <v>38</v>
      </c>
      <c r="I39" s="45" t="s">
        <v>7</v>
      </c>
      <c r="J39" s="58" t="str">
        <f t="shared" si="1"/>
        <v>TER A</v>
      </c>
      <c r="K39" s="210">
        <v>3761333.23</v>
      </c>
      <c r="L39" s="101">
        <f t="shared" si="6"/>
        <v>30575.999999999996</v>
      </c>
      <c r="M39" s="101">
        <f>'[22]MAINTENANCE-2'!AP44</f>
        <v>146680</v>
      </c>
      <c r="N39" s="101"/>
      <c r="O39" s="101"/>
      <c r="P39" s="101"/>
      <c r="Q39" s="46"/>
      <c r="R39" s="101"/>
      <c r="S39" s="101"/>
      <c r="T39" s="101">
        <f>'[22]MAINTENANCE-2'!X44</f>
        <v>67500</v>
      </c>
      <c r="U39" s="46"/>
      <c r="V39" s="101"/>
      <c r="W39" s="46"/>
      <c r="X39" s="46">
        <f>'[22]MAINTENANCE-2'!AC44</f>
        <v>27000</v>
      </c>
      <c r="Y39" s="46"/>
      <c r="Z39" s="46"/>
      <c r="AA39" s="46"/>
      <c r="AB39" s="46"/>
      <c r="AC39" s="231">
        <v>-121333.33</v>
      </c>
      <c r="AD39" s="46"/>
      <c r="AE39" s="46"/>
      <c r="AF39" s="62">
        <f t="shared" si="7"/>
        <v>3911755</v>
      </c>
      <c r="AG39" s="63">
        <f t="shared" si="0"/>
        <v>0</v>
      </c>
      <c r="AH39" s="106">
        <f t="shared" si="8"/>
        <v>0</v>
      </c>
      <c r="AJ39" s="93"/>
      <c r="AL39" s="206">
        <v>3734499.9000000004</v>
      </c>
      <c r="AM39" s="207">
        <f t="shared" si="3"/>
        <v>3911755.9000000004</v>
      </c>
      <c r="AN39" s="151">
        <f t="shared" si="4"/>
        <v>0.90000000037252903</v>
      </c>
      <c r="AO39" s="93">
        <f t="shared" si="5"/>
        <v>-26833.33</v>
      </c>
    </row>
    <row r="40" spans="2:41" s="27" customFormat="1">
      <c r="B40" s="97">
        <v>35</v>
      </c>
      <c r="C40" s="98" t="s">
        <v>408</v>
      </c>
      <c r="D40" s="42" t="s">
        <v>409</v>
      </c>
      <c r="E40" s="43" t="s">
        <v>410</v>
      </c>
      <c r="F40" s="41" t="s">
        <v>411</v>
      </c>
      <c r="G40" s="107" t="s">
        <v>88</v>
      </c>
      <c r="H40" s="44" t="s">
        <v>39</v>
      </c>
      <c r="I40" s="45" t="s">
        <v>11</v>
      </c>
      <c r="J40" s="58" t="str">
        <f t="shared" si="1"/>
        <v>TER B</v>
      </c>
      <c r="K40" s="210">
        <v>3761333.23</v>
      </c>
      <c r="L40" s="101">
        <f t="shared" si="6"/>
        <v>30575.999999999996</v>
      </c>
      <c r="M40" s="101">
        <f>'[22]MAINTENANCE-2'!AP45</f>
        <v>146920</v>
      </c>
      <c r="N40" s="101"/>
      <c r="O40" s="101"/>
      <c r="P40" s="101"/>
      <c r="Q40" s="46"/>
      <c r="R40" s="101"/>
      <c r="S40" s="101"/>
      <c r="T40" s="101">
        <f>'[22]MAINTENANCE-2'!X45</f>
        <v>162000</v>
      </c>
      <c r="U40" s="46"/>
      <c r="V40" s="101"/>
      <c r="W40" s="46"/>
      <c r="X40" s="46">
        <f>'[22]MAINTENANCE-2'!AC45</f>
        <v>33000</v>
      </c>
      <c r="Y40" s="46"/>
      <c r="Z40" s="46"/>
      <c r="AA40" s="46"/>
      <c r="AB40" s="46"/>
      <c r="AC40" s="231">
        <v>-121333.33</v>
      </c>
      <c r="AD40" s="46"/>
      <c r="AE40" s="46"/>
      <c r="AF40" s="62">
        <f t="shared" si="7"/>
        <v>4012495</v>
      </c>
      <c r="AG40" s="63">
        <f t="shared" si="0"/>
        <v>0</v>
      </c>
      <c r="AH40" s="106">
        <f t="shared" si="8"/>
        <v>0</v>
      </c>
      <c r="AJ40" s="93"/>
      <c r="AL40" s="206">
        <v>3834999.9</v>
      </c>
      <c r="AM40" s="207">
        <f t="shared" si="3"/>
        <v>4012495.9</v>
      </c>
      <c r="AN40" s="151">
        <f t="shared" si="4"/>
        <v>0.89999999990686774</v>
      </c>
      <c r="AO40" s="93">
        <f t="shared" si="5"/>
        <v>73666.67</v>
      </c>
    </row>
    <row r="41" spans="2:41" s="27" customFormat="1">
      <c r="B41" s="97">
        <v>36</v>
      </c>
      <c r="C41" s="98" t="s">
        <v>412</v>
      </c>
      <c r="D41" s="42" t="s">
        <v>413</v>
      </c>
      <c r="E41" s="43" t="s">
        <v>414</v>
      </c>
      <c r="F41" s="41" t="s">
        <v>415</v>
      </c>
      <c r="G41" s="107" t="s">
        <v>88</v>
      </c>
      <c r="H41" s="44" t="s">
        <v>39</v>
      </c>
      <c r="I41" s="45" t="s">
        <v>9</v>
      </c>
      <c r="J41" s="58" t="str">
        <f t="shared" si="1"/>
        <v>TER B</v>
      </c>
      <c r="K41" s="210">
        <v>3761333.23</v>
      </c>
      <c r="L41" s="101">
        <f t="shared" si="6"/>
        <v>30575.999999999996</v>
      </c>
      <c r="M41" s="101">
        <f>'[22]MAINTENANCE-2'!AP46</f>
        <v>147480</v>
      </c>
      <c r="N41" s="101"/>
      <c r="O41" s="101"/>
      <c r="P41" s="101"/>
      <c r="Q41" s="46"/>
      <c r="R41" s="101"/>
      <c r="S41" s="101"/>
      <c r="T41" s="101">
        <f>'[22]MAINTENANCE-2'!X46</f>
        <v>162000</v>
      </c>
      <c r="U41" s="46"/>
      <c r="V41" s="101"/>
      <c r="W41" s="46"/>
      <c r="X41" s="46">
        <f>'[22]MAINTENANCE-2'!AC46</f>
        <v>47000</v>
      </c>
      <c r="Y41" s="46"/>
      <c r="Z41" s="46"/>
      <c r="AA41" s="46"/>
      <c r="AB41" s="46"/>
      <c r="AC41" s="231">
        <v>-121333.33</v>
      </c>
      <c r="AD41" s="46"/>
      <c r="AE41" s="46"/>
      <c r="AF41" s="62">
        <f t="shared" si="7"/>
        <v>4027055</v>
      </c>
      <c r="AG41" s="63">
        <f t="shared" si="0"/>
        <v>0</v>
      </c>
      <c r="AH41" s="106">
        <f t="shared" si="8"/>
        <v>0</v>
      </c>
      <c r="AJ41" s="93"/>
      <c r="AL41" s="206">
        <v>3848999.9</v>
      </c>
      <c r="AM41" s="207">
        <f t="shared" si="3"/>
        <v>4027055.9</v>
      </c>
      <c r="AN41" s="151">
        <f t="shared" si="4"/>
        <v>0.89999999990686774</v>
      </c>
      <c r="AO41" s="93">
        <f t="shared" si="5"/>
        <v>87666.67</v>
      </c>
    </row>
    <row r="42" spans="2:41" s="27" customFormat="1">
      <c r="B42" s="97">
        <v>37</v>
      </c>
      <c r="C42" s="98" t="s">
        <v>416</v>
      </c>
      <c r="D42" s="235" t="s">
        <v>417</v>
      </c>
      <c r="E42" s="43" t="s">
        <v>418</v>
      </c>
      <c r="F42" s="41" t="s">
        <v>419</v>
      </c>
      <c r="G42" s="107" t="s">
        <v>88</v>
      </c>
      <c r="H42" s="44" t="s">
        <v>39</v>
      </c>
      <c r="I42" s="45" t="s">
        <v>11</v>
      </c>
      <c r="J42" s="58" t="str">
        <f t="shared" si="1"/>
        <v>TER B</v>
      </c>
      <c r="K42" s="210">
        <v>3838833.23</v>
      </c>
      <c r="L42" s="101">
        <f>3715000*0.84%</f>
        <v>31205.999999999996</v>
      </c>
      <c r="M42" s="101">
        <f>'[22]MAINTENANCE-2'!AP47</f>
        <v>150480</v>
      </c>
      <c r="N42" s="101"/>
      <c r="O42" s="101"/>
      <c r="P42" s="101"/>
      <c r="Q42" s="46"/>
      <c r="R42" s="101"/>
      <c r="S42" s="101"/>
      <c r="T42" s="101">
        <f>'[22]MAINTENANCE-2'!X47</f>
        <v>162000</v>
      </c>
      <c r="U42" s="46"/>
      <c r="V42" s="101"/>
      <c r="W42" s="46"/>
      <c r="X42" s="46">
        <f>'[22]MAINTENANCE-2'!AC47</f>
        <v>47000</v>
      </c>
      <c r="Y42" s="46"/>
      <c r="Z42" s="46"/>
      <c r="AA42" s="46"/>
      <c r="AB42" s="46"/>
      <c r="AC42" s="231">
        <v>-123833.33</v>
      </c>
      <c r="AD42" s="46"/>
      <c r="AE42" s="46"/>
      <c r="AF42" s="62">
        <f t="shared" si="7"/>
        <v>4105685</v>
      </c>
      <c r="AG42" s="63">
        <f t="shared" si="0"/>
        <v>0</v>
      </c>
      <c r="AH42" s="106">
        <f t="shared" si="8"/>
        <v>0</v>
      </c>
      <c r="AJ42" s="93"/>
      <c r="AL42" s="206">
        <v>3923999.9</v>
      </c>
      <c r="AM42" s="207">
        <f t="shared" si="3"/>
        <v>4105685.9</v>
      </c>
      <c r="AN42" s="151">
        <f t="shared" si="4"/>
        <v>0.89999999990686774</v>
      </c>
      <c r="AO42" s="93">
        <f t="shared" si="5"/>
        <v>85166.67</v>
      </c>
    </row>
    <row r="43" spans="2:41" s="27" customFormat="1">
      <c r="B43" s="97">
        <v>38</v>
      </c>
      <c r="C43" s="98" t="s">
        <v>316</v>
      </c>
      <c r="D43" s="42" t="s">
        <v>317</v>
      </c>
      <c r="E43" s="43" t="s">
        <v>370</v>
      </c>
      <c r="F43" s="41" t="s">
        <v>318</v>
      </c>
      <c r="G43" s="107" t="s">
        <v>87</v>
      </c>
      <c r="H43" s="44" t="s">
        <v>39</v>
      </c>
      <c r="I43" s="45" t="s">
        <v>9</v>
      </c>
      <c r="J43" s="58" t="str">
        <f t="shared" si="1"/>
        <v>TER B</v>
      </c>
      <c r="K43" s="210">
        <v>3761333.23</v>
      </c>
      <c r="L43" s="46">
        <f>3640000*0.84%</f>
        <v>30575.999999999996</v>
      </c>
      <c r="M43" s="101">
        <f>[22]TRANSPORT!AJ11</f>
        <v>147480</v>
      </c>
      <c r="N43" s="101">
        <v>426182</v>
      </c>
      <c r="O43" s="101">
        <v>660000</v>
      </c>
      <c r="P43" s="101">
        <v>104500</v>
      </c>
      <c r="Q43" s="46">
        <v>31560</v>
      </c>
      <c r="R43" s="46"/>
      <c r="S43" s="46"/>
      <c r="T43" s="101">
        <f>[22]TRANSPORT!T11</f>
        <v>135000</v>
      </c>
      <c r="U43" s="46">
        <f>[22]TRANSPORT!W11</f>
        <v>78000</v>
      </c>
      <c r="V43" s="101">
        <v>1283468.06</v>
      </c>
      <c r="W43" s="46"/>
      <c r="X43" s="46">
        <f>[22]TRANSPORT!Y11</f>
        <v>47000</v>
      </c>
      <c r="Y43" s="46"/>
      <c r="Z43" s="46"/>
      <c r="AA43" s="46"/>
      <c r="AB43" s="46"/>
      <c r="AC43" s="231">
        <v>-121333.33</v>
      </c>
      <c r="AD43" s="46"/>
      <c r="AE43" s="46"/>
      <c r="AF43" s="62">
        <f t="shared" si="7"/>
        <v>6583765</v>
      </c>
      <c r="AG43" s="63">
        <f t="shared" ref="AG43:AG51" si="9">IF(J43="TER A",VLOOKUP(AF43,Ter_A,4,TRUE),IF(J43="TER B",VLOOKUP(AF43,Ter_B,4,TRUE),VLOOKUP(AF43,Ter_C,4,TRUE)))</f>
        <v>5.0000000000000001E-3</v>
      </c>
      <c r="AH43" s="106">
        <f t="shared" si="8"/>
        <v>32918</v>
      </c>
      <c r="AJ43" s="93">
        <f t="shared" si="2"/>
        <v>-32918</v>
      </c>
      <c r="AL43" s="92">
        <v>6405709.9600000009</v>
      </c>
      <c r="AM43" s="207">
        <f t="shared" si="3"/>
        <v>6583765.9600000009</v>
      </c>
      <c r="AN43" s="151">
        <f t="shared" si="4"/>
        <v>0.96000000089406967</v>
      </c>
      <c r="AO43" s="93">
        <f t="shared" si="5"/>
        <v>2644376.73</v>
      </c>
    </row>
    <row r="44" spans="2:41" s="27" customFormat="1">
      <c r="B44" s="97">
        <v>39</v>
      </c>
      <c r="C44" s="98" t="s">
        <v>393</v>
      </c>
      <c r="D44" s="42" t="s">
        <v>320</v>
      </c>
      <c r="E44" s="43" t="s">
        <v>371</v>
      </c>
      <c r="F44" s="41" t="s">
        <v>423</v>
      </c>
      <c r="G44" s="107" t="s">
        <v>372</v>
      </c>
      <c r="H44" s="44" t="s">
        <v>39</v>
      </c>
      <c r="I44" s="45" t="s">
        <v>9</v>
      </c>
      <c r="J44" s="58" t="str">
        <f t="shared" si="1"/>
        <v>TER B</v>
      </c>
      <c r="K44" s="210">
        <v>3761333.23</v>
      </c>
      <c r="L44" s="46">
        <f t="shared" ref="L44:L51" si="10">3640000*0.84%</f>
        <v>30575.999999999996</v>
      </c>
      <c r="M44" s="101">
        <f>[22]TRANSPORT!AJ12</f>
        <v>146800</v>
      </c>
      <c r="N44" s="101">
        <v>416522</v>
      </c>
      <c r="O44" s="101">
        <v>627000</v>
      </c>
      <c r="P44" s="101">
        <v>75500</v>
      </c>
      <c r="Q44" s="46">
        <v>31560</v>
      </c>
      <c r="R44" s="46"/>
      <c r="S44" s="46"/>
      <c r="T44" s="101">
        <f>[22]TRANSPORT!T12</f>
        <v>135000</v>
      </c>
      <c r="U44" s="46">
        <f>[22]TRANSPORT!W12</f>
        <v>52000</v>
      </c>
      <c r="V44" s="46">
        <v>1367629.9</v>
      </c>
      <c r="W44" s="46"/>
      <c r="X44" s="46">
        <f>[22]TRANSPORT!Y12</f>
        <v>30000</v>
      </c>
      <c r="Y44" s="46"/>
      <c r="Z44" s="46"/>
      <c r="AA44" s="46"/>
      <c r="AB44" s="46"/>
      <c r="AC44" s="231">
        <v>-121333.33</v>
      </c>
      <c r="AD44" s="46"/>
      <c r="AE44" s="46"/>
      <c r="AF44" s="62">
        <f t="shared" si="7"/>
        <v>6552587</v>
      </c>
      <c r="AG44" s="63">
        <f t="shared" si="9"/>
        <v>5.0000000000000001E-3</v>
      </c>
      <c r="AH44" s="106">
        <f t="shared" si="8"/>
        <v>32762</v>
      </c>
      <c r="AJ44" s="93">
        <f t="shared" si="2"/>
        <v>-32762</v>
      </c>
      <c r="AL44" s="92">
        <v>6375211.8000000007</v>
      </c>
      <c r="AM44" s="207">
        <f t="shared" si="3"/>
        <v>6552587.8000000007</v>
      </c>
      <c r="AN44" s="151">
        <f t="shared" si="4"/>
        <v>0.80000000074505806</v>
      </c>
      <c r="AO44" s="93">
        <f t="shared" si="5"/>
        <v>2613878.5699999998</v>
      </c>
    </row>
    <row r="45" spans="2:41" s="27" customFormat="1">
      <c r="B45" s="97">
        <v>40</v>
      </c>
      <c r="C45" s="98" t="s">
        <v>322</v>
      </c>
      <c r="D45" s="42" t="s">
        <v>323</v>
      </c>
      <c r="E45" s="43" t="s">
        <v>373</v>
      </c>
      <c r="F45" s="41" t="s">
        <v>223</v>
      </c>
      <c r="G45" s="107" t="s">
        <v>87</v>
      </c>
      <c r="H45" s="44" t="s">
        <v>39</v>
      </c>
      <c r="I45" s="45" t="s">
        <v>11</v>
      </c>
      <c r="J45" s="58" t="str">
        <f t="shared" si="1"/>
        <v>TER B</v>
      </c>
      <c r="K45" s="210">
        <v>3761333.23</v>
      </c>
      <c r="L45" s="46">
        <f t="shared" si="10"/>
        <v>30575.999999999996</v>
      </c>
      <c r="M45" s="101">
        <f>[22]TRANSPORT!AJ13</f>
        <v>148040</v>
      </c>
      <c r="N45" s="101">
        <v>107295</v>
      </c>
      <c r="O45" s="101">
        <v>711000</v>
      </c>
      <c r="P45" s="101">
        <v>9500</v>
      </c>
      <c r="Q45" s="46">
        <v>261360</v>
      </c>
      <c r="R45" s="46"/>
      <c r="S45" s="46"/>
      <c r="T45" s="101">
        <f>[22]TRANSPORT!T13</f>
        <v>167400</v>
      </c>
      <c r="U45" s="46">
        <f>[22]TRANSPORT!W13</f>
        <v>78000</v>
      </c>
      <c r="V45" s="46">
        <v>1409710.8199999998</v>
      </c>
      <c r="W45" s="46"/>
      <c r="X45" s="46">
        <f>[22]TRANSPORT!Y13</f>
        <v>61000</v>
      </c>
      <c r="Y45" s="46"/>
      <c r="Z45" s="46"/>
      <c r="AA45" s="46"/>
      <c r="AB45" s="46"/>
      <c r="AC45" s="231"/>
      <c r="AD45" s="46"/>
      <c r="AE45" s="46"/>
      <c r="AF45" s="62">
        <f t="shared" si="7"/>
        <v>6745215</v>
      </c>
      <c r="AG45" s="63">
        <f t="shared" si="9"/>
        <v>5.0000000000000001E-3</v>
      </c>
      <c r="AH45" s="106">
        <f t="shared" si="8"/>
        <v>33726</v>
      </c>
      <c r="AJ45" s="93">
        <f t="shared" si="2"/>
        <v>-33726</v>
      </c>
      <c r="AL45" s="92">
        <v>6566599.0500000007</v>
      </c>
      <c r="AM45" s="207">
        <f t="shared" si="3"/>
        <v>6745215.0500000007</v>
      </c>
      <c r="AN45" s="151">
        <f t="shared" si="4"/>
        <v>5.000000074505806E-2</v>
      </c>
      <c r="AO45" s="93">
        <f t="shared" si="5"/>
        <v>2805265.82</v>
      </c>
    </row>
    <row r="46" spans="2:41" s="27" customFormat="1">
      <c r="B46" s="97">
        <v>41</v>
      </c>
      <c r="C46" s="98" t="s">
        <v>395</v>
      </c>
      <c r="D46" s="42" t="s">
        <v>325</v>
      </c>
      <c r="E46" s="43" t="s">
        <v>374</v>
      </c>
      <c r="F46" s="41" t="s">
        <v>223</v>
      </c>
      <c r="G46" s="107" t="s">
        <v>372</v>
      </c>
      <c r="H46" s="44" t="s">
        <v>39</v>
      </c>
      <c r="I46" s="45" t="s">
        <v>11</v>
      </c>
      <c r="J46" s="58" t="str">
        <f t="shared" si="1"/>
        <v>TER B</v>
      </c>
      <c r="K46" s="210">
        <v>3761333.23</v>
      </c>
      <c r="L46" s="46">
        <f t="shared" si="10"/>
        <v>30575.999999999996</v>
      </c>
      <c r="M46" s="101">
        <f>[22]TRANSPORT!AJ14</f>
        <v>148040</v>
      </c>
      <c r="N46" s="101">
        <v>99705</v>
      </c>
      <c r="O46" s="101">
        <v>777000</v>
      </c>
      <c r="P46" s="101">
        <v>9000</v>
      </c>
      <c r="Q46" s="46">
        <v>261360</v>
      </c>
      <c r="R46" s="46"/>
      <c r="S46" s="46"/>
      <c r="T46" s="101">
        <f>[22]TRANSPORT!T14</f>
        <v>167400</v>
      </c>
      <c r="U46" s="46">
        <f>[22]TRANSPORT!W14</f>
        <v>52000</v>
      </c>
      <c r="V46" s="46">
        <v>1451791.7399999998</v>
      </c>
      <c r="W46" s="46"/>
      <c r="X46" s="46">
        <f>[22]TRANSPORT!Y14</f>
        <v>61000</v>
      </c>
      <c r="Y46" s="46"/>
      <c r="Z46" s="46"/>
      <c r="AA46" s="46"/>
      <c r="AB46" s="46"/>
      <c r="AC46" s="231"/>
      <c r="AD46" s="46"/>
      <c r="AE46" s="46"/>
      <c r="AF46" s="62">
        <f t="shared" si="7"/>
        <v>6819205</v>
      </c>
      <c r="AG46" s="63">
        <f t="shared" si="9"/>
        <v>5.0000000000000001E-3</v>
      </c>
      <c r="AH46" s="106">
        <f t="shared" si="8"/>
        <v>34096</v>
      </c>
      <c r="AJ46" s="93">
        <f t="shared" si="2"/>
        <v>-34096</v>
      </c>
      <c r="AL46" s="92">
        <v>6640589.9700000007</v>
      </c>
      <c r="AM46" s="207">
        <f t="shared" si="3"/>
        <v>6819205.9700000007</v>
      </c>
      <c r="AN46" s="151">
        <f t="shared" si="4"/>
        <v>0.97000000067055225</v>
      </c>
      <c r="AO46" s="93">
        <f t="shared" si="5"/>
        <v>2879256.7399999998</v>
      </c>
    </row>
    <row r="47" spans="2:41" s="27" customFormat="1">
      <c r="B47" s="97">
        <v>42</v>
      </c>
      <c r="C47" s="98" t="s">
        <v>209</v>
      </c>
      <c r="D47" s="42" t="s">
        <v>210</v>
      </c>
      <c r="E47" s="209" t="s">
        <v>73</v>
      </c>
      <c r="F47" s="41" t="s">
        <v>211</v>
      </c>
      <c r="G47" s="107" t="s">
        <v>375</v>
      </c>
      <c r="H47" s="44" t="s">
        <v>39</v>
      </c>
      <c r="I47" s="45" t="s">
        <v>9</v>
      </c>
      <c r="J47" s="58" t="str">
        <f t="shared" si="1"/>
        <v>TER B</v>
      </c>
      <c r="K47" s="210">
        <v>3761333.23</v>
      </c>
      <c r="L47" s="46">
        <f t="shared" si="10"/>
        <v>30575.999999999996</v>
      </c>
      <c r="M47" s="46">
        <f>[22]HARVESTING!AS11</f>
        <v>146100</v>
      </c>
      <c r="N47" s="46"/>
      <c r="O47" s="46"/>
      <c r="P47" s="46"/>
      <c r="Q47" s="46"/>
      <c r="R47" s="46"/>
      <c r="S47" s="46">
        <v>82950</v>
      </c>
      <c r="T47" s="101">
        <f>[22]HARVESTING!X11</f>
        <v>139500</v>
      </c>
      <c r="U47" s="46"/>
      <c r="V47" s="46"/>
      <c r="W47" s="46"/>
      <c r="X47" s="101">
        <f>[22]HARVESTING!AC11</f>
        <v>12500</v>
      </c>
      <c r="Y47" s="46"/>
      <c r="Z47" s="46"/>
      <c r="AA47" s="46"/>
      <c r="AB47" s="46"/>
      <c r="AC47" s="231"/>
      <c r="AD47" s="46"/>
      <c r="AE47" s="46"/>
      <c r="AF47" s="62">
        <f t="shared" si="7"/>
        <v>4172959</v>
      </c>
      <c r="AG47" s="63">
        <f t="shared" si="9"/>
        <v>0</v>
      </c>
      <c r="AH47" s="106">
        <f t="shared" si="8"/>
        <v>0</v>
      </c>
      <c r="AJ47" s="93">
        <f t="shared" si="2"/>
        <v>0</v>
      </c>
      <c r="AL47" s="92">
        <v>3996283.23</v>
      </c>
      <c r="AM47" s="207">
        <f>AL47+L47+M47+AE47</f>
        <v>4172959.23</v>
      </c>
      <c r="AN47" s="151">
        <f t="shared" si="4"/>
        <v>0.22999999998137355</v>
      </c>
      <c r="AO47" s="93">
        <f t="shared" si="5"/>
        <v>234950</v>
      </c>
    </row>
    <row r="48" spans="2:41" s="27" customFormat="1">
      <c r="B48" s="97">
        <v>43</v>
      </c>
      <c r="C48" s="98" t="s">
        <v>212</v>
      </c>
      <c r="D48" s="42" t="s">
        <v>213</v>
      </c>
      <c r="E48" s="209" t="s">
        <v>73</v>
      </c>
      <c r="F48" s="41" t="s">
        <v>214</v>
      </c>
      <c r="G48" s="107" t="s">
        <v>375</v>
      </c>
      <c r="H48" s="44" t="s">
        <v>39</v>
      </c>
      <c r="I48" s="45" t="s">
        <v>9</v>
      </c>
      <c r="J48" s="58" t="str">
        <f t="shared" si="1"/>
        <v>TER B</v>
      </c>
      <c r="K48" s="210">
        <v>3761333.23</v>
      </c>
      <c r="L48" s="46">
        <f t="shared" si="10"/>
        <v>30575.999999999996</v>
      </c>
      <c r="M48" s="46">
        <f>[22]HARVESTING!AS12</f>
        <v>146100</v>
      </c>
      <c r="N48" s="46"/>
      <c r="O48" s="46"/>
      <c r="P48" s="46"/>
      <c r="Q48" s="46"/>
      <c r="R48" s="46"/>
      <c r="S48" s="46">
        <v>129150</v>
      </c>
      <c r="T48" s="101">
        <f>[22]HARVESTING!X12</f>
        <v>139500</v>
      </c>
      <c r="U48" s="46"/>
      <c r="V48" s="46"/>
      <c r="W48" s="46"/>
      <c r="X48" s="101">
        <f>[22]HARVESTING!AC12</f>
        <v>12500</v>
      </c>
      <c r="Y48" s="46"/>
      <c r="Z48" s="46"/>
      <c r="AA48" s="46"/>
      <c r="AB48" s="46"/>
      <c r="AC48" s="231"/>
      <c r="AD48" s="46"/>
      <c r="AE48" s="46"/>
      <c r="AF48" s="62">
        <f t="shared" si="7"/>
        <v>4219159</v>
      </c>
      <c r="AG48" s="63">
        <f t="shared" si="9"/>
        <v>0</v>
      </c>
      <c r="AH48" s="106">
        <f t="shared" si="8"/>
        <v>0</v>
      </c>
      <c r="AJ48" s="93">
        <f t="shared" si="2"/>
        <v>0</v>
      </c>
      <c r="AL48" s="92">
        <v>4042483.23</v>
      </c>
      <c r="AM48" s="207">
        <f>AL48+L48+M48+AE48</f>
        <v>4219159.2300000004</v>
      </c>
      <c r="AN48" s="151">
        <f>AM48-AF48</f>
        <v>0.23000000044703484</v>
      </c>
      <c r="AO48" s="93">
        <f t="shared" si="5"/>
        <v>281150</v>
      </c>
    </row>
    <row r="49" spans="2:59" s="27" customFormat="1">
      <c r="B49" s="97">
        <v>44</v>
      </c>
      <c r="C49" s="98" t="s">
        <v>424</v>
      </c>
      <c r="D49" s="42" t="s">
        <v>425</v>
      </c>
      <c r="E49" s="209" t="s">
        <v>426</v>
      </c>
      <c r="F49" s="41" t="s">
        <v>427</v>
      </c>
      <c r="G49" s="107" t="s">
        <v>375</v>
      </c>
      <c r="H49" s="44" t="s">
        <v>39</v>
      </c>
      <c r="I49" s="45" t="s">
        <v>11</v>
      </c>
      <c r="J49" s="58" t="str">
        <f t="shared" si="1"/>
        <v>TER B</v>
      </c>
      <c r="K49" s="210">
        <v>3761333.23</v>
      </c>
      <c r="L49" s="46">
        <f t="shared" si="10"/>
        <v>30575.999999999996</v>
      </c>
      <c r="M49" s="46">
        <f>[22]HARVESTING!AS13</f>
        <v>146560</v>
      </c>
      <c r="N49" s="101"/>
      <c r="O49" s="101"/>
      <c r="P49" s="101"/>
      <c r="Q49" s="46"/>
      <c r="R49" s="101"/>
      <c r="S49" s="101">
        <v>76650</v>
      </c>
      <c r="T49" s="101">
        <f>[22]HARVESTING!X13</f>
        <v>167400</v>
      </c>
      <c r="U49" s="46"/>
      <c r="V49" s="101"/>
      <c r="W49" s="46"/>
      <c r="X49" s="101">
        <f>[22]HARVESTING!AC13</f>
        <v>24000</v>
      </c>
      <c r="Y49" s="46"/>
      <c r="Z49" s="46"/>
      <c r="AA49" s="46"/>
      <c r="AB49" s="46"/>
      <c r="AC49" s="231"/>
      <c r="AD49" s="46"/>
      <c r="AE49" s="46"/>
      <c r="AF49" s="62">
        <f t="shared" si="7"/>
        <v>4206519</v>
      </c>
      <c r="AG49" s="63">
        <f t="shared" si="9"/>
        <v>0</v>
      </c>
      <c r="AH49" s="106">
        <f t="shared" si="8"/>
        <v>0</v>
      </c>
      <c r="AJ49" s="93"/>
      <c r="AL49" s="92">
        <v>4029383.23</v>
      </c>
      <c r="AM49" s="207">
        <f t="shared" si="3"/>
        <v>4206519.2300000004</v>
      </c>
      <c r="AN49" s="151">
        <f t="shared" ref="AN49:AN51" si="11">AM49-AF49</f>
        <v>0.23000000044703484</v>
      </c>
      <c r="AO49" s="93">
        <f t="shared" si="5"/>
        <v>268050</v>
      </c>
    </row>
    <row r="50" spans="2:59" s="27" customFormat="1">
      <c r="B50" s="97">
        <v>45</v>
      </c>
      <c r="C50" s="98" t="s">
        <v>428</v>
      </c>
      <c r="D50" s="42" t="s">
        <v>429</v>
      </c>
      <c r="E50" s="209" t="s">
        <v>73</v>
      </c>
      <c r="F50" s="41" t="s">
        <v>430</v>
      </c>
      <c r="G50" s="107" t="s">
        <v>375</v>
      </c>
      <c r="H50" s="44" t="s">
        <v>39</v>
      </c>
      <c r="I50" s="45" t="s">
        <v>9</v>
      </c>
      <c r="J50" s="58" t="str">
        <f t="shared" si="1"/>
        <v>TER B</v>
      </c>
      <c r="K50" s="210">
        <v>3761333.23</v>
      </c>
      <c r="L50" s="46">
        <f t="shared" si="10"/>
        <v>30575.999999999996</v>
      </c>
      <c r="M50" s="46">
        <f>[22]HARVESTING!AS14</f>
        <v>145900</v>
      </c>
      <c r="N50" s="101"/>
      <c r="O50" s="101"/>
      <c r="P50" s="101"/>
      <c r="Q50" s="46"/>
      <c r="R50" s="101"/>
      <c r="S50" s="101">
        <v>76650</v>
      </c>
      <c r="T50" s="101">
        <f>[22]HARVESTING!X14</f>
        <v>139500</v>
      </c>
      <c r="U50" s="46"/>
      <c r="V50" s="101"/>
      <c r="W50" s="46"/>
      <c r="X50" s="101">
        <f>[22]HARVESTING!AC14</f>
        <v>7500</v>
      </c>
      <c r="Y50" s="46"/>
      <c r="Z50" s="46"/>
      <c r="AA50" s="46"/>
      <c r="AB50" s="46"/>
      <c r="AC50" s="231"/>
      <c r="AD50" s="46"/>
      <c r="AE50" s="46"/>
      <c r="AF50" s="62">
        <f t="shared" si="7"/>
        <v>4161459</v>
      </c>
      <c r="AG50" s="63">
        <f t="shared" si="9"/>
        <v>0</v>
      </c>
      <c r="AH50" s="106">
        <f t="shared" si="8"/>
        <v>0</v>
      </c>
      <c r="AJ50" s="93"/>
      <c r="AL50" s="92">
        <v>3984983.23</v>
      </c>
      <c r="AM50" s="207">
        <f t="shared" si="3"/>
        <v>4161459.23</v>
      </c>
      <c r="AN50" s="151">
        <f t="shared" si="11"/>
        <v>0.22999999998137355</v>
      </c>
      <c r="AO50" s="93">
        <f t="shared" si="5"/>
        <v>223650</v>
      </c>
    </row>
    <row r="51" spans="2:59" s="27" customFormat="1" ht="13.5" thickBot="1">
      <c r="B51" s="238">
        <v>46</v>
      </c>
      <c r="C51" s="239" t="s">
        <v>431</v>
      </c>
      <c r="D51" s="240" t="s">
        <v>432</v>
      </c>
      <c r="E51" s="241" t="s">
        <v>433</v>
      </c>
      <c r="F51" s="239" t="s">
        <v>434</v>
      </c>
      <c r="G51" s="242" t="s">
        <v>375</v>
      </c>
      <c r="H51" s="243" t="s">
        <v>39</v>
      </c>
      <c r="I51" s="244" t="s">
        <v>9</v>
      </c>
      <c r="J51" s="245" t="str">
        <f t="shared" si="1"/>
        <v>TER B</v>
      </c>
      <c r="K51" s="246">
        <v>3761333.23</v>
      </c>
      <c r="L51" s="150">
        <f t="shared" si="10"/>
        <v>30575.999999999996</v>
      </c>
      <c r="M51" s="150">
        <f>[22]HARVESTING!AS15</f>
        <v>147340</v>
      </c>
      <c r="N51" s="150"/>
      <c r="O51" s="150"/>
      <c r="P51" s="150"/>
      <c r="Q51" s="150"/>
      <c r="R51" s="150"/>
      <c r="S51" s="150">
        <v>108150</v>
      </c>
      <c r="T51" s="150">
        <f>[22]HARVESTING!X15</f>
        <v>135000</v>
      </c>
      <c r="U51" s="150"/>
      <c r="V51" s="150"/>
      <c r="W51" s="150"/>
      <c r="X51" s="150">
        <f>[22]HARVESTING!AC15</f>
        <v>43500</v>
      </c>
      <c r="Y51" s="150"/>
      <c r="Z51" s="150"/>
      <c r="AA51" s="150"/>
      <c r="AB51" s="150"/>
      <c r="AC51" s="247">
        <v>-121333.33</v>
      </c>
      <c r="AD51" s="150"/>
      <c r="AE51" s="150"/>
      <c r="AF51" s="62">
        <f t="shared" si="7"/>
        <v>4104565</v>
      </c>
      <c r="AG51" s="248">
        <f t="shared" si="9"/>
        <v>0</v>
      </c>
      <c r="AH51" s="106">
        <f t="shared" si="8"/>
        <v>0</v>
      </c>
      <c r="AJ51" s="93"/>
      <c r="AL51" s="92">
        <v>3926649.9</v>
      </c>
      <c r="AM51" s="207">
        <f t="shared" si="3"/>
        <v>4104565.9</v>
      </c>
      <c r="AN51" s="151">
        <f t="shared" si="11"/>
        <v>0.89999999990686774</v>
      </c>
      <c r="AO51" s="93">
        <f t="shared" si="5"/>
        <v>165316.66999999998</v>
      </c>
    </row>
    <row r="52" spans="2:59" s="27" customFormat="1">
      <c r="B52" s="97">
        <v>47</v>
      </c>
      <c r="C52" s="249" t="s">
        <v>435</v>
      </c>
      <c r="D52" s="250" t="s">
        <v>436</v>
      </c>
      <c r="E52" s="209" t="s">
        <v>73</v>
      </c>
      <c r="F52" s="98" t="s">
        <v>437</v>
      </c>
      <c r="G52" s="107" t="s">
        <v>88</v>
      </c>
      <c r="H52" s="99" t="s">
        <v>39</v>
      </c>
      <c r="I52" s="100" t="s">
        <v>7</v>
      </c>
      <c r="J52" s="251" t="str">
        <f>IF(ISBLANK(I52),"",IF(OR(I52="TK/0",I52="TK/1",I52="K/0"),"TER A",IF(I52="K/3","TER C","TER B")))</f>
        <v>TER A</v>
      </c>
      <c r="K52" s="210">
        <v>2669333.2599999998</v>
      </c>
      <c r="L52" s="101">
        <f t="shared" si="6"/>
        <v>30575.999999999996</v>
      </c>
      <c r="M52" s="101">
        <f>[22]PERCOBAAN!AP11</f>
        <v>145600</v>
      </c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230"/>
      <c r="AD52" s="101"/>
      <c r="AE52" s="101"/>
      <c r="AF52" s="62">
        <f t="shared" si="7"/>
        <v>2845509</v>
      </c>
      <c r="AG52" s="105">
        <f>IF(J52="TER A",VLOOKUP(AF52,Ter_A,4,TRUE),IF(J52="TER B",VLOOKUP(AF52,Ter_B,4,TRUE),VLOOKUP(AF52,Ter_C,4,TRUE)))</f>
        <v>0</v>
      </c>
      <c r="AH52" s="106">
        <f t="shared" si="8"/>
        <v>0</v>
      </c>
      <c r="AJ52" s="93"/>
      <c r="AL52" s="206">
        <v>2669333.2599999998</v>
      </c>
      <c r="AM52" s="207">
        <f>AL52+L52+M52+AE52</f>
        <v>2845509.26</v>
      </c>
      <c r="AN52" s="151">
        <f>AM52-AF52</f>
        <v>0.25999999977648258</v>
      </c>
      <c r="AO52" s="93">
        <f t="shared" si="5"/>
        <v>0</v>
      </c>
    </row>
    <row r="53" spans="2:59" s="27" customFormat="1" ht="13.5" thickBot="1">
      <c r="B53" s="97"/>
      <c r="C53" s="98" t="s">
        <v>365</v>
      </c>
      <c r="D53" s="42" t="s">
        <v>366</v>
      </c>
      <c r="E53" s="43" t="s">
        <v>367</v>
      </c>
      <c r="F53" s="41" t="s">
        <v>368</v>
      </c>
      <c r="G53" s="107" t="s">
        <v>88</v>
      </c>
      <c r="H53" s="44" t="s">
        <v>369</v>
      </c>
      <c r="I53" s="45" t="s">
        <v>11</v>
      </c>
      <c r="J53" s="58" t="str">
        <f>IF(ISBLANK(I53),"",IF(OR(I53="TK/0",I53="TK/1",I53="K/0"),"TER A",IF(I53="K/3","TER C","TER B")))</f>
        <v>TER B</v>
      </c>
      <c r="K53" s="60"/>
      <c r="L53" s="101"/>
      <c r="M53" s="101"/>
      <c r="N53" s="101"/>
      <c r="O53" s="101"/>
      <c r="P53" s="101"/>
      <c r="Q53" s="46"/>
      <c r="R53" s="101"/>
      <c r="S53" s="101"/>
      <c r="T53" s="101"/>
      <c r="U53" s="46"/>
      <c r="V53" s="101"/>
      <c r="W53" s="46"/>
      <c r="X53" s="101"/>
      <c r="Y53" s="46"/>
      <c r="Z53" s="46"/>
      <c r="AA53" s="46"/>
      <c r="AB53" s="46"/>
      <c r="AC53" s="231"/>
      <c r="AD53" s="46"/>
      <c r="AE53" s="46"/>
      <c r="AF53" s="62">
        <f>ROUNDDOWN(SUM(K53:AE53),0)</f>
        <v>0</v>
      </c>
      <c r="AG53" s="63">
        <f>IF(J53="TER A",VLOOKUP(AF53,Ter_A,4,TRUE),IF(J53="TER B",VLOOKUP(AF53,Ter_B,4,TRUE),VLOOKUP(AF53,Ter_C,4,TRUE)))</f>
        <v>0</v>
      </c>
      <c r="AH53" s="106">
        <f>ROUNDDOWN(IF(E53=0,AF53*AG53*120%,AF53*AG53),0)</f>
        <v>0</v>
      </c>
      <c r="AJ53" s="93">
        <f>AI53-AH53</f>
        <v>0</v>
      </c>
      <c r="AL53" s="206"/>
      <c r="AM53" s="207">
        <f>AL53+L53+M53+AE53</f>
        <v>0</v>
      </c>
      <c r="AN53" s="151">
        <f>AM53-AF53</f>
        <v>0</v>
      </c>
    </row>
    <row r="54" spans="2:59" s="27" customFormat="1" ht="13.5" hidden="1" thickBot="1">
      <c r="B54" s="97">
        <v>88</v>
      </c>
      <c r="C54" s="98"/>
      <c r="D54" s="42"/>
      <c r="E54" s="43"/>
      <c r="F54" s="41"/>
      <c r="G54" s="107"/>
      <c r="H54" s="44"/>
      <c r="I54" s="45"/>
      <c r="J54" s="58" t="str">
        <f t="shared" ref="J54:J55" si="12">IF(ISBLANK(I54),"",IF(OR(I54="TK/0",I54="TK/1",I54="K/0"),"TER A",IF(I54="K/3","TER C","TER B")))</f>
        <v/>
      </c>
      <c r="K54" s="60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62">
        <f t="shared" ref="AF54:AF55" si="13">ROUNDDOWN(SUM(K54:AE54),0)</f>
        <v>0</v>
      </c>
      <c r="AG54" s="63">
        <f t="shared" ref="AG54:AG55" si="14">IF(J54="TER A",VLOOKUP(AF54,Ter_A,4,TRUE),IF(J54="TER B",VLOOKUP(AF54,Ter_B,4,TRUE),VLOOKUP(AF54,Ter_C,4,TRUE)))</f>
        <v>0</v>
      </c>
      <c r="AH54" s="108">
        <f t="shared" ref="AH54:AH55" si="15">ROUND(IF(E54=0,AF54*AG54*120%,AF54*AG54),0)</f>
        <v>0</v>
      </c>
      <c r="AJ54" s="93">
        <f t="shared" ref="AJ54:AJ56" si="16">AI54-AH54</f>
        <v>0</v>
      </c>
      <c r="AM54" s="207">
        <f t="shared" ref="AM54:AM56" si="17">AL54+L54+M54</f>
        <v>0</v>
      </c>
    </row>
    <row r="55" spans="2:59" s="27" customFormat="1" ht="13.5" hidden="1" thickBot="1">
      <c r="B55" s="97">
        <v>89</v>
      </c>
      <c r="C55" s="98"/>
      <c r="D55" s="42"/>
      <c r="E55" s="43"/>
      <c r="F55" s="41"/>
      <c r="G55" s="107"/>
      <c r="H55" s="44"/>
      <c r="I55" s="45"/>
      <c r="J55" s="58" t="str">
        <f t="shared" si="12"/>
        <v/>
      </c>
      <c r="K55" s="60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62">
        <f t="shared" si="13"/>
        <v>0</v>
      </c>
      <c r="AG55" s="63">
        <f t="shared" si="14"/>
        <v>0</v>
      </c>
      <c r="AH55" s="108">
        <f t="shared" si="15"/>
        <v>0</v>
      </c>
      <c r="AJ55" s="93">
        <f t="shared" si="16"/>
        <v>0</v>
      </c>
      <c r="AM55" s="207">
        <f t="shared" si="17"/>
        <v>0</v>
      </c>
    </row>
    <row r="56" spans="2:59" s="27" customFormat="1" ht="13.5" hidden="1" thickBot="1">
      <c r="B56" s="97">
        <v>90</v>
      </c>
      <c r="C56" s="98"/>
      <c r="D56" s="42"/>
      <c r="E56" s="43"/>
      <c r="F56" s="41"/>
      <c r="G56" s="107"/>
      <c r="H56" s="44"/>
      <c r="I56" s="45"/>
      <c r="J56" s="58"/>
      <c r="K56" s="60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62"/>
      <c r="AG56" s="63"/>
      <c r="AH56" s="108"/>
      <c r="AJ56" s="93">
        <f t="shared" si="16"/>
        <v>0</v>
      </c>
      <c r="AM56" s="207">
        <f t="shared" si="17"/>
        <v>0</v>
      </c>
    </row>
    <row r="57" spans="2:59" s="52" customFormat="1" ht="30.75" customHeight="1" thickBot="1">
      <c r="B57" s="82"/>
      <c r="C57" s="83"/>
      <c r="D57" s="83"/>
      <c r="E57" s="83"/>
      <c r="F57" s="83"/>
      <c r="G57" s="83"/>
      <c r="H57" s="83"/>
      <c r="I57" s="83"/>
      <c r="J57" s="83"/>
      <c r="K57" s="84">
        <f t="shared" ref="K57:AH57" si="18">SUM(K6:K56)</f>
        <v>175799161.83999991</v>
      </c>
      <c r="L57" s="84">
        <f t="shared" si="18"/>
        <v>1437953.9999999998</v>
      </c>
      <c r="M57" s="84">
        <f t="shared" si="18"/>
        <v>6911340</v>
      </c>
      <c r="N57" s="84">
        <f t="shared" si="18"/>
        <v>1066954</v>
      </c>
      <c r="O57" s="84">
        <f t="shared" si="18"/>
        <v>2868000</v>
      </c>
      <c r="P57" s="84">
        <f t="shared" si="18"/>
        <v>198500</v>
      </c>
      <c r="Q57" s="84">
        <f t="shared" si="18"/>
        <v>585840</v>
      </c>
      <c r="R57" s="84">
        <f t="shared" si="18"/>
        <v>0</v>
      </c>
      <c r="S57" s="84">
        <f t="shared" si="18"/>
        <v>473550</v>
      </c>
      <c r="T57" s="84">
        <f t="shared" si="18"/>
        <v>4911300</v>
      </c>
      <c r="U57" s="84">
        <f t="shared" si="18"/>
        <v>375000</v>
      </c>
      <c r="V57" s="84">
        <f t="shared" si="18"/>
        <v>8638409.3300000001</v>
      </c>
      <c r="W57" s="84">
        <f t="shared" si="18"/>
        <v>0</v>
      </c>
      <c r="X57" s="84">
        <f t="shared" si="18"/>
        <v>1598500</v>
      </c>
      <c r="Y57" s="84">
        <f t="shared" si="18"/>
        <v>0</v>
      </c>
      <c r="Z57" s="84">
        <f t="shared" si="18"/>
        <v>0</v>
      </c>
      <c r="AA57" s="84">
        <f t="shared" si="18"/>
        <v>0</v>
      </c>
      <c r="AB57" s="84">
        <f t="shared" si="18"/>
        <v>0</v>
      </c>
      <c r="AC57" s="84">
        <f t="shared" si="18"/>
        <v>-2916499.9200000004</v>
      </c>
      <c r="AD57" s="84">
        <f t="shared" si="18"/>
        <v>0</v>
      </c>
      <c r="AE57" s="84">
        <f t="shared" si="18"/>
        <v>0</v>
      </c>
      <c r="AF57" s="84">
        <f t="shared" si="18"/>
        <v>201947986</v>
      </c>
      <c r="AG57" s="84">
        <f t="shared" si="18"/>
        <v>2.5000000000000001E-2</v>
      </c>
      <c r="AH57" s="84">
        <f t="shared" si="18"/>
        <v>161946</v>
      </c>
      <c r="AI57" s="51"/>
      <c r="AJ57" s="51"/>
      <c r="AK57" s="51"/>
      <c r="AL57" s="211">
        <f>SUM(AL6:AL56)</f>
        <v>193598715.25000003</v>
      </c>
      <c r="AM57" s="211">
        <f>SUM(AM6:AM56)</f>
        <v>201948009.25000003</v>
      </c>
      <c r="AN57" s="211">
        <f>SUM(AN6:AN56)</f>
        <v>23.250000003259629</v>
      </c>
    </row>
    <row r="58" spans="2:59" ht="15" hidden="1" customHeight="1">
      <c r="K58" s="28">
        <v>175799161.84</v>
      </c>
      <c r="M58" s="28">
        <v>6911340</v>
      </c>
      <c r="P58" s="28">
        <v>4719294</v>
      </c>
      <c r="Q58" s="28">
        <f>Q57+P57+O57+N57</f>
        <v>4719294</v>
      </c>
      <c r="S58" s="28">
        <v>473550</v>
      </c>
      <c r="T58" s="28">
        <v>4911300</v>
      </c>
      <c r="U58" s="28">
        <v>375000</v>
      </c>
      <c r="V58" s="28">
        <v>8638409.3299999982</v>
      </c>
      <c r="X58" s="28">
        <v>1598500</v>
      </c>
      <c r="AC58" s="28">
        <v>-2916499.9200000004</v>
      </c>
      <c r="AH58" s="28">
        <v>197383</v>
      </c>
      <c r="AL58" s="232">
        <v>169462635.28</v>
      </c>
    </row>
    <row r="59" spans="2:59" ht="15" hidden="1" customHeight="1">
      <c r="B59" s="51" t="s">
        <v>48</v>
      </c>
      <c r="M59" s="54"/>
      <c r="N59" s="54"/>
      <c r="O59" s="54"/>
      <c r="P59" s="54"/>
      <c r="Q59" s="232"/>
      <c r="R59" s="54"/>
      <c r="S59" s="232"/>
      <c r="T59" s="54"/>
      <c r="U59" s="54"/>
      <c r="V59" s="54"/>
    </row>
    <row r="60" spans="2:59" ht="15" hidden="1" customHeight="1">
      <c r="B60" s="27" t="s">
        <v>49</v>
      </c>
      <c r="M60" s="54"/>
      <c r="N60" s="54"/>
      <c r="O60" s="54"/>
      <c r="P60" s="54"/>
      <c r="Q60" s="54"/>
      <c r="R60" s="54"/>
      <c r="S60" s="54"/>
      <c r="T60" s="54"/>
      <c r="U60" s="54"/>
      <c r="V60" s="54"/>
    </row>
    <row r="61" spans="2:59" ht="15" hidden="1" customHeight="1">
      <c r="B61" s="27" t="s">
        <v>57</v>
      </c>
      <c r="M61" s="54"/>
      <c r="N61" s="54"/>
      <c r="O61" s="54"/>
      <c r="P61" s="54"/>
      <c r="Q61" s="54"/>
      <c r="R61" s="54"/>
      <c r="S61" s="54"/>
      <c r="T61" s="54"/>
      <c r="U61" s="54"/>
      <c r="V61" s="54"/>
    </row>
    <row r="62" spans="2:59" ht="15" hidden="1" customHeight="1">
      <c r="B62" s="27" t="s">
        <v>50</v>
      </c>
      <c r="M62" s="54"/>
      <c r="N62" s="54"/>
      <c r="O62" s="54"/>
      <c r="P62" s="54"/>
      <c r="Q62" s="54"/>
      <c r="R62" s="54"/>
      <c r="S62" s="54"/>
      <c r="T62" s="54"/>
      <c r="U62" s="54"/>
      <c r="V62" s="54"/>
    </row>
    <row r="63" spans="2:59" s="31" customFormat="1" ht="15" hidden="1" customHeight="1">
      <c r="B63" s="27" t="s">
        <v>58</v>
      </c>
      <c r="C63" s="28"/>
      <c r="D63" s="194"/>
      <c r="E63" s="29"/>
      <c r="F63" s="28"/>
      <c r="G63" s="30"/>
      <c r="H63" s="195"/>
      <c r="I63" s="195"/>
      <c r="J63" s="195"/>
      <c r="K63" s="28"/>
      <c r="L63" s="28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57"/>
      <c r="AH63" s="28"/>
      <c r="AI63" s="27"/>
      <c r="AJ63" s="27"/>
      <c r="AK63" s="27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</row>
    <row r="64" spans="2:59" s="31" customFormat="1" ht="15" hidden="1" customHeight="1">
      <c r="B64" s="27" t="s">
        <v>51</v>
      </c>
      <c r="C64" s="28"/>
      <c r="D64" s="194"/>
      <c r="E64" s="29"/>
      <c r="F64" s="28"/>
      <c r="G64" s="30"/>
      <c r="H64" s="195"/>
      <c r="I64" s="195"/>
      <c r="J64" s="195"/>
      <c r="K64" s="28"/>
      <c r="L64" s="28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57"/>
      <c r="AH64" s="28"/>
      <c r="AI64" s="27"/>
      <c r="AJ64" s="27"/>
      <c r="AK64" s="27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</row>
    <row r="65" spans="1:59" s="31" customFormat="1" ht="15" hidden="1" customHeight="1">
      <c r="B65" s="27" t="s">
        <v>52</v>
      </c>
      <c r="C65" s="28"/>
      <c r="D65" s="194"/>
      <c r="E65" s="29"/>
      <c r="F65" s="28"/>
      <c r="G65" s="30"/>
      <c r="H65" s="195"/>
      <c r="I65" s="195"/>
      <c r="J65" s="195"/>
      <c r="K65" s="28"/>
      <c r="L65" s="28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57"/>
      <c r="AH65" s="28"/>
      <c r="AI65" s="27"/>
      <c r="AJ65" s="27"/>
      <c r="AK65" s="27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</row>
    <row r="66" spans="1:59" s="31" customFormat="1" ht="15" hidden="1" customHeight="1">
      <c r="B66" s="27" t="s">
        <v>53</v>
      </c>
      <c r="C66" s="28"/>
      <c r="D66" s="194"/>
      <c r="E66" s="29"/>
      <c r="F66" s="28"/>
      <c r="G66" s="30"/>
      <c r="H66" s="195"/>
      <c r="I66" s="195"/>
      <c r="J66" s="195"/>
      <c r="K66" s="28"/>
      <c r="L66" s="28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57"/>
      <c r="AH66" s="28"/>
      <c r="AI66" s="27"/>
      <c r="AJ66" s="27"/>
      <c r="AK66" s="27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</row>
    <row r="67" spans="1:59" s="31" customFormat="1" ht="15" hidden="1" customHeight="1">
      <c r="B67" s="27" t="s">
        <v>59</v>
      </c>
      <c r="C67" s="28"/>
      <c r="D67" s="194"/>
      <c r="E67" s="29"/>
      <c r="F67" s="28"/>
      <c r="G67" s="30"/>
      <c r="H67" s="195"/>
      <c r="I67" s="195"/>
      <c r="J67" s="195"/>
      <c r="K67" s="28"/>
      <c r="L67" s="28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57"/>
      <c r="AH67" s="28"/>
      <c r="AI67" s="27"/>
      <c r="AJ67" s="27"/>
      <c r="AK67" s="27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</row>
    <row r="68" spans="1:59" s="31" customFormat="1" ht="15" hidden="1" customHeight="1">
      <c r="B68" s="27" t="s">
        <v>60</v>
      </c>
      <c r="C68" s="28"/>
      <c r="D68" s="194"/>
      <c r="E68" s="29"/>
      <c r="F68" s="28"/>
      <c r="G68" s="30"/>
      <c r="H68" s="195"/>
      <c r="I68" s="195"/>
      <c r="J68" s="195"/>
      <c r="K68" s="28"/>
      <c r="L68" s="28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57"/>
      <c r="AH68" s="28"/>
      <c r="AI68" s="27"/>
      <c r="AJ68" s="27"/>
      <c r="AK68" s="27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</row>
    <row r="69" spans="1:59" s="31" customFormat="1" ht="15" hidden="1" customHeight="1">
      <c r="B69" s="27" t="s">
        <v>65</v>
      </c>
      <c r="C69" s="28"/>
      <c r="D69" s="194"/>
      <c r="E69" s="29"/>
      <c r="F69" s="28"/>
      <c r="G69" s="30"/>
      <c r="H69" s="195"/>
      <c r="I69" s="195"/>
      <c r="J69" s="195"/>
      <c r="K69" s="28"/>
      <c r="L69" s="28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57"/>
      <c r="AH69" s="28"/>
      <c r="AI69" s="27"/>
      <c r="AJ69" s="27"/>
      <c r="AK69" s="27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</row>
    <row r="70" spans="1:59" s="31" customFormat="1" ht="15" customHeight="1">
      <c r="B70" s="27"/>
      <c r="C70" s="28"/>
      <c r="D70" s="194"/>
      <c r="E70" s="29"/>
      <c r="F70" s="28"/>
      <c r="G70" s="30"/>
      <c r="H70" s="195"/>
      <c r="I70" s="195"/>
      <c r="J70" s="195"/>
      <c r="K70" s="28"/>
      <c r="L70" s="28"/>
      <c r="M70" s="233">
        <f>[22]TRANSPORT!$AJ$15+[22]HARVESTING!$AS$16+'[22]MAINTENANCE-2'!$AP$48+[22]PERCOBAAN!$AP$12</f>
        <v>6911340</v>
      </c>
      <c r="N70" s="54"/>
      <c r="O70" s="54"/>
      <c r="P70" s="54"/>
      <c r="Q70" s="54"/>
      <c r="R70" s="54"/>
      <c r="S70" s="54"/>
      <c r="T70" s="54"/>
      <c r="U70" s="54"/>
      <c r="V70" s="54"/>
      <c r="W70" s="28"/>
      <c r="X70" s="28"/>
      <c r="Y70" s="28"/>
      <c r="Z70" s="28"/>
      <c r="AA70" s="28"/>
      <c r="AB70" s="28"/>
      <c r="AC70" s="28"/>
      <c r="AD70" s="28"/>
      <c r="AE70" s="28"/>
      <c r="AF70" s="28">
        <f>AF57-L57-M57</f>
        <v>193598692</v>
      </c>
      <c r="AG70" s="57"/>
      <c r="AH70" s="28">
        <f>[22]TRANSPORT!$AQ$15+[22]HARVESTING!$AY$16+'[22]MAINTENANCE-2'!$AV$48+[22]PERCOBAAN!$AV$12</f>
        <v>161946</v>
      </c>
      <c r="AI70" s="27"/>
      <c r="AJ70" s="27"/>
      <c r="AK70" s="27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</row>
    <row r="71" spans="1:59" s="31" customFormat="1" ht="15" customHeight="1">
      <c r="B71" s="27"/>
      <c r="C71" s="28"/>
      <c r="D71" s="194"/>
      <c r="E71" s="29"/>
      <c r="F71" s="28"/>
      <c r="G71" s="30"/>
      <c r="H71" s="195"/>
      <c r="I71" s="195"/>
      <c r="J71" s="195"/>
      <c r="K71" s="28"/>
      <c r="L71" s="28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28"/>
      <c r="X71" s="28"/>
      <c r="Y71" s="28"/>
      <c r="Z71" s="28"/>
      <c r="AA71" s="28"/>
      <c r="AB71" s="28"/>
      <c r="AC71" s="28"/>
      <c r="AD71" s="28"/>
      <c r="AE71" s="28"/>
      <c r="AF71" s="28">
        <f>[22]TRANSPORT!$AE$15+[22]HARVESTING!$AN$16+'[22]MAINTENANCE-2'!$AK$48+[22]PERCOBAAN!$AK$12</f>
        <v>193598715.25000003</v>
      </c>
      <c r="AG71" s="57"/>
      <c r="AH71" s="28"/>
      <c r="AI71" s="27"/>
      <c r="AJ71" s="27"/>
      <c r="AK71" s="27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</row>
    <row r="72" spans="1:59" s="31" customFormat="1" ht="15" customHeight="1">
      <c r="B72" s="27"/>
      <c r="C72" s="28"/>
      <c r="D72" s="194"/>
      <c r="E72" s="29"/>
      <c r="F72" s="28"/>
      <c r="G72" s="30"/>
      <c r="H72" s="195"/>
      <c r="I72" s="195"/>
      <c r="J72" s="195"/>
      <c r="K72" s="28"/>
      <c r="L72" s="28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28"/>
      <c r="X72" s="28"/>
      <c r="Y72" s="28"/>
      <c r="Z72" s="28"/>
      <c r="AA72" s="28"/>
      <c r="AB72" s="28"/>
      <c r="AC72" s="28"/>
      <c r="AD72" s="28"/>
      <c r="AE72" s="28"/>
      <c r="AF72" s="28">
        <f>AF70-AF71</f>
        <v>-23.250000029802322</v>
      </c>
      <c r="AG72" s="57"/>
      <c r="AH72" s="28"/>
      <c r="AI72" s="27"/>
      <c r="AJ72" s="27"/>
      <c r="AK72" s="27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</row>
    <row r="73" spans="1:59">
      <c r="AL73" s="232">
        <v>193598715.25000003</v>
      </c>
    </row>
    <row r="74" spans="1:59" ht="18">
      <c r="C74" s="214" t="s">
        <v>378</v>
      </c>
      <c r="Z74" s="215"/>
      <c r="AA74" s="215"/>
      <c r="AB74" s="215"/>
      <c r="AC74" s="601" t="s">
        <v>379</v>
      </c>
      <c r="AD74" s="601"/>
      <c r="AE74" s="601"/>
      <c r="AF74" s="601"/>
    </row>
    <row r="75" spans="1:59" ht="20.25" customHeight="1">
      <c r="C75" s="214"/>
      <c r="Z75" s="215"/>
      <c r="AA75" s="215"/>
      <c r="AB75" s="215"/>
      <c r="AC75" s="216"/>
      <c r="AD75" s="216"/>
      <c r="AE75" s="216"/>
    </row>
    <row r="76" spans="1:59" ht="20.25" customHeight="1">
      <c r="C76" s="214"/>
      <c r="Z76" s="215"/>
      <c r="AA76" s="215"/>
      <c r="AB76" s="215"/>
      <c r="AC76" s="216"/>
      <c r="AD76" s="216"/>
      <c r="AE76" s="216"/>
    </row>
    <row r="77" spans="1:59" ht="20.25" hidden="1" customHeight="1">
      <c r="C77" s="214"/>
      <c r="Z77" s="215"/>
      <c r="AA77" s="215"/>
      <c r="AB77" s="215"/>
      <c r="AC77" s="216"/>
      <c r="AD77" s="216"/>
      <c r="AE77" s="216"/>
    </row>
    <row r="78" spans="1:59" ht="20.25" hidden="1" customHeight="1">
      <c r="C78" s="214"/>
      <c r="Z78" s="215"/>
      <c r="AA78" s="215"/>
      <c r="AB78" s="215"/>
      <c r="AC78" s="216"/>
      <c r="AD78" s="216"/>
      <c r="AE78" s="216"/>
    </row>
    <row r="79" spans="1:59" s="57" customFormat="1" ht="20.25" customHeight="1">
      <c r="A79" s="53"/>
      <c r="B79" s="27"/>
      <c r="C79" s="214"/>
      <c r="D79" s="194"/>
      <c r="E79" s="29"/>
      <c r="F79" s="28"/>
      <c r="G79" s="30"/>
      <c r="H79" s="195"/>
      <c r="I79" s="195"/>
      <c r="J79" s="195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15"/>
      <c r="AA79" s="215"/>
      <c r="AB79" s="215"/>
      <c r="AC79" s="216"/>
      <c r="AD79" s="216"/>
      <c r="AE79" s="216"/>
      <c r="AF79" s="28"/>
      <c r="AH79" s="28"/>
      <c r="AI79" s="27"/>
      <c r="AJ79" s="27"/>
      <c r="AK79" s="27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</row>
    <row r="80" spans="1:59" s="57" customFormat="1" ht="20.25">
      <c r="A80" s="53"/>
      <c r="B80" s="27"/>
      <c r="C80" s="217" t="s">
        <v>380</v>
      </c>
      <c r="D80" s="194"/>
      <c r="E80" s="29"/>
      <c r="F80" s="28"/>
      <c r="G80" s="30"/>
      <c r="H80" s="195"/>
      <c r="I80" s="195"/>
      <c r="J80" s="195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18"/>
      <c r="AB80" s="218"/>
      <c r="AC80" s="602" t="s">
        <v>381</v>
      </c>
      <c r="AD80" s="602"/>
      <c r="AE80" s="602"/>
      <c r="AF80" s="602"/>
      <c r="AH80" s="28"/>
      <c r="AI80" s="27"/>
      <c r="AJ80" s="27"/>
      <c r="AK80" s="27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</row>
    <row r="81" spans="1:59" s="57" customFormat="1" ht="18">
      <c r="A81" s="53"/>
      <c r="B81" s="27"/>
      <c r="C81" s="214" t="s">
        <v>382</v>
      </c>
      <c r="D81" s="194"/>
      <c r="E81" s="29"/>
      <c r="F81" s="28"/>
      <c r="G81" s="30"/>
      <c r="H81" s="195"/>
      <c r="I81" s="195"/>
      <c r="J81" s="195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15"/>
      <c r="AB81" s="215"/>
      <c r="AC81" s="601" t="s">
        <v>383</v>
      </c>
      <c r="AD81" s="601"/>
      <c r="AE81" s="601"/>
      <c r="AF81" s="601"/>
      <c r="AH81" s="28"/>
      <c r="AI81" s="27"/>
      <c r="AJ81" s="27"/>
      <c r="AK81" s="27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</row>
    <row r="95" spans="1:59" s="28" customFormat="1" ht="13.5" thickBot="1">
      <c r="A95" s="53"/>
      <c r="B95" s="27"/>
      <c r="D95" s="194"/>
      <c r="E95" s="29"/>
      <c r="G95" s="30"/>
      <c r="H95" s="195"/>
      <c r="I95" s="195"/>
      <c r="J95" s="195"/>
      <c r="AG95" s="57"/>
      <c r="AI95" s="27"/>
      <c r="AJ95" s="27"/>
      <c r="AK95" s="27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</row>
    <row r="96" spans="1:59" s="28" customFormat="1" ht="26.25" thickBot="1">
      <c r="A96" s="53"/>
      <c r="B96" s="27"/>
      <c r="C96" s="191" t="s">
        <v>25</v>
      </c>
      <c r="D96" s="192" t="s">
        <v>26</v>
      </c>
      <c r="E96" s="193" t="s">
        <v>27</v>
      </c>
      <c r="F96" s="191" t="s">
        <v>28</v>
      </c>
      <c r="G96" s="190" t="s">
        <v>29</v>
      </c>
      <c r="H96" s="80" t="s">
        <v>37</v>
      </c>
      <c r="I96" s="81" t="s">
        <v>6</v>
      </c>
      <c r="J96" s="81" t="s">
        <v>15</v>
      </c>
      <c r="AG96" s="57"/>
      <c r="AI96" s="27"/>
      <c r="AJ96" s="27"/>
      <c r="AK96" s="27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</row>
    <row r="97" spans="1:59" s="28" customFormat="1">
      <c r="A97" s="53"/>
      <c r="B97" s="27"/>
      <c r="C97" s="98" t="s">
        <v>365</v>
      </c>
      <c r="D97" s="42" t="s">
        <v>366</v>
      </c>
      <c r="E97" s="43" t="s">
        <v>367</v>
      </c>
      <c r="F97" s="41" t="s">
        <v>368</v>
      </c>
      <c r="G97" s="107" t="s">
        <v>88</v>
      </c>
      <c r="H97" s="44" t="s">
        <v>369</v>
      </c>
      <c r="I97" s="45" t="s">
        <v>11</v>
      </c>
      <c r="J97" s="58" t="str">
        <f t="shared" ref="J97" si="19">IF(ISBLANK(I97),"",IF(OR(I97="TK/0",I97="TK/1",I97="K/0"),"TER A",IF(I97="K/3","TER C","TER B")))</f>
        <v>TER B</v>
      </c>
      <c r="AG97" s="57"/>
      <c r="AI97" s="27"/>
      <c r="AJ97" s="27"/>
      <c r="AK97" s="27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</row>
    <row r="99" spans="1:59" s="28" customFormat="1">
      <c r="A99" s="53"/>
      <c r="B99" s="27"/>
      <c r="C99" s="28" t="s">
        <v>420</v>
      </c>
      <c r="D99" s="194"/>
      <c r="E99" s="29"/>
      <c r="G99" s="30"/>
      <c r="H99" s="195"/>
      <c r="I99" s="195"/>
      <c r="J99" s="195"/>
      <c r="AG99" s="57"/>
      <c r="AI99" s="27"/>
      <c r="AJ99" s="27"/>
      <c r="AK99" s="27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</row>
  </sheetData>
  <mergeCells count="3">
    <mergeCell ref="AC74:AF74"/>
    <mergeCell ref="AC80:AF80"/>
    <mergeCell ref="AC81:AF81"/>
  </mergeCells>
  <dataValidations count="2">
    <dataValidation type="list" allowBlank="1" showInputMessage="1" showErrorMessage="1" sqref="I97 I6:I56">
      <formula1>"TK/0,TK/1,TK/2,TK/3,K/0,K/1,K/2,K/3"</formula1>
    </dataValidation>
    <dataValidation type="list" allowBlank="1" showInputMessage="1" showErrorMessage="1" sqref="H97 H6:H56">
      <formula1>"L,P"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92"/>
  <sheetViews>
    <sheetView topLeftCell="H1" zoomScale="67" zoomScaleNormal="67" workbookViewId="0">
      <selection activeCell="AO7" sqref="AO7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" style="28" customWidth="1"/>
    <col min="4" max="4" width="18.5703125" style="194" customWidth="1" outlineLevel="1"/>
    <col min="5" max="5" width="19.42578125" style="29" customWidth="1" outlineLevel="1"/>
    <col min="6" max="6" width="48.28515625" style="28" customWidth="1" outlineLevel="1"/>
    <col min="7" max="7" width="25.140625" style="30" customWidth="1" outlineLevel="1"/>
    <col min="8" max="8" width="6" style="195" customWidth="1" outlineLevel="1"/>
    <col min="9" max="9" width="6.7109375" style="195" customWidth="1" outlineLevel="1"/>
    <col min="10" max="10" width="10.85546875" style="195" customWidth="1" outlineLevel="1"/>
    <col min="11" max="11" width="14.140625" style="28" customWidth="1"/>
    <col min="12" max="12" width="11.7109375" style="28" customWidth="1"/>
    <col min="13" max="13" width="12.7109375" style="28" customWidth="1"/>
    <col min="14" max="14" width="12" style="28" customWidth="1"/>
    <col min="15" max="15" width="11.42578125" style="28" customWidth="1"/>
    <col min="16" max="16" width="12" style="28" customWidth="1"/>
    <col min="17" max="17" width="11" style="28" customWidth="1"/>
    <col min="18" max="18" width="8.28515625" style="28" customWidth="1"/>
    <col min="19" max="20" width="12" style="28" customWidth="1"/>
    <col min="21" max="21" width="10.140625" style="28" customWidth="1"/>
    <col min="22" max="22" width="11.28515625" style="28" customWidth="1"/>
    <col min="23" max="23" width="9.85546875" style="28" customWidth="1"/>
    <col min="24" max="24" width="12.7109375" style="28" customWidth="1"/>
    <col min="25" max="25" width="11.42578125" style="28" hidden="1" customWidth="1"/>
    <col min="26" max="26" width="9" style="28" customWidth="1"/>
    <col min="27" max="28" width="12.7109375" style="28" hidden="1" customWidth="1"/>
    <col min="29" max="29" width="15.7109375" style="28" customWidth="1"/>
    <col min="30" max="30" width="7" style="28" hidden="1" customWidth="1"/>
    <col min="31" max="31" width="8" style="28" customWidth="1"/>
    <col min="32" max="32" width="13.5703125" style="28" customWidth="1" collapsed="1"/>
    <col min="33" max="33" width="7.7109375" style="57" customWidth="1"/>
    <col min="34" max="34" width="13.7109375" style="28" customWidth="1"/>
    <col min="35" max="35" width="10.7109375" style="27" hidden="1" customWidth="1"/>
    <col min="36" max="36" width="13" style="27" hidden="1" customWidth="1"/>
    <col min="37" max="37" width="0" style="27" hidden="1" customWidth="1"/>
    <col min="38" max="38" width="13.85546875" style="53" bestFit="1" customWidth="1"/>
    <col min="39" max="39" width="14" style="53" bestFit="1" customWidth="1"/>
    <col min="40" max="40" width="11.5703125" style="53" bestFit="1" customWidth="1"/>
    <col min="41" max="41" width="12.140625" style="53" bestFit="1" customWidth="1"/>
    <col min="42" max="42" width="11" style="53" bestFit="1" customWidth="1"/>
    <col min="43" max="43" width="9.28515625" style="53"/>
    <col min="44" max="44" width="10.7109375" style="53" customWidth="1"/>
    <col min="45" max="16384" width="9.28515625" style="53"/>
  </cols>
  <sheetData>
    <row r="1" spans="2:45">
      <c r="B1" s="27" t="s">
        <v>71</v>
      </c>
      <c r="AI1" s="53"/>
      <c r="AJ1" s="53"/>
      <c r="AK1" s="53"/>
    </row>
    <row r="2" spans="2:45">
      <c r="B2" s="27" t="s">
        <v>438</v>
      </c>
      <c r="AI2" s="53"/>
      <c r="AJ2" s="53"/>
      <c r="AK2" s="53"/>
    </row>
    <row r="3" spans="2:45">
      <c r="B3" s="27" t="s">
        <v>326</v>
      </c>
      <c r="AI3" s="53"/>
      <c r="AJ3" s="53"/>
      <c r="AK3" s="53"/>
    </row>
    <row r="4" spans="2:45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/>
      <c r="R4" s="28"/>
      <c r="S4" s="28"/>
      <c r="T4" s="28" t="s">
        <v>327</v>
      </c>
      <c r="U4" s="28" t="s">
        <v>328</v>
      </c>
      <c r="V4" s="28" t="s">
        <v>329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57"/>
      <c r="AH4" s="28"/>
    </row>
    <row r="5" spans="2:45" s="27" customFormat="1" ht="51.75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89" t="s">
        <v>67</v>
      </c>
      <c r="M5" s="188" t="s">
        <v>68</v>
      </c>
      <c r="N5" s="189" t="s">
        <v>385</v>
      </c>
      <c r="O5" s="189" t="s">
        <v>386</v>
      </c>
      <c r="P5" s="189" t="s">
        <v>387</v>
      </c>
      <c r="Q5" s="189" t="s">
        <v>388</v>
      </c>
      <c r="R5" s="188" t="s">
        <v>331</v>
      </c>
      <c r="S5" s="188" t="s">
        <v>332</v>
      </c>
      <c r="T5" s="189" t="s">
        <v>76</v>
      </c>
      <c r="U5" s="189" t="s">
        <v>77</v>
      </c>
      <c r="V5" s="189" t="s">
        <v>81</v>
      </c>
      <c r="W5" s="189" t="s">
        <v>333</v>
      </c>
      <c r="X5" s="188" t="s">
        <v>82</v>
      </c>
      <c r="Y5" s="188" t="s">
        <v>334</v>
      </c>
      <c r="Z5" s="188" t="s">
        <v>335</v>
      </c>
      <c r="AA5" s="188" t="s">
        <v>84</v>
      </c>
      <c r="AB5" s="188" t="s">
        <v>85</v>
      </c>
      <c r="AC5" s="188" t="s">
        <v>336</v>
      </c>
      <c r="AD5" s="188" t="s">
        <v>79</v>
      </c>
      <c r="AE5" s="188" t="s">
        <v>80</v>
      </c>
      <c r="AF5" s="188" t="s">
        <v>41</v>
      </c>
      <c r="AG5" s="102" t="s">
        <v>42</v>
      </c>
      <c r="AH5" s="103" t="s">
        <v>43</v>
      </c>
      <c r="AI5" s="188" t="s">
        <v>69</v>
      </c>
      <c r="AJ5" s="103" t="s">
        <v>70</v>
      </c>
      <c r="AK5" s="103" t="s">
        <v>337</v>
      </c>
    </row>
    <row r="6" spans="2:45" s="27" customFormat="1">
      <c r="B6" s="34">
        <v>1</v>
      </c>
      <c r="C6" s="35" t="s">
        <v>221</v>
      </c>
      <c r="D6" s="204" t="s">
        <v>222</v>
      </c>
      <c r="E6" s="36" t="s">
        <v>338</v>
      </c>
      <c r="F6" s="35" t="s">
        <v>223</v>
      </c>
      <c r="G6" s="205" t="s">
        <v>391</v>
      </c>
      <c r="H6" s="37" t="s">
        <v>39</v>
      </c>
      <c r="I6" s="38" t="s">
        <v>7</v>
      </c>
      <c r="J6" s="55" t="str">
        <f>IF(ISBLANK(I6),"",IF(OR(I6="TK/0",I6="TK/1",I6="K/0"),"TER A",IF(I6="K/3","TER C","TER B")))</f>
        <v>TER A</v>
      </c>
      <c r="K6" s="59">
        <v>3792333.23</v>
      </c>
      <c r="L6" s="39">
        <f>3670000*0.84%</f>
        <v>30827.999999999996</v>
      </c>
      <c r="M6" s="101">
        <f>'[23]MAINTENANCE-2'!AP11</f>
        <v>148680</v>
      </c>
      <c r="N6" s="119"/>
      <c r="O6" s="119"/>
      <c r="P6" s="119"/>
      <c r="Q6" s="39"/>
      <c r="R6" s="101"/>
      <c r="S6" s="101"/>
      <c r="T6" s="39">
        <f>'[23]MAINTENANCE-2'!X11</f>
        <v>65250</v>
      </c>
      <c r="U6" s="39">
        <f>'[23]MAINTENANCE-2'!AA11</f>
        <v>69000</v>
      </c>
      <c r="V6" s="39">
        <f>'[23]MAINTENANCE-2'!AH11</f>
        <v>63641.62</v>
      </c>
      <c r="W6" s="39"/>
      <c r="X6" s="39">
        <f>'[23]MAINTENANCE-2'!AC11</f>
        <v>47000</v>
      </c>
      <c r="Y6" s="101"/>
      <c r="Z6" s="101"/>
      <c r="AA6" s="101"/>
      <c r="AB6" s="101"/>
      <c r="AC6" s="229">
        <v>-244666.66</v>
      </c>
      <c r="AD6" s="39"/>
      <c r="AE6" s="39"/>
      <c r="AF6" s="104">
        <f>ROUNDDOWN(SUM(K6:AE6),0)</f>
        <v>3972066</v>
      </c>
      <c r="AG6" s="105">
        <f t="shared" ref="AG6:AG42" si="0">IF(J6="TER A",VLOOKUP(AF6,Ter_A,4,TRUE),IF(J6="TER B",VLOOKUP(AF6,Ter_B,4,TRUE),VLOOKUP(AF6,Ter_C,4,TRUE)))</f>
        <v>0</v>
      </c>
      <c r="AH6" s="106">
        <f>ROUNDDOWN(IF(E6=0,AF6*AG6*120%,AF6*AG6),0)</f>
        <v>0</v>
      </c>
      <c r="AJ6" s="93">
        <f>AI6-AH6</f>
        <v>0</v>
      </c>
      <c r="AL6" s="206">
        <f>'[23]MAINTENANCE-2'!AK11</f>
        <v>3792558.19</v>
      </c>
      <c r="AM6" s="207">
        <f>AL6+L6+M6+AE6</f>
        <v>3972066.19</v>
      </c>
      <c r="AN6" s="151">
        <f>AM6-AF6</f>
        <v>0.18999999994412065</v>
      </c>
      <c r="AO6" s="93">
        <f>SUM(N6:AC6)</f>
        <v>224.95999999999185</v>
      </c>
      <c r="AP6" s="93">
        <f>AF6-K6-L6-M6</f>
        <v>224.77000000001863</v>
      </c>
    </row>
    <row r="7" spans="2:45" s="27" customFormat="1">
      <c r="B7" s="97">
        <v>2</v>
      </c>
      <c r="C7" s="98" t="s">
        <v>224</v>
      </c>
      <c r="D7" s="208" t="s">
        <v>225</v>
      </c>
      <c r="E7" s="209" t="s">
        <v>73</v>
      </c>
      <c r="F7" s="98" t="s">
        <v>226</v>
      </c>
      <c r="G7" s="107" t="s">
        <v>340</v>
      </c>
      <c r="H7" s="99" t="s">
        <v>38</v>
      </c>
      <c r="I7" s="100" t="s">
        <v>7</v>
      </c>
      <c r="J7" s="58" t="str">
        <f t="shared" ref="J7:J51" si="1">IF(ISBLANK(I7),"",IF(OR(I7="TK/0",I7="TK/1",I7="K/0"),"TER A",IF(I7="K/3","TER C","TER B")))</f>
        <v>TER A</v>
      </c>
      <c r="K7" s="210">
        <v>3761333.23</v>
      </c>
      <c r="L7" s="101">
        <f>3640000*0.84%</f>
        <v>30575.999999999996</v>
      </c>
      <c r="M7" s="101">
        <f>'[23]MAINTENANCE-2'!AP12</f>
        <v>146200</v>
      </c>
      <c r="N7" s="101"/>
      <c r="O7" s="101"/>
      <c r="P7" s="101"/>
      <c r="Q7" s="101"/>
      <c r="R7" s="101"/>
      <c r="S7" s="101"/>
      <c r="T7" s="101">
        <f>'[23]MAINTENANCE-2'!X12</f>
        <v>67500</v>
      </c>
      <c r="U7" s="101">
        <f>'[23]MAINTENANCE-2'!AA12</f>
        <v>40000</v>
      </c>
      <c r="V7" s="101">
        <f>'[23]MAINTENANCE-2'!AH12</f>
        <v>1546473.81</v>
      </c>
      <c r="W7" s="101"/>
      <c r="X7" s="101">
        <f>'[23]MAINTENANCE-2'!AC12</f>
        <v>15000</v>
      </c>
      <c r="Y7" s="101"/>
      <c r="Z7" s="101"/>
      <c r="AA7" s="101"/>
      <c r="AB7" s="101"/>
      <c r="AC7" s="230">
        <v>-121333.33</v>
      </c>
      <c r="AD7" s="101"/>
      <c r="AE7" s="101"/>
      <c r="AF7" s="62">
        <f t="shared" ref="AF7:AF51" si="2">ROUNDDOWN(SUM(K7:AE7),0)</f>
        <v>5485749</v>
      </c>
      <c r="AG7" s="63">
        <f t="shared" si="0"/>
        <v>2.5000000000000001E-3</v>
      </c>
      <c r="AH7" s="106">
        <f>ROUNDDOWN(IF(E7=0,AF7*AG7*120%,AF7*AG7),0)</f>
        <v>13714</v>
      </c>
      <c r="AJ7" s="93">
        <f t="shared" ref="AJ7:AJ48" si="3">AI7-AH7</f>
        <v>-13714</v>
      </c>
      <c r="AL7" s="206">
        <f>'[23]MAINTENANCE-2'!AK12</f>
        <v>5308973.71</v>
      </c>
      <c r="AM7" s="207">
        <f t="shared" ref="AM7:AM51" si="4">AL7+L7+M7+AE7</f>
        <v>5485749.71</v>
      </c>
      <c r="AN7" s="151">
        <f t="shared" ref="AN7:AN47" si="5">AM7-AF7</f>
        <v>0.7099999999627471</v>
      </c>
      <c r="AO7" s="93">
        <f t="shared" ref="AO7:AO54" si="6">SUM(N7:AC7)</f>
        <v>1547640.48</v>
      </c>
      <c r="AP7" s="93">
        <f t="shared" ref="AP7:AP54" si="7">AF7-K7-L7-M7</f>
        <v>1547639.77</v>
      </c>
    </row>
    <row r="8" spans="2:45" s="27" customFormat="1">
      <c r="B8" s="97">
        <v>3</v>
      </c>
      <c r="C8" s="98" t="s">
        <v>227</v>
      </c>
      <c r="D8" s="208" t="s">
        <v>228</v>
      </c>
      <c r="E8" s="209" t="s">
        <v>341</v>
      </c>
      <c r="F8" s="98" t="s">
        <v>229</v>
      </c>
      <c r="G8" s="107" t="s">
        <v>88</v>
      </c>
      <c r="H8" s="99" t="s">
        <v>39</v>
      </c>
      <c r="I8" s="100" t="s">
        <v>7</v>
      </c>
      <c r="J8" s="58" t="str">
        <f t="shared" si="1"/>
        <v>TER A</v>
      </c>
      <c r="K8" s="210">
        <v>3761333.23</v>
      </c>
      <c r="L8" s="101">
        <f t="shared" ref="L8:L53" si="8">3640000*0.84%</f>
        <v>30575.999999999996</v>
      </c>
      <c r="M8" s="101">
        <f>'[23]MAINTENANCE-2'!AP13</f>
        <v>147480</v>
      </c>
      <c r="N8" s="101"/>
      <c r="O8" s="101"/>
      <c r="P8" s="101"/>
      <c r="Q8" s="101"/>
      <c r="R8" s="101"/>
      <c r="S8" s="101"/>
      <c r="T8" s="101">
        <f>'[23]MAINTENANCE-2'!X13</f>
        <v>67500</v>
      </c>
      <c r="U8" s="101"/>
      <c r="V8" s="101">
        <f>'[23]MAINTENANCE-2'!AH13</f>
        <v>252485.52</v>
      </c>
      <c r="W8" s="101"/>
      <c r="X8" s="101">
        <f>'[23]MAINTENANCE-2'!AC13</f>
        <v>47000</v>
      </c>
      <c r="Y8" s="101"/>
      <c r="Z8" s="101"/>
      <c r="AA8" s="101"/>
      <c r="AB8" s="101"/>
      <c r="AC8" s="230">
        <v>-121333.33</v>
      </c>
      <c r="AD8" s="101"/>
      <c r="AE8" s="101"/>
      <c r="AF8" s="62">
        <f t="shared" si="2"/>
        <v>4185041</v>
      </c>
      <c r="AG8" s="63">
        <f t="shared" si="0"/>
        <v>0</v>
      </c>
      <c r="AH8" s="106">
        <f t="shared" ref="AH8:AH54" si="9">ROUNDDOWN(IF(E8=0,AF8*AG8*120%,AF8*AG8),0)</f>
        <v>0</v>
      </c>
      <c r="AJ8" s="93">
        <f t="shared" si="3"/>
        <v>0</v>
      </c>
      <c r="AL8" s="206">
        <f>'[23]MAINTENANCE-2'!AK13</f>
        <v>4006985.4200000004</v>
      </c>
      <c r="AM8" s="207">
        <f t="shared" si="4"/>
        <v>4185041.4200000004</v>
      </c>
      <c r="AN8" s="151">
        <f t="shared" si="5"/>
        <v>0.42000000039115548</v>
      </c>
      <c r="AO8" s="93">
        <f t="shared" si="6"/>
        <v>245652.19</v>
      </c>
      <c r="AP8" s="93">
        <f t="shared" si="7"/>
        <v>245651.77000000002</v>
      </c>
    </row>
    <row r="9" spans="2:45" s="27" customFormat="1">
      <c r="B9" s="97">
        <v>4</v>
      </c>
      <c r="C9" s="98" t="s">
        <v>230</v>
      </c>
      <c r="D9" s="208" t="s">
        <v>231</v>
      </c>
      <c r="E9" s="209" t="s">
        <v>73</v>
      </c>
      <c r="F9" s="98" t="s">
        <v>232</v>
      </c>
      <c r="G9" s="107" t="s">
        <v>88</v>
      </c>
      <c r="H9" s="99" t="s">
        <v>39</v>
      </c>
      <c r="I9" s="100" t="s">
        <v>9</v>
      </c>
      <c r="J9" s="58" t="str">
        <f t="shared" si="1"/>
        <v>TER B</v>
      </c>
      <c r="K9" s="210">
        <v>3761333.23</v>
      </c>
      <c r="L9" s="101">
        <f t="shared" si="8"/>
        <v>30575.999999999996</v>
      </c>
      <c r="M9" s="101">
        <f>'[23]MAINTENANCE-2'!AP14</f>
        <v>146680</v>
      </c>
      <c r="N9" s="101"/>
      <c r="O9" s="101"/>
      <c r="P9" s="101"/>
      <c r="Q9" s="101"/>
      <c r="R9" s="101"/>
      <c r="S9" s="101"/>
      <c r="T9" s="101">
        <f>'[23]MAINTENANCE-2'!X14</f>
        <v>130500</v>
      </c>
      <c r="U9" s="101"/>
      <c r="V9" s="101">
        <f>'[23]MAINTENANCE-2'!AH14</f>
        <v>0</v>
      </c>
      <c r="W9" s="101"/>
      <c r="X9" s="101">
        <f>'[23]MAINTENANCE-2'!AC14</f>
        <v>27000</v>
      </c>
      <c r="Y9" s="101"/>
      <c r="Z9" s="101"/>
      <c r="AA9" s="101"/>
      <c r="AB9" s="101"/>
      <c r="AC9" s="230">
        <v>-242666.66</v>
      </c>
      <c r="AD9" s="101"/>
      <c r="AE9" s="101"/>
      <c r="AF9" s="62">
        <f t="shared" si="2"/>
        <v>3853422</v>
      </c>
      <c r="AG9" s="63">
        <f t="shared" si="0"/>
        <v>0</v>
      </c>
      <c r="AH9" s="106">
        <f t="shared" si="9"/>
        <v>0</v>
      </c>
      <c r="AJ9" s="93">
        <f t="shared" si="3"/>
        <v>0</v>
      </c>
      <c r="AL9" s="206">
        <f>'[23]MAINTENANCE-2'!AK14</f>
        <v>3676166.57</v>
      </c>
      <c r="AM9" s="207">
        <f t="shared" si="4"/>
        <v>3853422.57</v>
      </c>
      <c r="AN9" s="151">
        <f t="shared" si="5"/>
        <v>0.56999999983236194</v>
      </c>
      <c r="AO9" s="93">
        <f t="shared" si="6"/>
        <v>-85166.66</v>
      </c>
      <c r="AP9" s="93">
        <f t="shared" si="7"/>
        <v>-85167.229999999981</v>
      </c>
      <c r="AQ9" s="93">
        <f>SUM(N9:AC9)</f>
        <v>-85166.66</v>
      </c>
      <c r="AR9" s="93">
        <f>'[24]Feb''24'!AL9+'[24]MAR''24'!AO9+'[24]APR''24'!AO9+'[24]JUNI''24'!AO9+'[24]JULI''24'!AO9+'[24]AGUST''24'!AQ9+'[24]MEI''24'!AO9</f>
        <v>-236666.63000000006</v>
      </c>
      <c r="AS9" s="93">
        <f>AH9+'[24]JULI''24'!AH9+'[24]JUNI''24'!AH9+'[24]MEI''24'!AH9+'[24]APR''24'!AH9+'[24]MAR''24'!AH9+'[24]Feb''24'!AE9</f>
        <v>77812</v>
      </c>
    </row>
    <row r="10" spans="2:45" s="27" customFormat="1">
      <c r="B10" s="97">
        <v>5</v>
      </c>
      <c r="C10" s="98" t="s">
        <v>233</v>
      </c>
      <c r="D10" s="208" t="s">
        <v>234</v>
      </c>
      <c r="E10" s="209" t="s">
        <v>342</v>
      </c>
      <c r="F10" s="98" t="s">
        <v>235</v>
      </c>
      <c r="G10" s="107" t="s">
        <v>88</v>
      </c>
      <c r="H10" s="99" t="s">
        <v>38</v>
      </c>
      <c r="I10" s="100" t="s">
        <v>7</v>
      </c>
      <c r="J10" s="58" t="str">
        <f t="shared" si="1"/>
        <v>TER A</v>
      </c>
      <c r="K10" s="210">
        <v>3761333.23</v>
      </c>
      <c r="L10" s="101">
        <f t="shared" si="8"/>
        <v>30575.999999999996</v>
      </c>
      <c r="M10" s="101">
        <f>'[23]MAINTENANCE-2'!AP15</f>
        <v>147620</v>
      </c>
      <c r="N10" s="101"/>
      <c r="O10" s="101"/>
      <c r="P10" s="101"/>
      <c r="Q10" s="101"/>
      <c r="R10" s="101"/>
      <c r="S10" s="101"/>
      <c r="T10" s="101">
        <f>'[23]MAINTENANCE-2'!X15</f>
        <v>69750</v>
      </c>
      <c r="U10" s="101"/>
      <c r="V10" s="101">
        <f>'[23]MAINTENANCE-2'!AH15</f>
        <v>0</v>
      </c>
      <c r="W10" s="101"/>
      <c r="X10" s="101">
        <f>'[23]MAINTENANCE-2'!AC15</f>
        <v>50500</v>
      </c>
      <c r="Y10" s="101"/>
      <c r="Z10" s="101"/>
      <c r="AA10" s="101"/>
      <c r="AB10" s="101"/>
      <c r="AC10" s="230">
        <v>0</v>
      </c>
      <c r="AD10" s="101"/>
      <c r="AE10" s="101"/>
      <c r="AF10" s="62">
        <f t="shared" si="2"/>
        <v>4059779</v>
      </c>
      <c r="AG10" s="63">
        <f t="shared" si="0"/>
        <v>0</v>
      </c>
      <c r="AH10" s="106">
        <f t="shared" si="9"/>
        <v>0</v>
      </c>
      <c r="AJ10" s="93">
        <f t="shared" si="3"/>
        <v>0</v>
      </c>
      <c r="AL10" s="206">
        <f>'[23]MAINTENANCE-2'!AK15</f>
        <v>3881583.23</v>
      </c>
      <c r="AM10" s="207">
        <f t="shared" si="4"/>
        <v>4059779.23</v>
      </c>
      <c r="AN10" s="151">
        <f t="shared" si="5"/>
        <v>0.22999999998137355</v>
      </c>
      <c r="AO10" s="93">
        <f t="shared" si="6"/>
        <v>120250</v>
      </c>
      <c r="AP10" s="93">
        <f t="shared" si="7"/>
        <v>120249.77000000002</v>
      </c>
    </row>
    <row r="11" spans="2:45" s="27" customFormat="1">
      <c r="B11" s="97">
        <v>6</v>
      </c>
      <c r="C11" s="98" t="s">
        <v>236</v>
      </c>
      <c r="D11" s="208" t="s">
        <v>237</v>
      </c>
      <c r="E11" s="209" t="s">
        <v>343</v>
      </c>
      <c r="F11" s="98" t="s">
        <v>238</v>
      </c>
      <c r="G11" s="107" t="s">
        <v>88</v>
      </c>
      <c r="H11" s="99" t="s">
        <v>38</v>
      </c>
      <c r="I11" s="100" t="s">
        <v>7</v>
      </c>
      <c r="J11" s="58" t="str">
        <f t="shared" si="1"/>
        <v>TER A</v>
      </c>
      <c r="K11" s="210">
        <v>3761333.23</v>
      </c>
      <c r="L11" s="101">
        <f t="shared" si="8"/>
        <v>30575.999999999996</v>
      </c>
      <c r="M11" s="101">
        <f>'[23]MAINTENANCE-2'!AP16</f>
        <v>147620</v>
      </c>
      <c r="N11" s="101"/>
      <c r="O11" s="101"/>
      <c r="P11" s="101"/>
      <c r="Q11" s="101"/>
      <c r="R11" s="101"/>
      <c r="S11" s="101"/>
      <c r="T11" s="101">
        <f>'[23]MAINTENANCE-2'!X16</f>
        <v>69750</v>
      </c>
      <c r="U11" s="101"/>
      <c r="V11" s="101">
        <f>'[23]MAINTENANCE-2'!AH16</f>
        <v>0</v>
      </c>
      <c r="W11" s="101"/>
      <c r="X11" s="101">
        <f>'[23]MAINTENANCE-2'!AC16</f>
        <v>50500</v>
      </c>
      <c r="Y11" s="101"/>
      <c r="Z11" s="101"/>
      <c r="AA11" s="101"/>
      <c r="AB11" s="101"/>
      <c r="AC11" s="230">
        <v>0</v>
      </c>
      <c r="AD11" s="101"/>
      <c r="AE11" s="101"/>
      <c r="AF11" s="62">
        <f t="shared" si="2"/>
        <v>4059779</v>
      </c>
      <c r="AG11" s="63">
        <f t="shared" si="0"/>
        <v>0</v>
      </c>
      <c r="AH11" s="106">
        <f t="shared" si="9"/>
        <v>0</v>
      </c>
      <c r="AJ11" s="93">
        <f t="shared" si="3"/>
        <v>0</v>
      </c>
      <c r="AL11" s="206">
        <f>'[23]MAINTENANCE-2'!AK16</f>
        <v>3881583.2300000004</v>
      </c>
      <c r="AM11" s="207">
        <f t="shared" si="4"/>
        <v>4059779.2300000004</v>
      </c>
      <c r="AN11" s="151">
        <f t="shared" si="5"/>
        <v>0.23000000044703484</v>
      </c>
      <c r="AO11" s="93">
        <f t="shared" si="6"/>
        <v>120250</v>
      </c>
      <c r="AP11" s="93">
        <f t="shared" si="7"/>
        <v>120249.77000000002</v>
      </c>
    </row>
    <row r="12" spans="2:45" s="27" customFormat="1">
      <c r="B12" s="97">
        <v>7</v>
      </c>
      <c r="C12" s="98" t="s">
        <v>239</v>
      </c>
      <c r="D12" s="208" t="s">
        <v>240</v>
      </c>
      <c r="E12" s="209" t="s">
        <v>344</v>
      </c>
      <c r="F12" s="98" t="s">
        <v>241</v>
      </c>
      <c r="G12" s="107" t="s">
        <v>88</v>
      </c>
      <c r="H12" s="99" t="s">
        <v>38</v>
      </c>
      <c r="I12" s="100" t="s">
        <v>7</v>
      </c>
      <c r="J12" s="58" t="str">
        <f t="shared" si="1"/>
        <v>TER A</v>
      </c>
      <c r="K12" s="210">
        <v>3761333.23</v>
      </c>
      <c r="L12" s="101">
        <f t="shared" si="8"/>
        <v>30575.999999999996</v>
      </c>
      <c r="M12" s="101">
        <f>'[23]MAINTENANCE-2'!AP17</f>
        <v>147480</v>
      </c>
      <c r="N12" s="101"/>
      <c r="O12" s="101"/>
      <c r="P12" s="101"/>
      <c r="Q12" s="101"/>
      <c r="R12" s="101"/>
      <c r="S12" s="101"/>
      <c r="T12" s="101">
        <f>'[23]MAINTENANCE-2'!X17</f>
        <v>69750</v>
      </c>
      <c r="U12" s="101"/>
      <c r="V12" s="101">
        <f>'[23]MAINTENANCE-2'!AH17</f>
        <v>0</v>
      </c>
      <c r="W12" s="101"/>
      <c r="X12" s="101">
        <f>'[23]MAINTENANCE-2'!AC17</f>
        <v>47000</v>
      </c>
      <c r="Y12" s="101"/>
      <c r="Z12" s="101"/>
      <c r="AA12" s="101"/>
      <c r="AB12" s="101"/>
      <c r="AC12" s="230">
        <v>0</v>
      </c>
      <c r="AD12" s="101"/>
      <c r="AE12" s="101"/>
      <c r="AF12" s="62">
        <f t="shared" si="2"/>
        <v>4056139</v>
      </c>
      <c r="AG12" s="63">
        <f t="shared" si="0"/>
        <v>0</v>
      </c>
      <c r="AH12" s="106">
        <f t="shared" si="9"/>
        <v>0</v>
      </c>
      <c r="AJ12" s="93">
        <f t="shared" si="3"/>
        <v>0</v>
      </c>
      <c r="AL12" s="206">
        <f>'[23]MAINTENANCE-2'!AK17</f>
        <v>3878083.23</v>
      </c>
      <c r="AM12" s="207">
        <f t="shared" si="4"/>
        <v>4056139.23</v>
      </c>
      <c r="AN12" s="151">
        <f t="shared" si="5"/>
        <v>0.22999999998137355</v>
      </c>
      <c r="AO12" s="93">
        <f t="shared" si="6"/>
        <v>116750</v>
      </c>
      <c r="AP12" s="93">
        <f t="shared" si="7"/>
        <v>116749.77000000002</v>
      </c>
    </row>
    <row r="13" spans="2:45" s="27" customFormat="1">
      <c r="B13" s="97">
        <v>8</v>
      </c>
      <c r="C13" s="98" t="s">
        <v>242</v>
      </c>
      <c r="D13" s="208" t="s">
        <v>243</v>
      </c>
      <c r="E13" s="209" t="s">
        <v>345</v>
      </c>
      <c r="F13" s="98" t="s">
        <v>244</v>
      </c>
      <c r="G13" s="107" t="s">
        <v>88</v>
      </c>
      <c r="H13" s="99" t="s">
        <v>38</v>
      </c>
      <c r="I13" s="100" t="s">
        <v>7</v>
      </c>
      <c r="J13" s="58" t="str">
        <f t="shared" si="1"/>
        <v>TER A</v>
      </c>
      <c r="K13" s="210">
        <v>3761333.23</v>
      </c>
      <c r="L13" s="101">
        <f t="shared" si="8"/>
        <v>30575.999999999996</v>
      </c>
      <c r="M13" s="101">
        <f>'[23]MAINTENANCE-2'!AP18</f>
        <v>148040</v>
      </c>
      <c r="N13" s="101"/>
      <c r="O13" s="101"/>
      <c r="P13" s="101"/>
      <c r="Q13" s="101"/>
      <c r="R13" s="101"/>
      <c r="S13" s="101"/>
      <c r="T13" s="101">
        <f>'[23]MAINTENANCE-2'!X18</f>
        <v>69750</v>
      </c>
      <c r="U13" s="101"/>
      <c r="V13" s="101">
        <f>'[23]MAINTENANCE-2'!AH18</f>
        <v>0</v>
      </c>
      <c r="W13" s="101"/>
      <c r="X13" s="101">
        <f>'[23]MAINTENANCE-2'!AC18</f>
        <v>61000</v>
      </c>
      <c r="Y13" s="101"/>
      <c r="Z13" s="101"/>
      <c r="AA13" s="101"/>
      <c r="AB13" s="101"/>
      <c r="AC13" s="230">
        <v>0</v>
      </c>
      <c r="AD13" s="101"/>
      <c r="AE13" s="101"/>
      <c r="AF13" s="62">
        <f t="shared" si="2"/>
        <v>4070699</v>
      </c>
      <c r="AG13" s="63">
        <f t="shared" si="0"/>
        <v>0</v>
      </c>
      <c r="AH13" s="106">
        <f t="shared" si="9"/>
        <v>0</v>
      </c>
      <c r="AJ13" s="93">
        <f t="shared" si="3"/>
        <v>0</v>
      </c>
      <c r="AL13" s="206">
        <f>'[23]MAINTENANCE-2'!AK18</f>
        <v>3892083.2300000004</v>
      </c>
      <c r="AM13" s="207">
        <f t="shared" si="4"/>
        <v>4070699.2300000004</v>
      </c>
      <c r="AN13" s="151">
        <f t="shared" si="5"/>
        <v>0.23000000044703484</v>
      </c>
      <c r="AO13" s="93">
        <f t="shared" si="6"/>
        <v>130750</v>
      </c>
      <c r="AP13" s="93">
        <f t="shared" si="7"/>
        <v>130749.77000000002</v>
      </c>
    </row>
    <row r="14" spans="2:45" s="27" customFormat="1">
      <c r="B14" s="97">
        <v>9</v>
      </c>
      <c r="C14" s="98" t="s">
        <v>245</v>
      </c>
      <c r="D14" s="208" t="s">
        <v>246</v>
      </c>
      <c r="E14" s="209" t="s">
        <v>346</v>
      </c>
      <c r="F14" s="98" t="s">
        <v>247</v>
      </c>
      <c r="G14" s="107" t="s">
        <v>88</v>
      </c>
      <c r="H14" s="99" t="s">
        <v>38</v>
      </c>
      <c r="I14" s="100" t="s">
        <v>7</v>
      </c>
      <c r="J14" s="58" t="str">
        <f t="shared" si="1"/>
        <v>TER A</v>
      </c>
      <c r="K14" s="210">
        <v>3761333.23</v>
      </c>
      <c r="L14" s="101">
        <f t="shared" si="8"/>
        <v>30575.999999999996</v>
      </c>
      <c r="M14" s="101">
        <f>'[23]MAINTENANCE-2'!AP19</f>
        <v>147340</v>
      </c>
      <c r="N14" s="101"/>
      <c r="O14" s="101"/>
      <c r="P14" s="101"/>
      <c r="Q14" s="101"/>
      <c r="R14" s="101"/>
      <c r="S14" s="101"/>
      <c r="T14" s="101">
        <f>'[23]MAINTENANCE-2'!X19</f>
        <v>69750</v>
      </c>
      <c r="U14" s="101"/>
      <c r="V14" s="101">
        <f>'[23]MAINTENANCE-2'!AH19</f>
        <v>0</v>
      </c>
      <c r="W14" s="101"/>
      <c r="X14" s="101">
        <f>'[23]MAINTENANCE-2'!AC19</f>
        <v>43500</v>
      </c>
      <c r="Y14" s="101"/>
      <c r="Z14" s="101"/>
      <c r="AA14" s="101"/>
      <c r="AB14" s="101"/>
      <c r="AC14" s="230">
        <v>0</v>
      </c>
      <c r="AD14" s="101"/>
      <c r="AE14" s="101"/>
      <c r="AF14" s="62">
        <f t="shared" si="2"/>
        <v>4052499</v>
      </c>
      <c r="AG14" s="63">
        <f t="shared" si="0"/>
        <v>0</v>
      </c>
      <c r="AH14" s="106">
        <f t="shared" si="9"/>
        <v>0</v>
      </c>
      <c r="AJ14" s="93">
        <f t="shared" si="3"/>
        <v>0</v>
      </c>
      <c r="AL14" s="206">
        <f>'[23]MAINTENANCE-2'!AK19</f>
        <v>3874583.2300000004</v>
      </c>
      <c r="AM14" s="207">
        <f t="shared" si="4"/>
        <v>4052499.2300000004</v>
      </c>
      <c r="AN14" s="151">
        <f t="shared" si="5"/>
        <v>0.23000000044703484</v>
      </c>
      <c r="AO14" s="93">
        <f t="shared" si="6"/>
        <v>113250</v>
      </c>
      <c r="AP14" s="93">
        <f t="shared" si="7"/>
        <v>113249.77000000002</v>
      </c>
    </row>
    <row r="15" spans="2:45" s="27" customFormat="1">
      <c r="B15" s="97">
        <v>10</v>
      </c>
      <c r="C15" s="98" t="s">
        <v>248</v>
      </c>
      <c r="D15" s="208" t="s">
        <v>249</v>
      </c>
      <c r="E15" s="209" t="s">
        <v>347</v>
      </c>
      <c r="F15" s="98" t="s">
        <v>250</v>
      </c>
      <c r="G15" s="107" t="s">
        <v>88</v>
      </c>
      <c r="H15" s="99" t="s">
        <v>39</v>
      </c>
      <c r="I15" s="100" t="s">
        <v>17</v>
      </c>
      <c r="J15" s="58" t="str">
        <f t="shared" si="1"/>
        <v>TER A</v>
      </c>
      <c r="K15" s="210">
        <v>3761333.23</v>
      </c>
      <c r="L15" s="101">
        <f t="shared" si="8"/>
        <v>30575.999999999996</v>
      </c>
      <c r="M15" s="101">
        <f>'[23]MAINTENANCE-2'!AP20</f>
        <v>148040</v>
      </c>
      <c r="N15" s="101"/>
      <c r="O15" s="101"/>
      <c r="P15" s="101"/>
      <c r="Q15" s="101"/>
      <c r="R15" s="101"/>
      <c r="S15" s="101"/>
      <c r="T15" s="101">
        <f>'[23]MAINTENANCE-2'!X20</f>
        <v>108000</v>
      </c>
      <c r="U15" s="101"/>
      <c r="V15" s="101">
        <f>'[23]MAINTENANCE-2'!AH20</f>
        <v>73641.61</v>
      </c>
      <c r="W15" s="101"/>
      <c r="X15" s="101">
        <f>'[23]MAINTENANCE-2'!AC20</f>
        <v>61000</v>
      </c>
      <c r="Y15" s="101"/>
      <c r="Z15" s="101"/>
      <c r="AA15" s="101"/>
      <c r="AB15" s="101"/>
      <c r="AC15" s="230">
        <v>-121333.33</v>
      </c>
      <c r="AD15" s="101"/>
      <c r="AE15" s="101"/>
      <c r="AF15" s="62">
        <f t="shared" si="2"/>
        <v>4061257</v>
      </c>
      <c r="AG15" s="63">
        <f t="shared" si="0"/>
        <v>0</v>
      </c>
      <c r="AH15" s="106">
        <f t="shared" si="9"/>
        <v>0</v>
      </c>
      <c r="AJ15" s="93">
        <f t="shared" si="3"/>
        <v>0</v>
      </c>
      <c r="AL15" s="206">
        <f>'[23]MAINTENANCE-2'!AK20</f>
        <v>3882641.51</v>
      </c>
      <c r="AM15" s="207">
        <f t="shared" si="4"/>
        <v>4061257.51</v>
      </c>
      <c r="AN15" s="151">
        <f t="shared" si="5"/>
        <v>0.50999999977648258</v>
      </c>
      <c r="AO15" s="93">
        <f t="shared" si="6"/>
        <v>121308.27999999998</v>
      </c>
      <c r="AP15" s="93">
        <f t="shared" si="7"/>
        <v>121307.77000000002</v>
      </c>
    </row>
    <row r="16" spans="2:45" s="27" customFormat="1">
      <c r="B16" s="97">
        <v>11</v>
      </c>
      <c r="C16" s="98" t="s">
        <v>251</v>
      </c>
      <c r="D16" s="208" t="s">
        <v>252</v>
      </c>
      <c r="E16" s="209" t="s">
        <v>348</v>
      </c>
      <c r="F16" s="98" t="s">
        <v>253</v>
      </c>
      <c r="G16" s="107" t="s">
        <v>88</v>
      </c>
      <c r="H16" s="99" t="s">
        <v>39</v>
      </c>
      <c r="I16" s="100" t="s">
        <v>7</v>
      </c>
      <c r="J16" s="58" t="str">
        <f t="shared" si="1"/>
        <v>TER A</v>
      </c>
      <c r="K16" s="210">
        <v>3761333.23</v>
      </c>
      <c r="L16" s="101">
        <f t="shared" si="8"/>
        <v>30575.999999999996</v>
      </c>
      <c r="M16" s="101">
        <f>'[23]MAINTENANCE-2'!AP21</f>
        <v>146560</v>
      </c>
      <c r="N16" s="101"/>
      <c r="O16" s="101"/>
      <c r="P16" s="101"/>
      <c r="Q16" s="101"/>
      <c r="R16" s="101"/>
      <c r="S16" s="101"/>
      <c r="T16" s="101">
        <f>'[23]MAINTENANCE-2'!X21</f>
        <v>108000</v>
      </c>
      <c r="U16" s="101"/>
      <c r="V16" s="101">
        <f>'[23]MAINTENANCE-2'!AH21</f>
        <v>31560.69</v>
      </c>
      <c r="W16" s="101"/>
      <c r="X16" s="101">
        <f>'[23]MAINTENANCE-2'!AC21</f>
        <v>24000</v>
      </c>
      <c r="Y16" s="101"/>
      <c r="Z16" s="101"/>
      <c r="AA16" s="101"/>
      <c r="AB16" s="101"/>
      <c r="AC16" s="230">
        <v>-121333.33</v>
      </c>
      <c r="AD16" s="101"/>
      <c r="AE16" s="101"/>
      <c r="AF16" s="62">
        <f t="shared" si="2"/>
        <v>3980696</v>
      </c>
      <c r="AG16" s="63">
        <f t="shared" si="0"/>
        <v>0</v>
      </c>
      <c r="AH16" s="106">
        <f t="shared" si="9"/>
        <v>0</v>
      </c>
      <c r="AJ16" s="93">
        <f t="shared" si="3"/>
        <v>0</v>
      </c>
      <c r="AL16" s="206">
        <f>'[23]MAINTENANCE-2'!AK21</f>
        <v>3803560.59</v>
      </c>
      <c r="AM16" s="207">
        <f t="shared" si="4"/>
        <v>3980696.59</v>
      </c>
      <c r="AN16" s="151">
        <f t="shared" si="5"/>
        <v>0.58999999985098839</v>
      </c>
      <c r="AO16" s="93">
        <f t="shared" si="6"/>
        <v>42227.360000000001</v>
      </c>
      <c r="AP16" s="93">
        <f t="shared" si="7"/>
        <v>42226.770000000019</v>
      </c>
    </row>
    <row r="17" spans="2:42" s="27" customFormat="1">
      <c r="B17" s="97">
        <v>12</v>
      </c>
      <c r="C17" s="98" t="s">
        <v>394</v>
      </c>
      <c r="D17" s="208" t="s">
        <v>255</v>
      </c>
      <c r="E17" s="209" t="s">
        <v>349</v>
      </c>
      <c r="F17" s="98" t="s">
        <v>256</v>
      </c>
      <c r="G17" s="107" t="s">
        <v>88</v>
      </c>
      <c r="H17" s="99" t="s">
        <v>38</v>
      </c>
      <c r="I17" s="100" t="s">
        <v>7</v>
      </c>
      <c r="J17" s="58" t="str">
        <f t="shared" si="1"/>
        <v>TER A</v>
      </c>
      <c r="K17" s="210">
        <v>3761333.23</v>
      </c>
      <c r="L17" s="101">
        <f t="shared" si="8"/>
        <v>30575.999999999996</v>
      </c>
      <c r="M17" s="101">
        <f>'[23]MAINTENANCE-2'!AP22</f>
        <v>146800</v>
      </c>
      <c r="N17" s="101"/>
      <c r="O17" s="101"/>
      <c r="P17" s="101"/>
      <c r="Q17" s="101"/>
      <c r="R17" s="101"/>
      <c r="S17" s="101"/>
      <c r="T17" s="101">
        <f>'[23]MAINTENANCE-2'!X22</f>
        <v>69750</v>
      </c>
      <c r="U17" s="101"/>
      <c r="V17" s="101">
        <f>'[23]MAINTENANCE-2'!AH22</f>
        <v>0</v>
      </c>
      <c r="W17" s="101"/>
      <c r="X17" s="101">
        <f>'[23]MAINTENANCE-2'!AC22</f>
        <v>30000</v>
      </c>
      <c r="Y17" s="101"/>
      <c r="Z17" s="101"/>
      <c r="AA17" s="101"/>
      <c r="AB17" s="101"/>
      <c r="AC17" s="230">
        <v>0</v>
      </c>
      <c r="AD17" s="101"/>
      <c r="AE17" s="101"/>
      <c r="AF17" s="62">
        <f t="shared" si="2"/>
        <v>4038459</v>
      </c>
      <c r="AG17" s="63">
        <f t="shared" si="0"/>
        <v>0</v>
      </c>
      <c r="AH17" s="106">
        <f t="shared" si="9"/>
        <v>0</v>
      </c>
      <c r="AJ17" s="93">
        <f t="shared" si="3"/>
        <v>0</v>
      </c>
      <c r="AL17" s="206">
        <f>'[23]MAINTENANCE-2'!AK22</f>
        <v>3861083.23</v>
      </c>
      <c r="AM17" s="207">
        <f t="shared" si="4"/>
        <v>4038459.23</v>
      </c>
      <c r="AN17" s="151">
        <f t="shared" si="5"/>
        <v>0.22999999998137355</v>
      </c>
      <c r="AO17" s="93">
        <f t="shared" si="6"/>
        <v>99750</v>
      </c>
      <c r="AP17" s="93">
        <f t="shared" si="7"/>
        <v>99749.770000000019</v>
      </c>
    </row>
    <row r="18" spans="2:42" s="27" customFormat="1">
      <c r="B18" s="97">
        <v>13</v>
      </c>
      <c r="C18" s="98" t="s">
        <v>257</v>
      </c>
      <c r="D18" s="208" t="s">
        <v>258</v>
      </c>
      <c r="E18" s="209" t="s">
        <v>350</v>
      </c>
      <c r="F18" s="98" t="s">
        <v>259</v>
      </c>
      <c r="G18" s="107" t="s">
        <v>88</v>
      </c>
      <c r="H18" s="99" t="s">
        <v>39</v>
      </c>
      <c r="I18" s="100" t="s">
        <v>9</v>
      </c>
      <c r="J18" s="58" t="str">
        <f t="shared" si="1"/>
        <v>TER B</v>
      </c>
      <c r="K18" s="210">
        <v>3761333.23</v>
      </c>
      <c r="L18" s="101">
        <f t="shared" si="8"/>
        <v>30575.999999999996</v>
      </c>
      <c r="M18" s="101">
        <f>'[23]MAINTENANCE-2'!AP23</f>
        <v>146800</v>
      </c>
      <c r="N18" s="101">
        <v>209600</v>
      </c>
      <c r="O18" s="101">
        <v>24000</v>
      </c>
      <c r="P18" s="101"/>
      <c r="Q18" s="101"/>
      <c r="R18" s="101"/>
      <c r="S18" s="101"/>
      <c r="T18" s="101">
        <f>'[23]MAINTENANCE-2'!X23</f>
        <v>135000</v>
      </c>
      <c r="U18" s="101"/>
      <c r="V18" s="101">
        <f>'[23]MAINTENANCE-2'!AH23</f>
        <v>336647.36</v>
      </c>
      <c r="W18" s="101"/>
      <c r="X18" s="101">
        <f>'[23]MAINTENANCE-2'!AC23</f>
        <v>30000</v>
      </c>
      <c r="Y18" s="101"/>
      <c r="Z18" s="101"/>
      <c r="AA18" s="101"/>
      <c r="AB18" s="101"/>
      <c r="AC18" s="230">
        <v>-121333.33</v>
      </c>
      <c r="AD18" s="101"/>
      <c r="AE18" s="101"/>
      <c r="AF18" s="62">
        <f t="shared" si="2"/>
        <v>4552623</v>
      </c>
      <c r="AG18" s="63">
        <f t="shared" si="0"/>
        <v>0</v>
      </c>
      <c r="AH18" s="106">
        <f t="shared" si="9"/>
        <v>0</v>
      </c>
      <c r="AJ18" s="93">
        <f t="shared" si="3"/>
        <v>0</v>
      </c>
      <c r="AL18" s="206">
        <f>'[23]MAINTENANCE-2'!AK23</f>
        <v>4375247.2600000007</v>
      </c>
      <c r="AM18" s="207">
        <f t="shared" si="4"/>
        <v>4552623.2600000007</v>
      </c>
      <c r="AN18" s="151">
        <f t="shared" si="5"/>
        <v>0.26000000070780516</v>
      </c>
      <c r="AO18" s="93">
        <f t="shared" si="6"/>
        <v>613914.03</v>
      </c>
      <c r="AP18" s="93">
        <f t="shared" si="7"/>
        <v>613913.77</v>
      </c>
    </row>
    <row r="19" spans="2:42" s="27" customFormat="1">
      <c r="B19" s="97">
        <v>14</v>
      </c>
      <c r="C19" s="98" t="s">
        <v>260</v>
      </c>
      <c r="D19" s="208" t="s">
        <v>261</v>
      </c>
      <c r="E19" s="209" t="s">
        <v>73</v>
      </c>
      <c r="F19" s="98" t="s">
        <v>262</v>
      </c>
      <c r="G19" s="107" t="s">
        <v>88</v>
      </c>
      <c r="H19" s="99" t="s">
        <v>39</v>
      </c>
      <c r="I19" s="100" t="s">
        <v>11</v>
      </c>
      <c r="J19" s="58" t="str">
        <f t="shared" si="1"/>
        <v>TER B</v>
      </c>
      <c r="K19" s="210">
        <v>3761333.23</v>
      </c>
      <c r="L19" s="101">
        <f t="shared" si="8"/>
        <v>30575.999999999996</v>
      </c>
      <c r="M19" s="101">
        <f>'[23]MAINTENANCE-2'!AP24</f>
        <v>146560</v>
      </c>
      <c r="N19" s="101"/>
      <c r="O19" s="101"/>
      <c r="P19" s="101"/>
      <c r="Q19" s="101"/>
      <c r="R19" s="101"/>
      <c r="S19" s="101"/>
      <c r="T19" s="101">
        <f>'[23]MAINTENANCE-2'!X24</f>
        <v>167400</v>
      </c>
      <c r="U19" s="101"/>
      <c r="V19" s="101">
        <f>'[23]MAINTENANCE-2'!AH24</f>
        <v>0</v>
      </c>
      <c r="W19" s="101"/>
      <c r="X19" s="101">
        <f>'[23]MAINTENANCE-2'!AC24</f>
        <v>24000</v>
      </c>
      <c r="Y19" s="101"/>
      <c r="Z19" s="101"/>
      <c r="AA19" s="101"/>
      <c r="AB19" s="101"/>
      <c r="AC19" s="230">
        <v>0</v>
      </c>
      <c r="AD19" s="101"/>
      <c r="AE19" s="101"/>
      <c r="AF19" s="62">
        <f t="shared" si="2"/>
        <v>4129869</v>
      </c>
      <c r="AG19" s="63">
        <f t="shared" si="0"/>
        <v>0</v>
      </c>
      <c r="AH19" s="106">
        <f t="shared" si="9"/>
        <v>0</v>
      </c>
      <c r="AJ19" s="93">
        <f t="shared" si="3"/>
        <v>0</v>
      </c>
      <c r="AL19" s="206">
        <f>'[23]MAINTENANCE-2'!AK24</f>
        <v>3952733.23</v>
      </c>
      <c r="AM19" s="207">
        <f t="shared" si="4"/>
        <v>4129869.23</v>
      </c>
      <c r="AN19" s="151">
        <f t="shared" si="5"/>
        <v>0.22999999998137355</v>
      </c>
      <c r="AO19" s="93">
        <f t="shared" si="6"/>
        <v>191400</v>
      </c>
      <c r="AP19" s="93">
        <f t="shared" si="7"/>
        <v>191399.77000000002</v>
      </c>
    </row>
    <row r="20" spans="2:42" s="27" customFormat="1">
      <c r="B20" s="97">
        <v>15</v>
      </c>
      <c r="C20" s="98" t="s">
        <v>263</v>
      </c>
      <c r="D20" s="208" t="s">
        <v>264</v>
      </c>
      <c r="E20" s="209" t="s">
        <v>73</v>
      </c>
      <c r="F20" s="98" t="s">
        <v>265</v>
      </c>
      <c r="G20" s="107" t="s">
        <v>88</v>
      </c>
      <c r="H20" s="99" t="s">
        <v>39</v>
      </c>
      <c r="I20" s="100" t="s">
        <v>9</v>
      </c>
      <c r="J20" s="58" t="str">
        <f t="shared" si="1"/>
        <v>TER B</v>
      </c>
      <c r="K20" s="210">
        <v>3761333.23</v>
      </c>
      <c r="L20" s="101">
        <f t="shared" si="8"/>
        <v>30575.999999999996</v>
      </c>
      <c r="M20" s="101">
        <f>'[23]MAINTENANCE-2'!AP25</f>
        <v>145900</v>
      </c>
      <c r="N20" s="101"/>
      <c r="O20" s="101"/>
      <c r="P20" s="101"/>
      <c r="Q20" s="101"/>
      <c r="R20" s="101"/>
      <c r="S20" s="101"/>
      <c r="T20" s="101">
        <f>'[23]MAINTENANCE-2'!X25</f>
        <v>135000</v>
      </c>
      <c r="U20" s="101"/>
      <c r="V20" s="101">
        <f>'[23]MAINTENANCE-2'!AH25</f>
        <v>0</v>
      </c>
      <c r="W20" s="101"/>
      <c r="X20" s="101">
        <f>'[23]MAINTENANCE-2'!AC25</f>
        <v>7500</v>
      </c>
      <c r="Y20" s="101"/>
      <c r="Z20" s="101"/>
      <c r="AA20" s="101"/>
      <c r="AB20" s="101"/>
      <c r="AC20" s="230">
        <v>-121333.33</v>
      </c>
      <c r="AD20" s="101"/>
      <c r="AE20" s="101"/>
      <c r="AF20" s="62">
        <f t="shared" si="2"/>
        <v>3958975</v>
      </c>
      <c r="AG20" s="63">
        <f t="shared" si="0"/>
        <v>0</v>
      </c>
      <c r="AH20" s="106">
        <f t="shared" si="9"/>
        <v>0</v>
      </c>
      <c r="AJ20" s="93">
        <f t="shared" si="3"/>
        <v>0</v>
      </c>
      <c r="AL20" s="206">
        <f>'[23]MAINTENANCE-2'!AK25</f>
        <v>3782499.9000000004</v>
      </c>
      <c r="AM20" s="207">
        <f t="shared" si="4"/>
        <v>3958975.9000000004</v>
      </c>
      <c r="AN20" s="151">
        <f t="shared" si="5"/>
        <v>0.90000000037252903</v>
      </c>
      <c r="AO20" s="93">
        <f t="shared" si="6"/>
        <v>21166.67</v>
      </c>
      <c r="AP20" s="93">
        <f t="shared" si="7"/>
        <v>21165.770000000019</v>
      </c>
    </row>
    <row r="21" spans="2:42" s="27" customFormat="1">
      <c r="B21" s="97">
        <v>16</v>
      </c>
      <c r="C21" s="98" t="s">
        <v>266</v>
      </c>
      <c r="D21" s="208" t="s">
        <v>267</v>
      </c>
      <c r="E21" s="209" t="s">
        <v>351</v>
      </c>
      <c r="F21" s="98" t="s">
        <v>268</v>
      </c>
      <c r="G21" s="107" t="s">
        <v>88</v>
      </c>
      <c r="H21" s="99" t="s">
        <v>38</v>
      </c>
      <c r="I21" s="100" t="s">
        <v>7</v>
      </c>
      <c r="J21" s="58" t="str">
        <f t="shared" si="1"/>
        <v>TER A</v>
      </c>
      <c r="K21" s="210">
        <v>3761333.23</v>
      </c>
      <c r="L21" s="101">
        <f t="shared" si="8"/>
        <v>30575.999999999996</v>
      </c>
      <c r="M21" s="101">
        <f>'[23]MAINTENANCE-2'!AP26</f>
        <v>147480</v>
      </c>
      <c r="N21" s="101"/>
      <c r="O21" s="101"/>
      <c r="P21" s="101"/>
      <c r="Q21" s="101"/>
      <c r="R21" s="101"/>
      <c r="S21" s="101"/>
      <c r="T21" s="101">
        <f>'[23]MAINTENANCE-2'!X26</f>
        <v>69750</v>
      </c>
      <c r="U21" s="101"/>
      <c r="V21" s="101">
        <f>'[23]MAINTENANCE-2'!AH26</f>
        <v>0</v>
      </c>
      <c r="W21" s="101"/>
      <c r="X21" s="101">
        <f>'[23]MAINTENANCE-2'!AC26</f>
        <v>47000</v>
      </c>
      <c r="Y21" s="101"/>
      <c r="Z21" s="101"/>
      <c r="AA21" s="101"/>
      <c r="AB21" s="101"/>
      <c r="AC21" s="230">
        <v>0</v>
      </c>
      <c r="AD21" s="101"/>
      <c r="AE21" s="101"/>
      <c r="AF21" s="62">
        <f t="shared" si="2"/>
        <v>4056139</v>
      </c>
      <c r="AG21" s="63">
        <f t="shared" si="0"/>
        <v>0</v>
      </c>
      <c r="AH21" s="106">
        <f t="shared" si="9"/>
        <v>0</v>
      </c>
      <c r="AJ21" s="93">
        <f t="shared" si="3"/>
        <v>0</v>
      </c>
      <c r="AL21" s="206">
        <f>'[23]MAINTENANCE-2'!AK26</f>
        <v>3878083.2300000004</v>
      </c>
      <c r="AM21" s="207">
        <f t="shared" si="4"/>
        <v>4056139.2300000004</v>
      </c>
      <c r="AN21" s="151">
        <f t="shared" si="5"/>
        <v>0.23000000044703484</v>
      </c>
      <c r="AO21" s="93">
        <f t="shared" si="6"/>
        <v>116750</v>
      </c>
      <c r="AP21" s="93">
        <f t="shared" si="7"/>
        <v>116749.77000000002</v>
      </c>
    </row>
    <row r="22" spans="2:42" s="27" customFormat="1">
      <c r="B22" s="97">
        <v>17</v>
      </c>
      <c r="C22" s="98" t="s">
        <v>269</v>
      </c>
      <c r="D22" s="208" t="s">
        <v>270</v>
      </c>
      <c r="E22" s="209" t="s">
        <v>352</v>
      </c>
      <c r="F22" s="98" t="s">
        <v>271</v>
      </c>
      <c r="G22" s="107" t="s">
        <v>88</v>
      </c>
      <c r="H22" s="99" t="s">
        <v>38</v>
      </c>
      <c r="I22" s="100" t="s">
        <v>7</v>
      </c>
      <c r="J22" s="58" t="str">
        <f t="shared" si="1"/>
        <v>TER A</v>
      </c>
      <c r="K22" s="210">
        <v>3761333.23</v>
      </c>
      <c r="L22" s="101">
        <f t="shared" si="8"/>
        <v>30575.999999999996</v>
      </c>
      <c r="M22" s="101">
        <f>'[23]MAINTENANCE-2'!AP27</f>
        <v>147620</v>
      </c>
      <c r="N22" s="101"/>
      <c r="O22" s="101"/>
      <c r="P22" s="101"/>
      <c r="Q22" s="101"/>
      <c r="R22" s="101"/>
      <c r="S22" s="101"/>
      <c r="T22" s="101">
        <f>'[23]MAINTENANCE-2'!X27</f>
        <v>67500</v>
      </c>
      <c r="U22" s="101"/>
      <c r="V22" s="101">
        <f>'[23]MAINTENANCE-2'!AH27</f>
        <v>0</v>
      </c>
      <c r="W22" s="101"/>
      <c r="X22" s="101">
        <f>'[23]MAINTENANCE-2'!AC27</f>
        <v>50500</v>
      </c>
      <c r="Y22" s="101"/>
      <c r="Z22" s="101"/>
      <c r="AA22" s="101"/>
      <c r="AB22" s="101"/>
      <c r="AC22" s="231">
        <v>-121333.33</v>
      </c>
      <c r="AD22" s="101"/>
      <c r="AE22" s="101"/>
      <c r="AF22" s="62">
        <f t="shared" si="2"/>
        <v>3936195</v>
      </c>
      <c r="AG22" s="63">
        <f t="shared" si="0"/>
        <v>0</v>
      </c>
      <c r="AH22" s="106">
        <f t="shared" si="9"/>
        <v>0</v>
      </c>
      <c r="AJ22" s="93">
        <f t="shared" si="3"/>
        <v>0</v>
      </c>
      <c r="AL22" s="206">
        <f>'[23]MAINTENANCE-2'!AK27</f>
        <v>3757999.9000000004</v>
      </c>
      <c r="AM22" s="207">
        <f t="shared" si="4"/>
        <v>3936195.9000000004</v>
      </c>
      <c r="AN22" s="151">
        <f t="shared" si="5"/>
        <v>0.90000000037252903</v>
      </c>
      <c r="AO22" s="93">
        <f t="shared" si="6"/>
        <v>-3333.3300000000017</v>
      </c>
      <c r="AP22" s="93">
        <f t="shared" si="7"/>
        <v>-3334.2299999999814</v>
      </c>
    </row>
    <row r="23" spans="2:42" s="27" customFormat="1">
      <c r="B23" s="97">
        <v>18</v>
      </c>
      <c r="C23" s="98" t="s">
        <v>272</v>
      </c>
      <c r="D23" s="42" t="s">
        <v>273</v>
      </c>
      <c r="E23" s="43" t="s">
        <v>353</v>
      </c>
      <c r="F23" s="41" t="s">
        <v>274</v>
      </c>
      <c r="G23" s="107" t="s">
        <v>88</v>
      </c>
      <c r="H23" s="44" t="s">
        <v>38</v>
      </c>
      <c r="I23" s="45" t="s">
        <v>7</v>
      </c>
      <c r="J23" s="58" t="str">
        <f t="shared" si="1"/>
        <v>TER A</v>
      </c>
      <c r="K23" s="210">
        <v>3761333.23</v>
      </c>
      <c r="L23" s="101">
        <f t="shared" si="8"/>
        <v>30575.999999999996</v>
      </c>
      <c r="M23" s="101">
        <f>'[23]MAINTENANCE-2'!AP28</f>
        <v>146680</v>
      </c>
      <c r="N23" s="101"/>
      <c r="O23" s="101"/>
      <c r="P23" s="101"/>
      <c r="Q23" s="46"/>
      <c r="R23" s="46"/>
      <c r="S23" s="46"/>
      <c r="T23" s="101">
        <f>'[23]MAINTENANCE-2'!X28</f>
        <v>67500</v>
      </c>
      <c r="U23" s="101"/>
      <c r="V23" s="101">
        <f>'[23]MAINTENANCE-2'!AH28</f>
        <v>0</v>
      </c>
      <c r="W23" s="46"/>
      <c r="X23" s="101">
        <f>'[23]MAINTENANCE-2'!AC28</f>
        <v>27000</v>
      </c>
      <c r="Y23" s="46"/>
      <c r="Z23" s="46"/>
      <c r="AA23" s="46"/>
      <c r="AB23" s="46"/>
      <c r="AC23" s="231">
        <v>-121333.33</v>
      </c>
      <c r="AD23" s="46"/>
      <c r="AE23" s="46"/>
      <c r="AF23" s="62">
        <f t="shared" si="2"/>
        <v>3911755</v>
      </c>
      <c r="AG23" s="63">
        <f t="shared" si="0"/>
        <v>0</v>
      </c>
      <c r="AH23" s="106">
        <f t="shared" si="9"/>
        <v>0</v>
      </c>
      <c r="AJ23" s="93">
        <f t="shared" si="3"/>
        <v>0</v>
      </c>
      <c r="AL23" s="206">
        <f>'[23]MAINTENANCE-2'!AK28</f>
        <v>3734499.9</v>
      </c>
      <c r="AM23" s="207">
        <f t="shared" si="4"/>
        <v>3911755.9</v>
      </c>
      <c r="AN23" s="151">
        <f t="shared" si="5"/>
        <v>0.89999999990686774</v>
      </c>
      <c r="AO23" s="93">
        <f t="shared" si="6"/>
        <v>-26833.33</v>
      </c>
      <c r="AP23" s="93">
        <f t="shared" si="7"/>
        <v>-26834.229999999981</v>
      </c>
    </row>
    <row r="24" spans="2:42" s="27" customFormat="1">
      <c r="B24" s="97">
        <v>19</v>
      </c>
      <c r="C24" s="98" t="s">
        <v>275</v>
      </c>
      <c r="D24" s="42" t="s">
        <v>276</v>
      </c>
      <c r="E24" s="43" t="s">
        <v>354</v>
      </c>
      <c r="F24" s="41" t="s">
        <v>247</v>
      </c>
      <c r="G24" s="107" t="s">
        <v>88</v>
      </c>
      <c r="H24" s="44" t="s">
        <v>39</v>
      </c>
      <c r="I24" s="45" t="s">
        <v>11</v>
      </c>
      <c r="J24" s="58" t="str">
        <f t="shared" si="1"/>
        <v>TER B</v>
      </c>
      <c r="K24" s="210">
        <v>3761333.23</v>
      </c>
      <c r="L24" s="101">
        <f t="shared" si="8"/>
        <v>30575.999999999996</v>
      </c>
      <c r="M24" s="101">
        <f>'[23]MAINTENANCE-2'!AP29</f>
        <v>148040</v>
      </c>
      <c r="N24" s="101"/>
      <c r="O24" s="101"/>
      <c r="P24" s="101"/>
      <c r="Q24" s="46"/>
      <c r="R24" s="46"/>
      <c r="S24" s="46"/>
      <c r="T24" s="101">
        <f>'[23]MAINTENANCE-2'!X29</f>
        <v>167400</v>
      </c>
      <c r="U24" s="101"/>
      <c r="V24" s="101">
        <f>'[23]MAINTENANCE-2'!AH29</f>
        <v>967861.16</v>
      </c>
      <c r="W24" s="46"/>
      <c r="X24" s="101">
        <f>'[23]MAINTENANCE-2'!AC29</f>
        <v>61000</v>
      </c>
      <c r="Y24" s="46"/>
      <c r="Z24" s="46"/>
      <c r="AA24" s="46"/>
      <c r="AB24" s="46"/>
      <c r="AC24" s="231">
        <v>0</v>
      </c>
      <c r="AD24" s="46"/>
      <c r="AE24" s="46"/>
      <c r="AF24" s="62">
        <f t="shared" si="2"/>
        <v>5136210</v>
      </c>
      <c r="AG24" s="63">
        <f t="shared" si="0"/>
        <v>0</v>
      </c>
      <c r="AH24" s="106">
        <f t="shared" si="9"/>
        <v>0</v>
      </c>
      <c r="AJ24" s="93">
        <f t="shared" si="3"/>
        <v>0</v>
      </c>
      <c r="AL24" s="206">
        <f>'[23]MAINTENANCE-2'!AK29</f>
        <v>4957594.3899999997</v>
      </c>
      <c r="AM24" s="207">
        <f t="shared" si="4"/>
        <v>5136210.3899999997</v>
      </c>
      <c r="AN24" s="151">
        <f t="shared" si="5"/>
        <v>0.38999999966472387</v>
      </c>
      <c r="AO24" s="93">
        <f t="shared" si="6"/>
        <v>1196261.1600000001</v>
      </c>
      <c r="AP24" s="93">
        <f t="shared" si="7"/>
        <v>1196260.77</v>
      </c>
    </row>
    <row r="25" spans="2:42" s="27" customFormat="1">
      <c r="B25" s="97">
        <v>20</v>
      </c>
      <c r="C25" s="98" t="s">
        <v>277</v>
      </c>
      <c r="D25" s="42" t="s">
        <v>278</v>
      </c>
      <c r="E25" s="43" t="s">
        <v>355</v>
      </c>
      <c r="F25" s="41" t="s">
        <v>279</v>
      </c>
      <c r="G25" s="107" t="s">
        <v>88</v>
      </c>
      <c r="H25" s="44" t="s">
        <v>38</v>
      </c>
      <c r="I25" s="45" t="s">
        <v>7</v>
      </c>
      <c r="J25" s="58" t="str">
        <f t="shared" si="1"/>
        <v>TER A</v>
      </c>
      <c r="K25" s="210">
        <v>3761333.23</v>
      </c>
      <c r="L25" s="101">
        <f t="shared" si="8"/>
        <v>30575.999999999996</v>
      </c>
      <c r="M25" s="101">
        <f>'[23]MAINTENANCE-2'!AP30</f>
        <v>147620</v>
      </c>
      <c r="N25" s="101"/>
      <c r="O25" s="101"/>
      <c r="P25" s="101"/>
      <c r="Q25" s="46"/>
      <c r="R25" s="46"/>
      <c r="S25" s="46"/>
      <c r="T25" s="101">
        <f>'[23]MAINTENANCE-2'!X30</f>
        <v>69750</v>
      </c>
      <c r="U25" s="101"/>
      <c r="V25" s="101">
        <f>'[23]MAINTENANCE-2'!AH30</f>
        <v>0</v>
      </c>
      <c r="W25" s="46"/>
      <c r="X25" s="101">
        <f>'[23]MAINTENANCE-2'!AC30</f>
        <v>50500</v>
      </c>
      <c r="Y25" s="46"/>
      <c r="Z25" s="46"/>
      <c r="AA25" s="46"/>
      <c r="AB25" s="46"/>
      <c r="AC25" s="231">
        <v>0</v>
      </c>
      <c r="AD25" s="46"/>
      <c r="AE25" s="46"/>
      <c r="AF25" s="62">
        <f t="shared" si="2"/>
        <v>4059779</v>
      </c>
      <c r="AG25" s="63">
        <f t="shared" si="0"/>
        <v>0</v>
      </c>
      <c r="AH25" s="106">
        <f t="shared" si="9"/>
        <v>0</v>
      </c>
      <c r="AJ25" s="93">
        <f t="shared" si="3"/>
        <v>0</v>
      </c>
      <c r="AL25" s="206">
        <f>'[23]MAINTENANCE-2'!AK30</f>
        <v>3881583.23</v>
      </c>
      <c r="AM25" s="207">
        <f t="shared" si="4"/>
        <v>4059779.23</v>
      </c>
      <c r="AN25" s="151">
        <f t="shared" si="5"/>
        <v>0.22999999998137355</v>
      </c>
      <c r="AO25" s="93">
        <f t="shared" si="6"/>
        <v>120250</v>
      </c>
      <c r="AP25" s="93">
        <f t="shared" si="7"/>
        <v>120249.77000000002</v>
      </c>
    </row>
    <row r="26" spans="2:42" s="27" customFormat="1">
      <c r="B26" s="97">
        <v>21</v>
      </c>
      <c r="C26" s="98" t="s">
        <v>280</v>
      </c>
      <c r="D26" s="235" t="s">
        <v>421</v>
      </c>
      <c r="E26" s="43" t="s">
        <v>356</v>
      </c>
      <c r="F26" s="41" t="s">
        <v>439</v>
      </c>
      <c r="G26" s="107" t="s">
        <v>88</v>
      </c>
      <c r="H26" s="44" t="s">
        <v>38</v>
      </c>
      <c r="I26" s="45" t="s">
        <v>7</v>
      </c>
      <c r="J26" s="58" t="str">
        <f t="shared" si="1"/>
        <v>TER A</v>
      </c>
      <c r="K26" s="210">
        <v>3761333.23</v>
      </c>
      <c r="L26" s="101">
        <f t="shared" si="8"/>
        <v>30575.999999999996</v>
      </c>
      <c r="M26" s="101">
        <f>'[23]MAINTENANCE-2'!AP31</f>
        <v>147480</v>
      </c>
      <c r="N26" s="101"/>
      <c r="O26" s="101"/>
      <c r="P26" s="101"/>
      <c r="Q26" s="46"/>
      <c r="R26" s="46"/>
      <c r="S26" s="46"/>
      <c r="T26" s="101">
        <f>'[23]MAINTENANCE-2'!X31</f>
        <v>67500</v>
      </c>
      <c r="U26" s="101"/>
      <c r="V26" s="101">
        <f>'[23]MAINTENANCE-2'!AH31</f>
        <v>0</v>
      </c>
      <c r="W26" s="46"/>
      <c r="X26" s="101">
        <f>'[23]MAINTENANCE-2'!AC31</f>
        <v>47000</v>
      </c>
      <c r="Y26" s="46"/>
      <c r="Z26" s="46"/>
      <c r="AA26" s="46"/>
      <c r="AB26" s="46"/>
      <c r="AC26" s="231">
        <v>-121333.33</v>
      </c>
      <c r="AD26" s="46"/>
      <c r="AE26" s="46"/>
      <c r="AF26" s="62">
        <f t="shared" si="2"/>
        <v>3932555</v>
      </c>
      <c r="AG26" s="63">
        <f t="shared" si="0"/>
        <v>0</v>
      </c>
      <c r="AH26" s="106">
        <f t="shared" si="9"/>
        <v>0</v>
      </c>
      <c r="AJ26" s="93">
        <f t="shared" si="3"/>
        <v>0</v>
      </c>
      <c r="AL26" s="206">
        <f>'[23]MAINTENANCE-2'!AK31</f>
        <v>3754499.9</v>
      </c>
      <c r="AM26" s="207">
        <f t="shared" si="4"/>
        <v>3932555.9</v>
      </c>
      <c r="AN26" s="151">
        <f t="shared" si="5"/>
        <v>0.89999999990686774</v>
      </c>
      <c r="AO26" s="93">
        <f t="shared" si="6"/>
        <v>-6833.3300000000017</v>
      </c>
      <c r="AP26" s="93">
        <f t="shared" si="7"/>
        <v>-6834.2299999999814</v>
      </c>
    </row>
    <row r="27" spans="2:42" s="27" customFormat="1">
      <c r="B27" s="97">
        <v>22</v>
      </c>
      <c r="C27" s="98" t="s">
        <v>357</v>
      </c>
      <c r="D27" s="42" t="s">
        <v>284</v>
      </c>
      <c r="E27" s="43" t="s">
        <v>358</v>
      </c>
      <c r="F27" s="41" t="s">
        <v>285</v>
      </c>
      <c r="G27" s="107" t="s">
        <v>88</v>
      </c>
      <c r="H27" s="44" t="s">
        <v>38</v>
      </c>
      <c r="I27" s="45" t="s">
        <v>7</v>
      </c>
      <c r="J27" s="58" t="str">
        <f t="shared" si="1"/>
        <v>TER A</v>
      </c>
      <c r="K27" s="210">
        <v>3761333.23</v>
      </c>
      <c r="L27" s="101">
        <f t="shared" si="8"/>
        <v>30575.999999999996</v>
      </c>
      <c r="M27" s="101">
        <f>'[23]MAINTENANCE-2'!AP32</f>
        <v>146200</v>
      </c>
      <c r="N27" s="101"/>
      <c r="O27" s="101"/>
      <c r="P27" s="101"/>
      <c r="Q27" s="46"/>
      <c r="R27" s="46"/>
      <c r="S27" s="46"/>
      <c r="T27" s="101">
        <f>'[23]MAINTENANCE-2'!X32</f>
        <v>69750</v>
      </c>
      <c r="U27" s="101"/>
      <c r="V27" s="101">
        <f>'[23]MAINTENANCE-2'!AH32</f>
        <v>0</v>
      </c>
      <c r="W27" s="46"/>
      <c r="X27" s="101">
        <f>'[23]MAINTENANCE-2'!AC32</f>
        <v>15000</v>
      </c>
      <c r="Y27" s="46"/>
      <c r="Z27" s="46"/>
      <c r="AA27" s="46"/>
      <c r="AB27" s="46"/>
      <c r="AC27" s="231">
        <v>0</v>
      </c>
      <c r="AD27" s="46"/>
      <c r="AE27" s="46"/>
      <c r="AF27" s="62">
        <f t="shared" si="2"/>
        <v>4022859</v>
      </c>
      <c r="AG27" s="63">
        <f t="shared" si="0"/>
        <v>0</v>
      </c>
      <c r="AH27" s="106">
        <f t="shared" si="9"/>
        <v>0</v>
      </c>
      <c r="AJ27" s="93">
        <f t="shared" si="3"/>
        <v>0</v>
      </c>
      <c r="AL27" s="206">
        <f>'[23]MAINTENANCE-2'!AK32</f>
        <v>3846083.2300000004</v>
      </c>
      <c r="AM27" s="207">
        <f t="shared" si="4"/>
        <v>4022859.2300000004</v>
      </c>
      <c r="AN27" s="151">
        <f t="shared" si="5"/>
        <v>0.23000000044703484</v>
      </c>
      <c r="AO27" s="93">
        <f t="shared" si="6"/>
        <v>84750</v>
      </c>
      <c r="AP27" s="93">
        <f t="shared" si="7"/>
        <v>84749.770000000019</v>
      </c>
    </row>
    <row r="28" spans="2:42" s="27" customFormat="1">
      <c r="B28" s="97">
        <v>23</v>
      </c>
      <c r="C28" s="98" t="s">
        <v>286</v>
      </c>
      <c r="D28" s="42" t="s">
        <v>287</v>
      </c>
      <c r="E28" s="209" t="s">
        <v>73</v>
      </c>
      <c r="F28" s="41" t="s">
        <v>288</v>
      </c>
      <c r="G28" s="107" t="s">
        <v>88</v>
      </c>
      <c r="H28" s="44" t="s">
        <v>38</v>
      </c>
      <c r="I28" s="45" t="s">
        <v>7</v>
      </c>
      <c r="J28" s="58" t="str">
        <f t="shared" si="1"/>
        <v>TER A</v>
      </c>
      <c r="K28" s="210">
        <v>3761333.23</v>
      </c>
      <c r="L28" s="101">
        <f t="shared" si="8"/>
        <v>30575.999999999996</v>
      </c>
      <c r="M28" s="101">
        <f>'[23]MAINTENANCE-2'!AP33</f>
        <v>146200</v>
      </c>
      <c r="N28" s="101"/>
      <c r="O28" s="101"/>
      <c r="P28" s="101"/>
      <c r="Q28" s="46"/>
      <c r="R28" s="46"/>
      <c r="S28" s="46"/>
      <c r="T28" s="101">
        <f>'[23]MAINTENANCE-2'!X33</f>
        <v>67500</v>
      </c>
      <c r="U28" s="101"/>
      <c r="V28" s="101">
        <f>'[23]MAINTENANCE-2'!AH33</f>
        <v>0</v>
      </c>
      <c r="W28" s="46"/>
      <c r="X28" s="101">
        <f>'[23]MAINTENANCE-2'!AC33</f>
        <v>15000</v>
      </c>
      <c r="Y28" s="46"/>
      <c r="Z28" s="46"/>
      <c r="AA28" s="46"/>
      <c r="AB28" s="46"/>
      <c r="AC28" s="231">
        <v>-121333.33</v>
      </c>
      <c r="AD28" s="46"/>
      <c r="AE28" s="46"/>
      <c r="AF28" s="62">
        <f t="shared" si="2"/>
        <v>3899275</v>
      </c>
      <c r="AG28" s="63">
        <f t="shared" si="0"/>
        <v>0</v>
      </c>
      <c r="AH28" s="106">
        <f t="shared" si="9"/>
        <v>0</v>
      </c>
      <c r="AJ28" s="93">
        <f t="shared" si="3"/>
        <v>0</v>
      </c>
      <c r="AL28" s="206">
        <f>'[23]MAINTENANCE-2'!AK33</f>
        <v>3722499.9000000004</v>
      </c>
      <c r="AM28" s="207">
        <f t="shared" si="4"/>
        <v>3899275.9000000004</v>
      </c>
      <c r="AN28" s="151">
        <f t="shared" si="5"/>
        <v>0.90000000037252903</v>
      </c>
      <c r="AO28" s="93">
        <f t="shared" si="6"/>
        <v>-38833.33</v>
      </c>
      <c r="AP28" s="93">
        <f t="shared" si="7"/>
        <v>-38834.229999999981</v>
      </c>
    </row>
    <row r="29" spans="2:42" s="27" customFormat="1">
      <c r="B29" s="97">
        <v>24</v>
      </c>
      <c r="C29" s="98" t="s">
        <v>289</v>
      </c>
      <c r="D29" s="42" t="s">
        <v>290</v>
      </c>
      <c r="E29" s="209" t="s">
        <v>73</v>
      </c>
      <c r="F29" s="41" t="s">
        <v>291</v>
      </c>
      <c r="G29" s="107" t="s">
        <v>88</v>
      </c>
      <c r="H29" s="44" t="s">
        <v>38</v>
      </c>
      <c r="I29" s="45" t="s">
        <v>7</v>
      </c>
      <c r="J29" s="58" t="str">
        <f t="shared" si="1"/>
        <v>TER A</v>
      </c>
      <c r="K29" s="210">
        <v>3761333.23</v>
      </c>
      <c r="L29" s="101">
        <f t="shared" si="8"/>
        <v>30575.999999999996</v>
      </c>
      <c r="M29" s="101">
        <f>'[23]MAINTENANCE-2'!AP34</f>
        <v>146200</v>
      </c>
      <c r="N29" s="101"/>
      <c r="O29" s="101"/>
      <c r="P29" s="101"/>
      <c r="Q29" s="46"/>
      <c r="R29" s="46"/>
      <c r="S29" s="46"/>
      <c r="T29" s="101">
        <f>'[23]MAINTENANCE-2'!X34</f>
        <v>69750</v>
      </c>
      <c r="U29" s="101"/>
      <c r="V29" s="101">
        <f>'[23]MAINTENANCE-2'!AH34</f>
        <v>0</v>
      </c>
      <c r="W29" s="46"/>
      <c r="X29" s="101">
        <f>'[23]MAINTENANCE-2'!AC34</f>
        <v>15000</v>
      </c>
      <c r="Y29" s="46"/>
      <c r="Z29" s="46"/>
      <c r="AA29" s="46"/>
      <c r="AB29" s="46"/>
      <c r="AC29" s="231">
        <v>0</v>
      </c>
      <c r="AD29" s="46"/>
      <c r="AE29" s="46"/>
      <c r="AF29" s="62">
        <f t="shared" si="2"/>
        <v>4022859</v>
      </c>
      <c r="AG29" s="63">
        <f t="shared" si="0"/>
        <v>0</v>
      </c>
      <c r="AH29" s="106">
        <f t="shared" si="9"/>
        <v>0</v>
      </c>
      <c r="AJ29" s="93">
        <f t="shared" si="3"/>
        <v>0</v>
      </c>
      <c r="AL29" s="206">
        <f>'[23]MAINTENANCE-2'!AK34</f>
        <v>3846083.23</v>
      </c>
      <c r="AM29" s="207">
        <f t="shared" si="4"/>
        <v>4022859.23</v>
      </c>
      <c r="AN29" s="151">
        <f t="shared" si="5"/>
        <v>0.22999999998137355</v>
      </c>
      <c r="AO29" s="93">
        <f t="shared" si="6"/>
        <v>84750</v>
      </c>
      <c r="AP29" s="93">
        <f t="shared" si="7"/>
        <v>84749.770000000019</v>
      </c>
    </row>
    <row r="30" spans="2:42" s="27" customFormat="1">
      <c r="B30" s="97">
        <v>25</v>
      </c>
      <c r="C30" s="98" t="s">
        <v>292</v>
      </c>
      <c r="D30" s="42" t="s">
        <v>293</v>
      </c>
      <c r="E30" s="43" t="s">
        <v>359</v>
      </c>
      <c r="F30" s="41" t="s">
        <v>294</v>
      </c>
      <c r="G30" s="107" t="s">
        <v>88</v>
      </c>
      <c r="H30" s="44" t="s">
        <v>38</v>
      </c>
      <c r="I30" s="45" t="s">
        <v>7</v>
      </c>
      <c r="J30" s="58" t="str">
        <f t="shared" si="1"/>
        <v>TER A</v>
      </c>
      <c r="K30" s="210">
        <v>3761333.23</v>
      </c>
      <c r="L30" s="101">
        <f t="shared" si="8"/>
        <v>30575.999999999996</v>
      </c>
      <c r="M30" s="101">
        <f>'[23]MAINTENANCE-2'!AP35</f>
        <v>146200</v>
      </c>
      <c r="N30" s="101"/>
      <c r="O30" s="101"/>
      <c r="P30" s="101"/>
      <c r="Q30" s="46"/>
      <c r="R30" s="46"/>
      <c r="S30" s="46"/>
      <c r="T30" s="101">
        <f>'[23]MAINTENANCE-2'!X35</f>
        <v>69750</v>
      </c>
      <c r="U30" s="101"/>
      <c r="V30" s="101">
        <f>'[23]MAINTENANCE-2'!AH35</f>
        <v>0</v>
      </c>
      <c r="W30" s="46"/>
      <c r="X30" s="101">
        <f>'[23]MAINTENANCE-2'!AC35</f>
        <v>15000</v>
      </c>
      <c r="Y30" s="46"/>
      <c r="Z30" s="46"/>
      <c r="AA30" s="46"/>
      <c r="AB30" s="46"/>
      <c r="AC30" s="231">
        <v>0</v>
      </c>
      <c r="AD30" s="46"/>
      <c r="AE30" s="46"/>
      <c r="AF30" s="62">
        <f t="shared" si="2"/>
        <v>4022859</v>
      </c>
      <c r="AG30" s="63">
        <f t="shared" si="0"/>
        <v>0</v>
      </c>
      <c r="AH30" s="106">
        <f t="shared" si="9"/>
        <v>0</v>
      </c>
      <c r="AJ30" s="93">
        <f t="shared" si="3"/>
        <v>0</v>
      </c>
      <c r="AL30" s="206">
        <f>'[23]MAINTENANCE-2'!AK35</f>
        <v>3846083.23</v>
      </c>
      <c r="AM30" s="207">
        <f t="shared" si="4"/>
        <v>4022859.23</v>
      </c>
      <c r="AN30" s="151">
        <f t="shared" si="5"/>
        <v>0.22999999998137355</v>
      </c>
      <c r="AO30" s="93">
        <f t="shared" si="6"/>
        <v>84750</v>
      </c>
      <c r="AP30" s="93">
        <f t="shared" si="7"/>
        <v>84749.770000000019</v>
      </c>
    </row>
    <row r="31" spans="2:42" s="27" customFormat="1">
      <c r="B31" s="97">
        <v>26</v>
      </c>
      <c r="C31" s="98" t="s">
        <v>295</v>
      </c>
      <c r="D31" s="42" t="s">
        <v>296</v>
      </c>
      <c r="E31" s="43" t="s">
        <v>360</v>
      </c>
      <c r="F31" s="41" t="s">
        <v>297</v>
      </c>
      <c r="G31" s="107" t="s">
        <v>88</v>
      </c>
      <c r="H31" s="44" t="s">
        <v>39</v>
      </c>
      <c r="I31" s="45" t="s">
        <v>17</v>
      </c>
      <c r="J31" s="58" t="str">
        <f t="shared" si="1"/>
        <v>TER A</v>
      </c>
      <c r="K31" s="210">
        <v>3761333.23</v>
      </c>
      <c r="L31" s="101">
        <f t="shared" si="8"/>
        <v>30575.999999999996</v>
      </c>
      <c r="M31" s="101">
        <f>'[23]MAINTENANCE-2'!AP36</f>
        <v>146920</v>
      </c>
      <c r="N31" s="101"/>
      <c r="O31" s="101"/>
      <c r="P31" s="101"/>
      <c r="Q31" s="46"/>
      <c r="R31" s="46"/>
      <c r="S31" s="46"/>
      <c r="T31" s="101">
        <f>'[23]MAINTENANCE-2'!X36</f>
        <v>104400</v>
      </c>
      <c r="U31" s="101"/>
      <c r="V31" s="101">
        <f>'[23]MAINTENANCE-2'!AH36</f>
        <v>73641.61</v>
      </c>
      <c r="W31" s="46"/>
      <c r="X31" s="101">
        <f>'[23]MAINTENANCE-2'!AC36</f>
        <v>33000</v>
      </c>
      <c r="Y31" s="46"/>
      <c r="Z31" s="46"/>
      <c r="AA31" s="46"/>
      <c r="AB31" s="46"/>
      <c r="AC31" s="231">
        <v>-242666.66</v>
      </c>
      <c r="AD31" s="46"/>
      <c r="AE31" s="46"/>
      <c r="AF31" s="62">
        <f t="shared" si="2"/>
        <v>3907204</v>
      </c>
      <c r="AG31" s="63">
        <f t="shared" si="0"/>
        <v>0</v>
      </c>
      <c r="AH31" s="106">
        <f t="shared" si="9"/>
        <v>0</v>
      </c>
      <c r="AJ31" s="93">
        <f t="shared" si="3"/>
        <v>0</v>
      </c>
      <c r="AL31" s="206">
        <f>'[23]MAINTENANCE-2'!AK36</f>
        <v>3729708.18</v>
      </c>
      <c r="AM31" s="207">
        <f t="shared" si="4"/>
        <v>3907204.18</v>
      </c>
      <c r="AN31" s="151">
        <f t="shared" si="5"/>
        <v>0.18000000016763806</v>
      </c>
      <c r="AO31" s="93">
        <f t="shared" si="6"/>
        <v>-31625.050000000017</v>
      </c>
      <c r="AP31" s="93">
        <f t="shared" si="7"/>
        <v>-31625.229999999981</v>
      </c>
    </row>
    <row r="32" spans="2:42" s="27" customFormat="1">
      <c r="B32" s="97">
        <v>27</v>
      </c>
      <c r="C32" s="98" t="s">
        <v>298</v>
      </c>
      <c r="D32" s="42" t="s">
        <v>299</v>
      </c>
      <c r="E32" s="43" t="s">
        <v>361</v>
      </c>
      <c r="F32" s="41" t="s">
        <v>300</v>
      </c>
      <c r="G32" s="107" t="s">
        <v>88</v>
      </c>
      <c r="H32" s="44" t="s">
        <v>38</v>
      </c>
      <c r="I32" s="45" t="s">
        <v>7</v>
      </c>
      <c r="J32" s="58" t="str">
        <f t="shared" si="1"/>
        <v>TER A</v>
      </c>
      <c r="K32" s="210">
        <v>3761333.23</v>
      </c>
      <c r="L32" s="101">
        <f t="shared" si="8"/>
        <v>30575.999999999996</v>
      </c>
      <c r="M32" s="101">
        <f>'[23]MAINTENANCE-2'!AP37</f>
        <v>147480</v>
      </c>
      <c r="N32" s="101"/>
      <c r="O32" s="101"/>
      <c r="P32" s="101"/>
      <c r="Q32" s="46"/>
      <c r="R32" s="46"/>
      <c r="S32" s="46"/>
      <c r="T32" s="101">
        <f>'[23]MAINTENANCE-2'!X37</f>
        <v>67500</v>
      </c>
      <c r="U32" s="101"/>
      <c r="V32" s="101">
        <f>'[23]MAINTENANCE-2'!AH37</f>
        <v>0</v>
      </c>
      <c r="W32" s="46"/>
      <c r="X32" s="101">
        <f>'[23]MAINTENANCE-2'!AC37</f>
        <v>47000</v>
      </c>
      <c r="Y32" s="46"/>
      <c r="Z32" s="46"/>
      <c r="AA32" s="46"/>
      <c r="AB32" s="46"/>
      <c r="AC32" s="231">
        <v>-121333.33</v>
      </c>
      <c r="AD32" s="46"/>
      <c r="AE32" s="46"/>
      <c r="AF32" s="62">
        <f t="shared" si="2"/>
        <v>3932555</v>
      </c>
      <c r="AG32" s="63">
        <f t="shared" si="0"/>
        <v>0</v>
      </c>
      <c r="AH32" s="106">
        <f t="shared" si="9"/>
        <v>0</v>
      </c>
      <c r="AJ32" s="93">
        <f t="shared" si="3"/>
        <v>0</v>
      </c>
      <c r="AL32" s="206">
        <f>'[23]MAINTENANCE-2'!AK37</f>
        <v>3754499.9000000004</v>
      </c>
      <c r="AM32" s="207">
        <f t="shared" si="4"/>
        <v>3932555.9000000004</v>
      </c>
      <c r="AN32" s="151">
        <f t="shared" si="5"/>
        <v>0.90000000037252903</v>
      </c>
      <c r="AO32" s="93">
        <f t="shared" si="6"/>
        <v>-6833.3300000000017</v>
      </c>
      <c r="AP32" s="93">
        <f t="shared" si="7"/>
        <v>-6834.2299999999814</v>
      </c>
    </row>
    <row r="33" spans="2:42" s="27" customFormat="1">
      <c r="B33" s="97">
        <v>28</v>
      </c>
      <c r="C33" s="98" t="s">
        <v>301</v>
      </c>
      <c r="D33" s="42" t="s">
        <v>302</v>
      </c>
      <c r="E33" s="43" t="s">
        <v>362</v>
      </c>
      <c r="F33" s="41" t="s">
        <v>303</v>
      </c>
      <c r="G33" s="107" t="s">
        <v>88</v>
      </c>
      <c r="H33" s="44" t="s">
        <v>39</v>
      </c>
      <c r="I33" s="45" t="s">
        <v>11</v>
      </c>
      <c r="J33" s="58" t="str">
        <f t="shared" si="1"/>
        <v>TER B</v>
      </c>
      <c r="K33" s="210">
        <v>3761333.23</v>
      </c>
      <c r="L33" s="101">
        <f t="shared" si="8"/>
        <v>30575.999999999996</v>
      </c>
      <c r="M33" s="101">
        <f>'[23]MAINTENANCE-2'!AP38</f>
        <v>147480</v>
      </c>
      <c r="N33" s="101"/>
      <c r="O33" s="101"/>
      <c r="P33" s="101"/>
      <c r="Q33" s="46"/>
      <c r="R33" s="46"/>
      <c r="S33" s="46"/>
      <c r="T33" s="101">
        <f>'[23]MAINTENANCE-2'!X38</f>
        <v>162000</v>
      </c>
      <c r="U33" s="101"/>
      <c r="V33" s="101">
        <f>'[23]MAINTENANCE-2'!AH38</f>
        <v>0</v>
      </c>
      <c r="W33" s="46"/>
      <c r="X33" s="101">
        <f>'[23]MAINTENANCE-2'!AC38</f>
        <v>47000</v>
      </c>
      <c r="Y33" s="46"/>
      <c r="Z33" s="46"/>
      <c r="AA33" s="46"/>
      <c r="AB33" s="46"/>
      <c r="AC33" s="231">
        <v>-121333.33</v>
      </c>
      <c r="AD33" s="46"/>
      <c r="AE33" s="46"/>
      <c r="AF33" s="62">
        <f t="shared" si="2"/>
        <v>4027055</v>
      </c>
      <c r="AG33" s="63">
        <f t="shared" si="0"/>
        <v>0</v>
      </c>
      <c r="AH33" s="106">
        <f t="shared" si="9"/>
        <v>0</v>
      </c>
      <c r="AJ33" s="93">
        <f t="shared" si="3"/>
        <v>0</v>
      </c>
      <c r="AL33" s="206">
        <f>'[23]MAINTENANCE-2'!AK38</f>
        <v>3848999.9</v>
      </c>
      <c r="AM33" s="207">
        <f t="shared" si="4"/>
        <v>4027055.9</v>
      </c>
      <c r="AN33" s="151">
        <f t="shared" si="5"/>
        <v>0.89999999990686774</v>
      </c>
      <c r="AO33" s="93">
        <f t="shared" si="6"/>
        <v>87666.67</v>
      </c>
      <c r="AP33" s="93">
        <f t="shared" si="7"/>
        <v>87665.770000000019</v>
      </c>
    </row>
    <row r="34" spans="2:42" s="27" customFormat="1">
      <c r="B34" s="97">
        <v>29</v>
      </c>
      <c r="C34" s="98" t="s">
        <v>304</v>
      </c>
      <c r="D34" s="42" t="s">
        <v>305</v>
      </c>
      <c r="E34" s="209" t="s">
        <v>73</v>
      </c>
      <c r="F34" s="41" t="s">
        <v>306</v>
      </c>
      <c r="G34" s="107" t="s">
        <v>88</v>
      </c>
      <c r="H34" s="44" t="s">
        <v>39</v>
      </c>
      <c r="I34" s="45" t="s">
        <v>11</v>
      </c>
      <c r="J34" s="58" t="str">
        <f t="shared" si="1"/>
        <v>TER B</v>
      </c>
      <c r="K34" s="210">
        <v>3761333.23</v>
      </c>
      <c r="L34" s="101">
        <f t="shared" si="8"/>
        <v>30575.999999999996</v>
      </c>
      <c r="M34" s="101">
        <f>'[23]MAINTENANCE-2'!AP39</f>
        <v>146560</v>
      </c>
      <c r="N34" s="101"/>
      <c r="O34" s="101"/>
      <c r="P34" s="101"/>
      <c r="Q34" s="46"/>
      <c r="R34" s="46"/>
      <c r="S34" s="46"/>
      <c r="T34" s="101">
        <f>'[23]MAINTENANCE-2'!X39</f>
        <v>162000</v>
      </c>
      <c r="U34" s="101"/>
      <c r="V34" s="101">
        <f>'[23]MAINTENANCE-2'!AH39</f>
        <v>0</v>
      </c>
      <c r="W34" s="46"/>
      <c r="X34" s="101">
        <f>'[23]MAINTENANCE-2'!AC39</f>
        <v>24000</v>
      </c>
      <c r="Y34" s="46"/>
      <c r="Z34" s="46"/>
      <c r="AA34" s="46"/>
      <c r="AB34" s="46"/>
      <c r="AC34" s="231">
        <v>-121333.33</v>
      </c>
      <c r="AD34" s="46"/>
      <c r="AE34" s="46"/>
      <c r="AF34" s="62">
        <f t="shared" si="2"/>
        <v>4003135</v>
      </c>
      <c r="AG34" s="63">
        <f t="shared" si="0"/>
        <v>0</v>
      </c>
      <c r="AH34" s="106">
        <f t="shared" si="9"/>
        <v>0</v>
      </c>
      <c r="AJ34" s="93">
        <f t="shared" si="3"/>
        <v>0</v>
      </c>
      <c r="AL34" s="206">
        <f>'[23]MAINTENANCE-2'!AK39</f>
        <v>3825999.9</v>
      </c>
      <c r="AM34" s="207">
        <f t="shared" si="4"/>
        <v>4003135.9</v>
      </c>
      <c r="AN34" s="151">
        <f t="shared" si="5"/>
        <v>0.89999999990686774</v>
      </c>
      <c r="AO34" s="93">
        <f t="shared" si="6"/>
        <v>64666.67</v>
      </c>
      <c r="AP34" s="93">
        <f t="shared" si="7"/>
        <v>64665.770000000019</v>
      </c>
    </row>
    <row r="35" spans="2:42" s="27" customFormat="1">
      <c r="B35" s="97">
        <v>30</v>
      </c>
      <c r="C35" s="98" t="s">
        <v>307</v>
      </c>
      <c r="D35" s="42" t="s">
        <v>308</v>
      </c>
      <c r="E35" s="43" t="s">
        <v>363</v>
      </c>
      <c r="F35" s="41" t="s">
        <v>309</v>
      </c>
      <c r="G35" s="107" t="s">
        <v>88</v>
      </c>
      <c r="H35" s="44" t="s">
        <v>38</v>
      </c>
      <c r="I35" s="45" t="s">
        <v>7</v>
      </c>
      <c r="J35" s="58" t="str">
        <f t="shared" si="1"/>
        <v>TER A</v>
      </c>
      <c r="K35" s="210">
        <v>3761333.23</v>
      </c>
      <c r="L35" s="101">
        <f t="shared" si="8"/>
        <v>30575.999999999996</v>
      </c>
      <c r="M35" s="101">
        <f>'[23]MAINTENANCE-2'!AP40</f>
        <v>146320</v>
      </c>
      <c r="N35" s="101"/>
      <c r="O35" s="101"/>
      <c r="P35" s="101"/>
      <c r="Q35" s="46"/>
      <c r="R35" s="46"/>
      <c r="S35" s="46"/>
      <c r="T35" s="101">
        <f>'[23]MAINTENANCE-2'!X40</f>
        <v>69750</v>
      </c>
      <c r="U35" s="101"/>
      <c r="V35" s="101">
        <f>'[23]MAINTENANCE-2'!AH40</f>
        <v>0</v>
      </c>
      <c r="W35" s="46"/>
      <c r="X35" s="101">
        <f>'[23]MAINTENANCE-2'!AC40</f>
        <v>18000</v>
      </c>
      <c r="Y35" s="46"/>
      <c r="Z35" s="46"/>
      <c r="AA35" s="46"/>
      <c r="AB35" s="46"/>
      <c r="AC35" s="231">
        <v>0</v>
      </c>
      <c r="AD35" s="46"/>
      <c r="AE35" s="46"/>
      <c r="AF35" s="62">
        <f t="shared" si="2"/>
        <v>4025979</v>
      </c>
      <c r="AG35" s="63">
        <f t="shared" si="0"/>
        <v>0</v>
      </c>
      <c r="AH35" s="106">
        <f t="shared" si="9"/>
        <v>0</v>
      </c>
      <c r="AJ35" s="93">
        <f t="shared" si="3"/>
        <v>0</v>
      </c>
      <c r="AL35" s="206">
        <f>'[23]MAINTENANCE-2'!AK40</f>
        <v>3849083.23</v>
      </c>
      <c r="AM35" s="207">
        <f t="shared" si="4"/>
        <v>4025979.23</v>
      </c>
      <c r="AN35" s="151">
        <f t="shared" si="5"/>
        <v>0.22999999998137355</v>
      </c>
      <c r="AO35" s="93">
        <f t="shared" si="6"/>
        <v>87750</v>
      </c>
      <c r="AP35" s="93">
        <f t="shared" si="7"/>
        <v>87749.770000000019</v>
      </c>
    </row>
    <row r="36" spans="2:42" s="27" customFormat="1">
      <c r="B36" s="97">
        <v>31</v>
      </c>
      <c r="C36" s="98" t="s">
        <v>313</v>
      </c>
      <c r="D36" s="42" t="s">
        <v>314</v>
      </c>
      <c r="E36" s="43" t="s">
        <v>364</v>
      </c>
      <c r="F36" s="41" t="s">
        <v>315</v>
      </c>
      <c r="G36" s="107" t="s">
        <v>88</v>
      </c>
      <c r="H36" s="44" t="s">
        <v>38</v>
      </c>
      <c r="I36" s="45" t="s">
        <v>7</v>
      </c>
      <c r="J36" s="58" t="str">
        <f t="shared" si="1"/>
        <v>TER A</v>
      </c>
      <c r="K36" s="210">
        <v>3761333.23</v>
      </c>
      <c r="L36" s="101">
        <f t="shared" si="8"/>
        <v>30575.999999999996</v>
      </c>
      <c r="M36" s="101">
        <f>'[23]MAINTENANCE-2'!AP41</f>
        <v>147620</v>
      </c>
      <c r="N36" s="101"/>
      <c r="O36" s="101"/>
      <c r="P36" s="101"/>
      <c r="Q36" s="46"/>
      <c r="R36" s="46"/>
      <c r="S36" s="46"/>
      <c r="T36" s="101">
        <f>'[23]MAINTENANCE-2'!X41</f>
        <v>67500</v>
      </c>
      <c r="U36" s="101"/>
      <c r="V36" s="101">
        <f>'[23]MAINTENANCE-2'!AH41</f>
        <v>0</v>
      </c>
      <c r="W36" s="46"/>
      <c r="X36" s="101">
        <f>'[23]MAINTENANCE-2'!AC41</f>
        <v>50500</v>
      </c>
      <c r="Y36" s="46"/>
      <c r="Z36" s="46"/>
      <c r="AA36" s="46"/>
      <c r="AB36" s="46"/>
      <c r="AC36" s="231">
        <v>-121333.33</v>
      </c>
      <c r="AD36" s="46"/>
      <c r="AE36" s="46"/>
      <c r="AF36" s="62">
        <f t="shared" si="2"/>
        <v>3936195</v>
      </c>
      <c r="AG36" s="63">
        <f t="shared" si="0"/>
        <v>0</v>
      </c>
      <c r="AH36" s="106">
        <f t="shared" si="9"/>
        <v>0</v>
      </c>
      <c r="AJ36" s="93">
        <f t="shared" si="3"/>
        <v>0</v>
      </c>
      <c r="AL36" s="206">
        <f>'[23]MAINTENANCE-2'!AK41</f>
        <v>3757999.9000000004</v>
      </c>
      <c r="AM36" s="207">
        <f t="shared" si="4"/>
        <v>3936195.9000000004</v>
      </c>
      <c r="AN36" s="151">
        <f t="shared" si="5"/>
        <v>0.90000000037252903</v>
      </c>
      <c r="AO36" s="93">
        <f t="shared" si="6"/>
        <v>-3333.3300000000017</v>
      </c>
      <c r="AP36" s="93">
        <f t="shared" si="7"/>
        <v>-3334.2299999999814</v>
      </c>
    </row>
    <row r="37" spans="2:42" s="27" customFormat="1">
      <c r="B37" s="97">
        <v>32</v>
      </c>
      <c r="C37" s="98" t="s">
        <v>397</v>
      </c>
      <c r="D37" s="235" t="s">
        <v>398</v>
      </c>
      <c r="E37" s="209" t="s">
        <v>73</v>
      </c>
      <c r="F37" s="41" t="s">
        <v>399</v>
      </c>
      <c r="G37" s="107" t="s">
        <v>88</v>
      </c>
      <c r="H37" s="44" t="s">
        <v>39</v>
      </c>
      <c r="I37" s="45" t="s">
        <v>7</v>
      </c>
      <c r="J37" s="58" t="str">
        <f t="shared" si="1"/>
        <v>TER A</v>
      </c>
      <c r="K37" s="210">
        <v>3761333.23</v>
      </c>
      <c r="L37" s="101">
        <f t="shared" si="8"/>
        <v>30575.999999999996</v>
      </c>
      <c r="M37" s="101">
        <f>'[23]MAINTENANCE-2'!AP42</f>
        <v>145600</v>
      </c>
      <c r="N37" s="101"/>
      <c r="O37" s="101"/>
      <c r="P37" s="101"/>
      <c r="Q37" s="46"/>
      <c r="R37" s="101"/>
      <c r="S37" s="101"/>
      <c r="T37" s="101">
        <f>'[23]MAINTENANCE-2'!X42</f>
        <v>67500</v>
      </c>
      <c r="U37" s="101"/>
      <c r="V37" s="101">
        <f>'[23]MAINTENANCE-2'!AH42</f>
        <v>0</v>
      </c>
      <c r="W37" s="46"/>
      <c r="X37" s="101">
        <f>'[23]MAINTENANCE-2'!AC42</f>
        <v>0</v>
      </c>
      <c r="Y37" s="46"/>
      <c r="Z37" s="46"/>
      <c r="AA37" s="46"/>
      <c r="AB37" s="46"/>
      <c r="AC37" s="231">
        <v>-121333.33</v>
      </c>
      <c r="AD37" s="46"/>
      <c r="AE37" s="46"/>
      <c r="AF37" s="62">
        <f t="shared" si="2"/>
        <v>3883675</v>
      </c>
      <c r="AG37" s="63">
        <f t="shared" si="0"/>
        <v>0</v>
      </c>
      <c r="AH37" s="106">
        <f t="shared" si="9"/>
        <v>0</v>
      </c>
      <c r="AJ37" s="93"/>
      <c r="AL37" s="206">
        <f>'[23]MAINTENANCE-2'!AK42</f>
        <v>3707499.9</v>
      </c>
      <c r="AM37" s="207">
        <f t="shared" si="4"/>
        <v>3883675.9</v>
      </c>
      <c r="AN37" s="151">
        <f t="shared" si="5"/>
        <v>0.89999999990686774</v>
      </c>
      <c r="AO37" s="93">
        <f t="shared" si="6"/>
        <v>-53833.33</v>
      </c>
      <c r="AP37" s="93">
        <f t="shared" si="7"/>
        <v>-53834.229999999981</v>
      </c>
    </row>
    <row r="38" spans="2:42" s="27" customFormat="1">
      <c r="B38" s="97">
        <v>33</v>
      </c>
      <c r="C38" s="98" t="s">
        <v>400</v>
      </c>
      <c r="D38" s="235" t="s">
        <v>401</v>
      </c>
      <c r="E38" s="43" t="s">
        <v>402</v>
      </c>
      <c r="F38" s="41" t="s">
        <v>403</v>
      </c>
      <c r="G38" s="107" t="s">
        <v>88</v>
      </c>
      <c r="H38" s="44" t="s">
        <v>39</v>
      </c>
      <c r="I38" s="45" t="s">
        <v>9</v>
      </c>
      <c r="J38" s="58" t="str">
        <f t="shared" si="1"/>
        <v>TER B</v>
      </c>
      <c r="K38" s="210">
        <v>3761333.23</v>
      </c>
      <c r="L38" s="101">
        <f t="shared" si="8"/>
        <v>30575.999999999996</v>
      </c>
      <c r="M38" s="101">
        <f>'[23]MAINTENANCE-2'!AP43</f>
        <v>146560</v>
      </c>
      <c r="N38" s="101"/>
      <c r="O38" s="101"/>
      <c r="P38" s="101"/>
      <c r="Q38" s="46"/>
      <c r="R38" s="101"/>
      <c r="S38" s="101"/>
      <c r="T38" s="101">
        <f>'[23]MAINTENANCE-2'!X43</f>
        <v>135000</v>
      </c>
      <c r="U38" s="101"/>
      <c r="V38" s="101">
        <f>'[23]MAINTENANCE-2'!AH43</f>
        <v>0</v>
      </c>
      <c r="W38" s="46"/>
      <c r="X38" s="101">
        <f>'[23]MAINTENANCE-2'!AC43</f>
        <v>24000</v>
      </c>
      <c r="Y38" s="46"/>
      <c r="Z38" s="46"/>
      <c r="AA38" s="46"/>
      <c r="AB38" s="46"/>
      <c r="AC38" s="231">
        <v>-121333.33</v>
      </c>
      <c r="AD38" s="46"/>
      <c r="AE38" s="46"/>
      <c r="AF38" s="62">
        <f t="shared" si="2"/>
        <v>3976135</v>
      </c>
      <c r="AG38" s="63">
        <f t="shared" si="0"/>
        <v>0</v>
      </c>
      <c r="AH38" s="106">
        <f t="shared" si="9"/>
        <v>0</v>
      </c>
      <c r="AJ38" s="93"/>
      <c r="AL38" s="206">
        <f>'[23]MAINTENANCE-2'!AK43</f>
        <v>3798999.9000000004</v>
      </c>
      <c r="AM38" s="207">
        <f t="shared" si="4"/>
        <v>3976135.9000000004</v>
      </c>
      <c r="AN38" s="151">
        <f t="shared" si="5"/>
        <v>0.90000000037252903</v>
      </c>
      <c r="AO38" s="93">
        <f t="shared" si="6"/>
        <v>37666.67</v>
      </c>
      <c r="AP38" s="93">
        <f t="shared" si="7"/>
        <v>37665.770000000019</v>
      </c>
    </row>
    <row r="39" spans="2:42" s="27" customFormat="1">
      <c r="B39" s="97">
        <v>34</v>
      </c>
      <c r="C39" s="98" t="s">
        <v>404</v>
      </c>
      <c r="D39" s="235" t="s">
        <v>405</v>
      </c>
      <c r="E39" s="43" t="s">
        <v>406</v>
      </c>
      <c r="F39" s="41" t="s">
        <v>407</v>
      </c>
      <c r="G39" s="107" t="s">
        <v>88</v>
      </c>
      <c r="H39" s="44" t="s">
        <v>38</v>
      </c>
      <c r="I39" s="45" t="s">
        <v>7</v>
      </c>
      <c r="J39" s="58" t="str">
        <f t="shared" si="1"/>
        <v>TER A</v>
      </c>
      <c r="K39" s="210">
        <v>3761333.23</v>
      </c>
      <c r="L39" s="101">
        <f t="shared" si="8"/>
        <v>30575.999999999996</v>
      </c>
      <c r="M39" s="101">
        <f>'[23]MAINTENANCE-2'!AP44</f>
        <v>146800</v>
      </c>
      <c r="N39" s="101"/>
      <c r="O39" s="101"/>
      <c r="P39" s="101"/>
      <c r="Q39" s="46"/>
      <c r="R39" s="101"/>
      <c r="S39" s="101"/>
      <c r="T39" s="101">
        <f>'[23]MAINTENANCE-2'!X44</f>
        <v>65250</v>
      </c>
      <c r="U39" s="101"/>
      <c r="V39" s="101">
        <f>'[23]MAINTENANCE-2'!AH44</f>
        <v>0</v>
      </c>
      <c r="W39" s="46"/>
      <c r="X39" s="101">
        <f>'[23]MAINTENANCE-2'!AC44</f>
        <v>30000</v>
      </c>
      <c r="Y39" s="46"/>
      <c r="Z39" s="46"/>
      <c r="AA39" s="46"/>
      <c r="AB39" s="46"/>
      <c r="AC39" s="231">
        <v>-242666.66</v>
      </c>
      <c r="AD39" s="46"/>
      <c r="AE39" s="46"/>
      <c r="AF39" s="62">
        <f t="shared" si="2"/>
        <v>3791292</v>
      </c>
      <c r="AG39" s="63">
        <f t="shared" si="0"/>
        <v>0</v>
      </c>
      <c r="AH39" s="106">
        <f t="shared" si="9"/>
        <v>0</v>
      </c>
      <c r="AJ39" s="93"/>
      <c r="AL39" s="206">
        <f>'[23]MAINTENANCE-2'!AK44</f>
        <v>3613916.5700000003</v>
      </c>
      <c r="AM39" s="207">
        <f t="shared" si="4"/>
        <v>3791292.5700000003</v>
      </c>
      <c r="AN39" s="151">
        <f t="shared" si="5"/>
        <v>0.57000000029802322</v>
      </c>
      <c r="AO39" s="93">
        <f t="shared" si="6"/>
        <v>-147416.66</v>
      </c>
      <c r="AP39" s="93">
        <f t="shared" si="7"/>
        <v>-147417.22999999998</v>
      </c>
    </row>
    <row r="40" spans="2:42" s="27" customFormat="1">
      <c r="B40" s="97">
        <v>35</v>
      </c>
      <c r="C40" s="98" t="s">
        <v>408</v>
      </c>
      <c r="D40" s="42" t="s">
        <v>409</v>
      </c>
      <c r="E40" s="43" t="s">
        <v>410</v>
      </c>
      <c r="F40" s="41" t="s">
        <v>411</v>
      </c>
      <c r="G40" s="107" t="s">
        <v>88</v>
      </c>
      <c r="H40" s="44" t="s">
        <v>39</v>
      </c>
      <c r="I40" s="45" t="s">
        <v>11</v>
      </c>
      <c r="J40" s="58" t="str">
        <f t="shared" si="1"/>
        <v>TER B</v>
      </c>
      <c r="K40" s="210">
        <v>3761333.23</v>
      </c>
      <c r="L40" s="101">
        <f t="shared" si="8"/>
        <v>30575.999999999996</v>
      </c>
      <c r="M40" s="101">
        <f>'[23]MAINTENANCE-2'!AP45</f>
        <v>146920</v>
      </c>
      <c r="N40" s="101"/>
      <c r="O40" s="101"/>
      <c r="P40" s="101"/>
      <c r="Q40" s="46"/>
      <c r="R40" s="101"/>
      <c r="S40" s="101"/>
      <c r="T40" s="101">
        <f>'[23]MAINTENANCE-2'!X45</f>
        <v>156600</v>
      </c>
      <c r="U40" s="101"/>
      <c r="V40" s="101">
        <f>'[23]MAINTENANCE-2'!AH45</f>
        <v>73641.61</v>
      </c>
      <c r="W40" s="46"/>
      <c r="X40" s="101">
        <f>'[23]MAINTENANCE-2'!AC45</f>
        <v>33000</v>
      </c>
      <c r="Y40" s="46"/>
      <c r="Z40" s="46"/>
      <c r="AA40" s="46"/>
      <c r="AB40" s="46"/>
      <c r="AC40" s="231">
        <v>-242666.66</v>
      </c>
      <c r="AD40" s="46"/>
      <c r="AE40" s="46"/>
      <c r="AF40" s="62">
        <f t="shared" si="2"/>
        <v>3959404</v>
      </c>
      <c r="AG40" s="63">
        <f t="shared" si="0"/>
        <v>0</v>
      </c>
      <c r="AH40" s="106">
        <f t="shared" si="9"/>
        <v>0</v>
      </c>
      <c r="AJ40" s="93"/>
      <c r="AL40" s="206">
        <f>'[23]MAINTENANCE-2'!AK45</f>
        <v>3781908.1799999997</v>
      </c>
      <c r="AM40" s="207">
        <f t="shared" si="4"/>
        <v>3959404.1799999997</v>
      </c>
      <c r="AN40" s="151">
        <f t="shared" si="5"/>
        <v>0.17999999970197678</v>
      </c>
      <c r="AO40" s="93">
        <f t="shared" si="6"/>
        <v>20574.949999999983</v>
      </c>
      <c r="AP40" s="93">
        <f t="shared" si="7"/>
        <v>20574.770000000019</v>
      </c>
    </row>
    <row r="41" spans="2:42" s="27" customFormat="1">
      <c r="B41" s="97">
        <v>36</v>
      </c>
      <c r="C41" s="98" t="s">
        <v>412</v>
      </c>
      <c r="D41" s="42" t="s">
        <v>413</v>
      </c>
      <c r="E41" s="43" t="s">
        <v>414</v>
      </c>
      <c r="F41" s="41" t="s">
        <v>415</v>
      </c>
      <c r="G41" s="107" t="s">
        <v>88</v>
      </c>
      <c r="H41" s="44" t="s">
        <v>39</v>
      </c>
      <c r="I41" s="45" t="s">
        <v>9</v>
      </c>
      <c r="J41" s="58" t="str">
        <f t="shared" si="1"/>
        <v>TER B</v>
      </c>
      <c r="K41" s="210">
        <v>3761333.23</v>
      </c>
      <c r="L41" s="101">
        <f t="shared" si="8"/>
        <v>30575.999999999996</v>
      </c>
      <c r="M41" s="101">
        <f>'[23]MAINTENANCE-2'!AP46</f>
        <v>147480</v>
      </c>
      <c r="N41" s="101"/>
      <c r="O41" s="101"/>
      <c r="P41" s="101"/>
      <c r="Q41" s="46"/>
      <c r="R41" s="101"/>
      <c r="S41" s="101"/>
      <c r="T41" s="101">
        <f>'[23]MAINTENANCE-2'!X46</f>
        <v>156600</v>
      </c>
      <c r="U41" s="101"/>
      <c r="V41" s="101">
        <f>'[23]MAINTENANCE-2'!AH46</f>
        <v>0</v>
      </c>
      <c r="W41" s="46"/>
      <c r="X41" s="101">
        <f>'[23]MAINTENANCE-2'!AC46</f>
        <v>47000</v>
      </c>
      <c r="Y41" s="46"/>
      <c r="Z41" s="46"/>
      <c r="AA41" s="46"/>
      <c r="AB41" s="46"/>
      <c r="AC41" s="231">
        <v>-242666.66</v>
      </c>
      <c r="AD41" s="46"/>
      <c r="AE41" s="46"/>
      <c r="AF41" s="62">
        <f t="shared" si="2"/>
        <v>3900322</v>
      </c>
      <c r="AG41" s="63">
        <f t="shared" si="0"/>
        <v>0</v>
      </c>
      <c r="AH41" s="106">
        <f t="shared" si="9"/>
        <v>0</v>
      </c>
      <c r="AJ41" s="93"/>
      <c r="AL41" s="206">
        <f>'[23]MAINTENANCE-2'!AK46</f>
        <v>3722266.57</v>
      </c>
      <c r="AM41" s="207">
        <f t="shared" si="4"/>
        <v>3900322.57</v>
      </c>
      <c r="AN41" s="151">
        <f t="shared" si="5"/>
        <v>0.56999999983236194</v>
      </c>
      <c r="AO41" s="93">
        <f t="shared" si="6"/>
        <v>-39066.660000000003</v>
      </c>
      <c r="AP41" s="93">
        <f t="shared" si="7"/>
        <v>-39067.229999999981</v>
      </c>
    </row>
    <row r="42" spans="2:42" s="27" customFormat="1">
      <c r="B42" s="97">
        <v>37</v>
      </c>
      <c r="C42" s="98" t="s">
        <v>416</v>
      </c>
      <c r="D42" s="235" t="s">
        <v>417</v>
      </c>
      <c r="E42" s="43" t="s">
        <v>418</v>
      </c>
      <c r="F42" s="41" t="s">
        <v>419</v>
      </c>
      <c r="G42" s="107" t="s">
        <v>88</v>
      </c>
      <c r="H42" s="44" t="s">
        <v>39</v>
      </c>
      <c r="I42" s="45" t="s">
        <v>11</v>
      </c>
      <c r="J42" s="58" t="str">
        <f t="shared" si="1"/>
        <v>TER B</v>
      </c>
      <c r="K42" s="210">
        <v>3838833.23</v>
      </c>
      <c r="L42" s="101">
        <f>3715000*0.84%</f>
        <v>31205.999999999996</v>
      </c>
      <c r="M42" s="101">
        <f>'[23]MAINTENANCE-2'!AP47</f>
        <v>150480</v>
      </c>
      <c r="N42" s="101"/>
      <c r="O42" s="101"/>
      <c r="P42" s="101"/>
      <c r="Q42" s="46"/>
      <c r="R42" s="101"/>
      <c r="S42" s="101"/>
      <c r="T42" s="101">
        <f>'[23]MAINTENANCE-2'!X47</f>
        <v>156600</v>
      </c>
      <c r="U42" s="101"/>
      <c r="V42" s="101">
        <f>'[23]MAINTENANCE-2'!AH47</f>
        <v>0</v>
      </c>
      <c r="W42" s="46"/>
      <c r="X42" s="101">
        <f>'[23]MAINTENANCE-2'!AC47</f>
        <v>47000</v>
      </c>
      <c r="Y42" s="46"/>
      <c r="Z42" s="46"/>
      <c r="AA42" s="46"/>
      <c r="AB42" s="46"/>
      <c r="AC42" s="231">
        <v>-247666.66</v>
      </c>
      <c r="AD42" s="46"/>
      <c r="AE42" s="46"/>
      <c r="AF42" s="62">
        <f t="shared" si="2"/>
        <v>3976452</v>
      </c>
      <c r="AG42" s="63">
        <f t="shared" si="0"/>
        <v>0</v>
      </c>
      <c r="AH42" s="106">
        <f t="shared" si="9"/>
        <v>0</v>
      </c>
      <c r="AJ42" s="93"/>
      <c r="AL42" s="206">
        <f>'[23]MAINTENANCE-2'!AK47</f>
        <v>3794766.57</v>
      </c>
      <c r="AM42" s="207">
        <f t="shared" si="4"/>
        <v>3976452.57</v>
      </c>
      <c r="AN42" s="151">
        <f t="shared" si="5"/>
        <v>0.56999999983236194</v>
      </c>
      <c r="AO42" s="93">
        <f t="shared" si="6"/>
        <v>-44066.66</v>
      </c>
      <c r="AP42" s="93">
        <f t="shared" si="7"/>
        <v>-44067.229999999981</v>
      </c>
    </row>
    <row r="43" spans="2:42" s="27" customFormat="1">
      <c r="B43" s="97">
        <v>38</v>
      </c>
      <c r="C43" s="98" t="s">
        <v>316</v>
      </c>
      <c r="D43" s="42" t="s">
        <v>317</v>
      </c>
      <c r="E43" s="43" t="s">
        <v>370</v>
      </c>
      <c r="F43" s="41" t="s">
        <v>318</v>
      </c>
      <c r="G43" s="107" t="s">
        <v>87</v>
      </c>
      <c r="H43" s="44" t="s">
        <v>39</v>
      </c>
      <c r="I43" s="45" t="s">
        <v>9</v>
      </c>
      <c r="J43" s="58" t="str">
        <f t="shared" si="1"/>
        <v>TER B</v>
      </c>
      <c r="K43" s="210">
        <v>3761333.23</v>
      </c>
      <c r="L43" s="46">
        <f>3640000*0.84%</f>
        <v>30575.999999999996</v>
      </c>
      <c r="M43" s="101">
        <f>[25]TRANSPORT!AJ11</f>
        <v>147480</v>
      </c>
      <c r="N43" s="101">
        <v>776100</v>
      </c>
      <c r="O43" s="101">
        <v>330000</v>
      </c>
      <c r="P43" s="101"/>
      <c r="Q43" s="46">
        <v>229320</v>
      </c>
      <c r="R43" s="46"/>
      <c r="S43" s="46"/>
      <c r="T43" s="101">
        <f>[23]TRANSPORT!T11</f>
        <v>135000</v>
      </c>
      <c r="U43" s="101">
        <f>[23]TRANSPORT!W11</f>
        <v>75000</v>
      </c>
      <c r="V43" s="101">
        <f>[23]TRANSPORT!AA11</f>
        <v>1167745.53</v>
      </c>
      <c r="W43" s="46"/>
      <c r="X43" s="101">
        <f>[23]TRANSPORT!Y11</f>
        <v>47000</v>
      </c>
      <c r="Y43" s="46"/>
      <c r="Z43" s="46"/>
      <c r="AA43" s="46"/>
      <c r="AB43" s="46"/>
      <c r="AC43" s="231">
        <v>-121333.33</v>
      </c>
      <c r="AD43" s="46"/>
      <c r="AE43" s="46"/>
      <c r="AF43" s="62">
        <f t="shared" si="2"/>
        <v>6578221</v>
      </c>
      <c r="AG43" s="63">
        <f t="shared" ref="AG43:AG51" si="10">IF(J43="TER A",VLOOKUP(AF43,Ter_A,4,TRUE),IF(J43="TER B",VLOOKUP(AF43,Ter_B,4,TRUE),VLOOKUP(AF43,Ter_C,4,TRUE)))</f>
        <v>5.0000000000000001E-3</v>
      </c>
      <c r="AH43" s="106">
        <f t="shared" si="9"/>
        <v>32891</v>
      </c>
      <c r="AJ43" s="93">
        <f t="shared" si="3"/>
        <v>-32891</v>
      </c>
      <c r="AL43" s="92">
        <f>[23]TRANSPORT!AE11</f>
        <v>6400165.4300000006</v>
      </c>
      <c r="AM43" s="207">
        <f t="shared" si="4"/>
        <v>6578221.4300000006</v>
      </c>
      <c r="AN43" s="151">
        <f t="shared" si="5"/>
        <v>0.43000000063329935</v>
      </c>
      <c r="AO43" s="93">
        <f t="shared" si="6"/>
        <v>2638832.2000000002</v>
      </c>
      <c r="AP43" s="93">
        <f t="shared" si="7"/>
        <v>2638831.77</v>
      </c>
    </row>
    <row r="44" spans="2:42" s="27" customFormat="1">
      <c r="B44" s="97">
        <v>39</v>
      </c>
      <c r="C44" s="98" t="s">
        <v>393</v>
      </c>
      <c r="D44" s="42" t="s">
        <v>320</v>
      </c>
      <c r="E44" s="43" t="s">
        <v>371</v>
      </c>
      <c r="F44" s="41" t="s">
        <v>423</v>
      </c>
      <c r="G44" s="107" t="s">
        <v>372</v>
      </c>
      <c r="H44" s="44" t="s">
        <v>39</v>
      </c>
      <c r="I44" s="45" t="s">
        <v>9</v>
      </c>
      <c r="J44" s="58" t="str">
        <f t="shared" si="1"/>
        <v>TER B</v>
      </c>
      <c r="K44" s="210">
        <v>3761333.23</v>
      </c>
      <c r="L44" s="46">
        <f t="shared" ref="L44:L51" si="11">3640000*0.84%</f>
        <v>30575.999999999996</v>
      </c>
      <c r="M44" s="101">
        <f>[25]TRANSPORT!AJ12</f>
        <v>146800</v>
      </c>
      <c r="N44" s="101">
        <v>795000</v>
      </c>
      <c r="O44" s="101">
        <v>312000</v>
      </c>
      <c r="P44" s="101"/>
      <c r="Q44" s="46">
        <v>229320</v>
      </c>
      <c r="R44" s="46"/>
      <c r="S44" s="46"/>
      <c r="T44" s="101">
        <f>[23]TRANSPORT!T12</f>
        <v>135000</v>
      </c>
      <c r="U44" s="101">
        <f>[23]TRANSPORT!W12</f>
        <v>50000</v>
      </c>
      <c r="V44" s="101">
        <f>[23]TRANSPORT!AA12</f>
        <v>1125664.6100000001</v>
      </c>
      <c r="W44" s="46"/>
      <c r="X44" s="101">
        <f>[23]TRANSPORT!Y12</f>
        <v>30000</v>
      </c>
      <c r="Y44" s="46"/>
      <c r="Z44" s="46"/>
      <c r="AA44" s="46"/>
      <c r="AB44" s="46"/>
      <c r="AC44" s="231">
        <v>-121333.33</v>
      </c>
      <c r="AD44" s="46"/>
      <c r="AE44" s="46"/>
      <c r="AF44" s="62">
        <f t="shared" si="2"/>
        <v>6494360</v>
      </c>
      <c r="AG44" s="63">
        <f t="shared" si="10"/>
        <v>2.5000000000000001E-3</v>
      </c>
      <c r="AH44" s="106">
        <f t="shared" si="9"/>
        <v>16235</v>
      </c>
      <c r="AJ44" s="93">
        <f t="shared" si="3"/>
        <v>-16235</v>
      </c>
      <c r="AL44" s="92">
        <f>[23]TRANSPORT!AE12</f>
        <v>6316984.5100000007</v>
      </c>
      <c r="AM44" s="207">
        <f t="shared" si="4"/>
        <v>6494360.5100000007</v>
      </c>
      <c r="AN44" s="151">
        <f t="shared" si="5"/>
        <v>0.51000000070780516</v>
      </c>
      <c r="AO44" s="93">
        <f t="shared" si="6"/>
        <v>2555651.2800000003</v>
      </c>
      <c r="AP44" s="93">
        <f t="shared" si="7"/>
        <v>2555650.77</v>
      </c>
    </row>
    <row r="45" spans="2:42" s="27" customFormat="1">
      <c r="B45" s="97">
        <v>40</v>
      </c>
      <c r="C45" s="98" t="s">
        <v>322</v>
      </c>
      <c r="D45" s="42" t="s">
        <v>323</v>
      </c>
      <c r="E45" s="43" t="s">
        <v>373</v>
      </c>
      <c r="F45" s="41" t="s">
        <v>223</v>
      </c>
      <c r="G45" s="107" t="s">
        <v>87</v>
      </c>
      <c r="H45" s="44" t="s">
        <v>39</v>
      </c>
      <c r="I45" s="45" t="s">
        <v>11</v>
      </c>
      <c r="J45" s="58" t="str">
        <f t="shared" si="1"/>
        <v>TER B</v>
      </c>
      <c r="K45" s="210">
        <v>3761333.23</v>
      </c>
      <c r="L45" s="46">
        <f t="shared" si="11"/>
        <v>30575.999999999996</v>
      </c>
      <c r="M45" s="101">
        <f>[25]TRANSPORT!AJ13</f>
        <v>148040</v>
      </c>
      <c r="N45" s="101">
        <v>454030</v>
      </c>
      <c r="O45" s="101">
        <v>255000</v>
      </c>
      <c r="P45" s="101">
        <v>12500</v>
      </c>
      <c r="Q45" s="46">
        <v>365580</v>
      </c>
      <c r="R45" s="46"/>
      <c r="S45" s="46"/>
      <c r="T45" s="101">
        <f>[23]TRANSPORT!T13</f>
        <v>167400</v>
      </c>
      <c r="U45" s="101">
        <f>[23]TRANSPORT!W13</f>
        <v>75000</v>
      </c>
      <c r="V45" s="101">
        <f>[23]TRANSPORT!AA13</f>
        <v>1125664.6100000001</v>
      </c>
      <c r="W45" s="46"/>
      <c r="X45" s="101">
        <f>[23]TRANSPORT!Y13</f>
        <v>61000</v>
      </c>
      <c r="Y45" s="46"/>
      <c r="Z45" s="46"/>
      <c r="AA45" s="46"/>
      <c r="AB45" s="46"/>
      <c r="AC45" s="231"/>
      <c r="AD45" s="46"/>
      <c r="AE45" s="46"/>
      <c r="AF45" s="62">
        <f t="shared" si="2"/>
        <v>6456123</v>
      </c>
      <c r="AG45" s="63">
        <f t="shared" si="10"/>
        <v>2.5000000000000001E-3</v>
      </c>
      <c r="AH45" s="106">
        <f t="shared" si="9"/>
        <v>16140</v>
      </c>
      <c r="AJ45" s="93">
        <f t="shared" si="3"/>
        <v>-16140</v>
      </c>
      <c r="AL45" s="92">
        <f>[23]TRANSPORT!AE13</f>
        <v>6277507.8400000008</v>
      </c>
      <c r="AM45" s="207">
        <f t="shared" si="4"/>
        <v>6456123.8400000008</v>
      </c>
      <c r="AN45" s="151">
        <f t="shared" si="5"/>
        <v>0.84000000078231096</v>
      </c>
      <c r="AO45" s="93">
        <f t="shared" si="6"/>
        <v>2516174.6100000003</v>
      </c>
      <c r="AP45" s="93">
        <f t="shared" si="7"/>
        <v>2516173.77</v>
      </c>
    </row>
    <row r="46" spans="2:42" s="27" customFormat="1">
      <c r="B46" s="97">
        <v>41</v>
      </c>
      <c r="C46" s="98" t="s">
        <v>395</v>
      </c>
      <c r="D46" s="42" t="s">
        <v>325</v>
      </c>
      <c r="E46" s="43" t="s">
        <v>374</v>
      </c>
      <c r="F46" s="41" t="s">
        <v>223</v>
      </c>
      <c r="G46" s="107" t="s">
        <v>372</v>
      </c>
      <c r="H46" s="44" t="s">
        <v>39</v>
      </c>
      <c r="I46" s="45" t="s">
        <v>11</v>
      </c>
      <c r="J46" s="58" t="str">
        <f t="shared" si="1"/>
        <v>TER B</v>
      </c>
      <c r="K46" s="210">
        <v>3761333.23</v>
      </c>
      <c r="L46" s="46">
        <f t="shared" si="11"/>
        <v>30575.999999999996</v>
      </c>
      <c r="M46" s="101">
        <f>[25]TRANSPORT!AJ14</f>
        <v>148040</v>
      </c>
      <c r="N46" s="101">
        <v>454030</v>
      </c>
      <c r="O46" s="101">
        <v>273000</v>
      </c>
      <c r="P46" s="101">
        <v>12500</v>
      </c>
      <c r="Q46" s="46">
        <v>365580</v>
      </c>
      <c r="R46" s="46"/>
      <c r="S46" s="46"/>
      <c r="T46" s="101">
        <f>[23]TRANSPORT!T14</f>
        <v>167400</v>
      </c>
      <c r="U46" s="101">
        <f>[23]TRANSPORT!W14</f>
        <v>52000</v>
      </c>
      <c r="V46" s="101">
        <f>[23]TRANSPORT!AA14</f>
        <v>1157225.3</v>
      </c>
      <c r="W46" s="46"/>
      <c r="X46" s="101">
        <f>[23]TRANSPORT!Y14</f>
        <v>61000</v>
      </c>
      <c r="Y46" s="46"/>
      <c r="Z46" s="46"/>
      <c r="AA46" s="46"/>
      <c r="AB46" s="46"/>
      <c r="AC46" s="231"/>
      <c r="AD46" s="46"/>
      <c r="AE46" s="46"/>
      <c r="AF46" s="62">
        <f t="shared" si="2"/>
        <v>6482684</v>
      </c>
      <c r="AG46" s="63">
        <f t="shared" si="10"/>
        <v>2.5000000000000001E-3</v>
      </c>
      <c r="AH46" s="106">
        <f t="shared" si="9"/>
        <v>16206</v>
      </c>
      <c r="AJ46" s="93">
        <f t="shared" si="3"/>
        <v>-16206</v>
      </c>
      <c r="AL46" s="92">
        <f>[23]TRANSPORT!AE14</f>
        <v>6304068.5300000003</v>
      </c>
      <c r="AM46" s="207">
        <f t="shared" si="4"/>
        <v>6482684.5300000003</v>
      </c>
      <c r="AN46" s="151">
        <f t="shared" si="5"/>
        <v>0.53000000026077032</v>
      </c>
      <c r="AO46" s="93">
        <f t="shared" si="6"/>
        <v>2542735.2999999998</v>
      </c>
      <c r="AP46" s="93">
        <f t="shared" si="7"/>
        <v>2542734.77</v>
      </c>
    </row>
    <row r="47" spans="2:42" s="27" customFormat="1">
      <c r="B47" s="97">
        <v>42</v>
      </c>
      <c r="C47" s="98" t="s">
        <v>209</v>
      </c>
      <c r="D47" s="42" t="s">
        <v>210</v>
      </c>
      <c r="E47" s="209" t="s">
        <v>73</v>
      </c>
      <c r="F47" s="41" t="s">
        <v>211</v>
      </c>
      <c r="G47" s="107" t="s">
        <v>375</v>
      </c>
      <c r="H47" s="44" t="s">
        <v>39</v>
      </c>
      <c r="I47" s="45" t="s">
        <v>9</v>
      </c>
      <c r="J47" s="58" t="str">
        <f t="shared" si="1"/>
        <v>TER B</v>
      </c>
      <c r="K47" s="210">
        <v>3761333.23</v>
      </c>
      <c r="L47" s="46">
        <f t="shared" si="11"/>
        <v>30575.999999999996</v>
      </c>
      <c r="M47" s="46">
        <f>[23]HARVESTING!AS11</f>
        <v>146100</v>
      </c>
      <c r="N47" s="46"/>
      <c r="O47" s="46"/>
      <c r="P47" s="46"/>
      <c r="Q47" s="46"/>
      <c r="R47" s="46"/>
      <c r="S47" s="46">
        <v>78750</v>
      </c>
      <c r="T47" s="101">
        <f>[23]HARVESTING!X11</f>
        <v>130500</v>
      </c>
      <c r="U47" s="101"/>
      <c r="V47" s="101"/>
      <c r="W47" s="46"/>
      <c r="X47" s="101">
        <f>[23]HARVESTING!AC11</f>
        <v>12500</v>
      </c>
      <c r="Y47" s="46"/>
      <c r="Z47" s="46"/>
      <c r="AA47" s="46"/>
      <c r="AB47" s="46"/>
      <c r="AC47" s="231">
        <v>-242666.66</v>
      </c>
      <c r="AD47" s="46"/>
      <c r="AE47" s="46"/>
      <c r="AF47" s="62">
        <f t="shared" si="2"/>
        <v>3917092</v>
      </c>
      <c r="AG47" s="63">
        <f t="shared" si="10"/>
        <v>0</v>
      </c>
      <c r="AH47" s="106">
        <f t="shared" si="9"/>
        <v>0</v>
      </c>
      <c r="AJ47" s="93">
        <f t="shared" si="3"/>
        <v>0</v>
      </c>
      <c r="AL47" s="92">
        <f>[23]HARVESTING!AN11</f>
        <v>3740416.57</v>
      </c>
      <c r="AM47" s="207">
        <f>AL47+L47+M47+AE47</f>
        <v>3917092.57</v>
      </c>
      <c r="AN47" s="151">
        <f t="shared" si="5"/>
        <v>0.56999999983236194</v>
      </c>
      <c r="AO47" s="93">
        <f t="shared" si="6"/>
        <v>-20916.660000000003</v>
      </c>
      <c r="AP47" s="93">
        <f t="shared" si="7"/>
        <v>-20917.229999999981</v>
      </c>
    </row>
    <row r="48" spans="2:42" s="27" customFormat="1">
      <c r="B48" s="97">
        <v>43</v>
      </c>
      <c r="C48" s="98" t="s">
        <v>212</v>
      </c>
      <c r="D48" s="42" t="s">
        <v>213</v>
      </c>
      <c r="E48" s="209" t="s">
        <v>73</v>
      </c>
      <c r="F48" s="41" t="s">
        <v>214</v>
      </c>
      <c r="G48" s="107" t="s">
        <v>375</v>
      </c>
      <c r="H48" s="44" t="s">
        <v>39</v>
      </c>
      <c r="I48" s="45" t="s">
        <v>9</v>
      </c>
      <c r="J48" s="58" t="str">
        <f t="shared" si="1"/>
        <v>TER B</v>
      </c>
      <c r="K48" s="210">
        <v>3761333.23</v>
      </c>
      <c r="L48" s="46">
        <f t="shared" si="11"/>
        <v>30575.999999999996</v>
      </c>
      <c r="M48" s="46">
        <f>[23]HARVESTING!AS12</f>
        <v>146100</v>
      </c>
      <c r="N48" s="46"/>
      <c r="O48" s="46"/>
      <c r="P48" s="46"/>
      <c r="Q48" s="46"/>
      <c r="R48" s="46"/>
      <c r="S48" s="46">
        <v>128100</v>
      </c>
      <c r="T48" s="101">
        <f>[23]HARVESTING!X12</f>
        <v>139500</v>
      </c>
      <c r="U48" s="101"/>
      <c r="V48" s="101"/>
      <c r="W48" s="46"/>
      <c r="X48" s="101">
        <f>[23]HARVESTING!AC12</f>
        <v>12500</v>
      </c>
      <c r="Y48" s="46"/>
      <c r="Z48" s="46"/>
      <c r="AA48" s="46"/>
      <c r="AB48" s="46"/>
      <c r="AC48" s="231">
        <v>0</v>
      </c>
      <c r="AD48" s="46"/>
      <c r="AE48" s="46"/>
      <c r="AF48" s="62">
        <f t="shared" si="2"/>
        <v>4218109</v>
      </c>
      <c r="AG48" s="63">
        <f t="shared" si="10"/>
        <v>0</v>
      </c>
      <c r="AH48" s="106">
        <f t="shared" si="9"/>
        <v>0</v>
      </c>
      <c r="AJ48" s="93">
        <f t="shared" si="3"/>
        <v>0</v>
      </c>
      <c r="AL48" s="92">
        <f>[23]HARVESTING!AN12</f>
        <v>4041433.23</v>
      </c>
      <c r="AM48" s="207">
        <f>AL48+L48+M48+AE48</f>
        <v>4218109.2300000004</v>
      </c>
      <c r="AN48" s="151">
        <f>AM48-AF48</f>
        <v>0.23000000044703484</v>
      </c>
      <c r="AO48" s="93">
        <f t="shared" si="6"/>
        <v>280100</v>
      </c>
      <c r="AP48" s="93">
        <f t="shared" si="7"/>
        <v>280099.77</v>
      </c>
    </row>
    <row r="49" spans="2:59" s="27" customFormat="1">
      <c r="B49" s="97">
        <v>44</v>
      </c>
      <c r="C49" s="98" t="s">
        <v>424</v>
      </c>
      <c r="D49" s="42" t="s">
        <v>425</v>
      </c>
      <c r="E49" s="209" t="s">
        <v>426</v>
      </c>
      <c r="F49" s="41" t="s">
        <v>427</v>
      </c>
      <c r="G49" s="107" t="s">
        <v>375</v>
      </c>
      <c r="H49" s="44" t="s">
        <v>39</v>
      </c>
      <c r="I49" s="45" t="s">
        <v>11</v>
      </c>
      <c r="J49" s="58" t="str">
        <f t="shared" si="1"/>
        <v>TER B</v>
      </c>
      <c r="K49" s="210">
        <v>3761333.23</v>
      </c>
      <c r="L49" s="46">
        <f t="shared" si="11"/>
        <v>30575.999999999996</v>
      </c>
      <c r="M49" s="46">
        <f>[23]HARVESTING!AS13</f>
        <v>146560</v>
      </c>
      <c r="N49" s="101"/>
      <c r="O49" s="101"/>
      <c r="P49" s="101"/>
      <c r="Q49" s="46"/>
      <c r="R49" s="101"/>
      <c r="S49" s="101">
        <v>103950</v>
      </c>
      <c r="T49" s="101">
        <f>[23]HARVESTING!X13</f>
        <v>162000</v>
      </c>
      <c r="U49" s="101"/>
      <c r="V49" s="101"/>
      <c r="W49" s="46"/>
      <c r="X49" s="101">
        <f>[23]HARVESTING!AC13</f>
        <v>24000</v>
      </c>
      <c r="Y49" s="46"/>
      <c r="Z49" s="46"/>
      <c r="AA49" s="46"/>
      <c r="AB49" s="46"/>
      <c r="AC49" s="231">
        <v>-121333.33</v>
      </c>
      <c r="AD49" s="46"/>
      <c r="AE49" s="46"/>
      <c r="AF49" s="62">
        <f t="shared" si="2"/>
        <v>4107085</v>
      </c>
      <c r="AG49" s="63">
        <f t="shared" si="10"/>
        <v>0</v>
      </c>
      <c r="AH49" s="106">
        <f t="shared" si="9"/>
        <v>0</v>
      </c>
      <c r="AJ49" s="93"/>
      <c r="AL49" s="92">
        <f>[23]HARVESTING!AN13</f>
        <v>3929949.9</v>
      </c>
      <c r="AM49" s="207">
        <f t="shared" si="4"/>
        <v>4107085.9</v>
      </c>
      <c r="AN49" s="151">
        <f t="shared" ref="AN49:AN51" si="12">AM49-AF49</f>
        <v>0.89999999990686774</v>
      </c>
      <c r="AO49" s="93">
        <f t="shared" si="6"/>
        <v>168616.66999999998</v>
      </c>
      <c r="AP49" s="93">
        <f t="shared" si="7"/>
        <v>168615.77000000002</v>
      </c>
    </row>
    <row r="50" spans="2:59" s="27" customFormat="1">
      <c r="B50" s="97">
        <v>45</v>
      </c>
      <c r="C50" s="98" t="s">
        <v>428</v>
      </c>
      <c r="D50" s="42" t="s">
        <v>429</v>
      </c>
      <c r="E50" s="209" t="s">
        <v>73</v>
      </c>
      <c r="F50" s="41" t="s">
        <v>430</v>
      </c>
      <c r="G50" s="107" t="s">
        <v>375</v>
      </c>
      <c r="H50" s="44" t="s">
        <v>39</v>
      </c>
      <c r="I50" s="45" t="s">
        <v>9</v>
      </c>
      <c r="J50" s="58" t="str">
        <f t="shared" si="1"/>
        <v>TER B</v>
      </c>
      <c r="K50" s="210">
        <v>3761333.23</v>
      </c>
      <c r="L50" s="46">
        <f t="shared" si="11"/>
        <v>30575.999999999996</v>
      </c>
      <c r="M50" s="46">
        <f>[23]HARVESTING!AS14</f>
        <v>145900</v>
      </c>
      <c r="N50" s="101"/>
      <c r="O50" s="101"/>
      <c r="P50" s="101"/>
      <c r="Q50" s="46"/>
      <c r="R50" s="101"/>
      <c r="S50" s="101">
        <v>98700</v>
      </c>
      <c r="T50" s="101">
        <f>[23]HARVESTING!X14</f>
        <v>130500</v>
      </c>
      <c r="U50" s="101"/>
      <c r="V50" s="101"/>
      <c r="W50" s="46"/>
      <c r="X50" s="101">
        <f>[23]HARVESTING!AC14</f>
        <v>7500</v>
      </c>
      <c r="Y50" s="46"/>
      <c r="Z50" s="46"/>
      <c r="AA50" s="46"/>
      <c r="AB50" s="46"/>
      <c r="AC50" s="231">
        <v>-242666.66</v>
      </c>
      <c r="AD50" s="46"/>
      <c r="AE50" s="46"/>
      <c r="AF50" s="62">
        <f t="shared" si="2"/>
        <v>3931842</v>
      </c>
      <c r="AG50" s="63">
        <f t="shared" si="10"/>
        <v>0</v>
      </c>
      <c r="AH50" s="106">
        <f t="shared" si="9"/>
        <v>0</v>
      </c>
      <c r="AJ50" s="93"/>
      <c r="AL50" s="92">
        <f>[23]HARVESTING!AN14</f>
        <v>3755366.57</v>
      </c>
      <c r="AM50" s="207">
        <f t="shared" si="4"/>
        <v>3931842.57</v>
      </c>
      <c r="AN50" s="151">
        <f t="shared" si="12"/>
        <v>0.56999999983236194</v>
      </c>
      <c r="AO50" s="93">
        <f t="shared" si="6"/>
        <v>-5966.6600000000035</v>
      </c>
      <c r="AP50" s="93">
        <f t="shared" si="7"/>
        <v>-5967.2299999999814</v>
      </c>
    </row>
    <row r="51" spans="2:59" s="27" customFormat="1" ht="13.5" thickBot="1">
      <c r="B51" s="238">
        <v>46</v>
      </c>
      <c r="C51" s="239" t="s">
        <v>431</v>
      </c>
      <c r="D51" s="240" t="s">
        <v>432</v>
      </c>
      <c r="E51" s="241" t="s">
        <v>433</v>
      </c>
      <c r="F51" s="239" t="s">
        <v>434</v>
      </c>
      <c r="G51" s="242" t="s">
        <v>375</v>
      </c>
      <c r="H51" s="243" t="s">
        <v>39</v>
      </c>
      <c r="I51" s="244" t="s">
        <v>9</v>
      </c>
      <c r="J51" s="245" t="str">
        <f t="shared" si="1"/>
        <v>TER B</v>
      </c>
      <c r="K51" s="246">
        <v>3761333.23</v>
      </c>
      <c r="L51" s="150">
        <f t="shared" si="11"/>
        <v>30575.999999999996</v>
      </c>
      <c r="M51" s="46">
        <f>[23]HARVESTING!AS15</f>
        <v>147480</v>
      </c>
      <c r="N51" s="150"/>
      <c r="O51" s="150"/>
      <c r="P51" s="150"/>
      <c r="Q51" s="150"/>
      <c r="R51" s="150"/>
      <c r="S51" s="150">
        <v>101850</v>
      </c>
      <c r="T51" s="101">
        <f>[23]HARVESTING!X15</f>
        <v>135000</v>
      </c>
      <c r="U51" s="101"/>
      <c r="V51" s="101"/>
      <c r="W51" s="150"/>
      <c r="X51" s="101">
        <f>[23]HARVESTING!AC15</f>
        <v>47000</v>
      </c>
      <c r="Y51" s="150"/>
      <c r="Z51" s="150"/>
      <c r="AA51" s="150"/>
      <c r="AB51" s="150"/>
      <c r="AC51" s="247">
        <v>-121333.33</v>
      </c>
      <c r="AD51" s="150"/>
      <c r="AE51" s="150"/>
      <c r="AF51" s="64">
        <f t="shared" si="2"/>
        <v>4101905</v>
      </c>
      <c r="AG51" s="248">
        <f t="shared" si="10"/>
        <v>0</v>
      </c>
      <c r="AH51" s="106">
        <f t="shared" si="9"/>
        <v>0</v>
      </c>
      <c r="AJ51" s="93"/>
      <c r="AL51" s="92">
        <f>[23]HARVESTING!AN15</f>
        <v>3923849.9</v>
      </c>
      <c r="AM51" s="207">
        <f t="shared" si="4"/>
        <v>4101905.9</v>
      </c>
      <c r="AN51" s="151">
        <f t="shared" si="12"/>
        <v>0.89999999990686774</v>
      </c>
      <c r="AO51" s="93">
        <f t="shared" si="6"/>
        <v>162516.66999999998</v>
      </c>
      <c r="AP51" s="93">
        <f t="shared" si="7"/>
        <v>162515.77000000002</v>
      </c>
    </row>
    <row r="52" spans="2:59" s="27" customFormat="1">
      <c r="B52" s="97">
        <v>47</v>
      </c>
      <c r="C52" s="249" t="s">
        <v>435</v>
      </c>
      <c r="D52" s="250" t="s">
        <v>436</v>
      </c>
      <c r="E52" s="209" t="s">
        <v>73</v>
      </c>
      <c r="F52" s="98" t="s">
        <v>437</v>
      </c>
      <c r="G52" s="107" t="s">
        <v>88</v>
      </c>
      <c r="H52" s="99" t="s">
        <v>39</v>
      </c>
      <c r="I52" s="100" t="s">
        <v>7</v>
      </c>
      <c r="J52" s="251" t="str">
        <f>IF(ISBLANK(I52),"",IF(OR(I52="TK/0",I52="TK/1",I52="K/0"),"TER A",IF(I52="K/3","TER C","TER B")))</f>
        <v>TER A</v>
      </c>
      <c r="K52" s="210">
        <v>3761333.23</v>
      </c>
      <c r="L52" s="101">
        <f t="shared" si="8"/>
        <v>30575.999999999996</v>
      </c>
      <c r="M52" s="101">
        <f>[25]PERCOBAAN!AP11</f>
        <v>145600</v>
      </c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230"/>
      <c r="AD52" s="101"/>
      <c r="AE52" s="101"/>
      <c r="AF52" s="104">
        <f>ROUNDDOWN(SUM(K52:AE52),0)</f>
        <v>3937509</v>
      </c>
      <c r="AG52" s="105">
        <f>IF(J52="TER A",VLOOKUP(AF52,Ter_A,4,TRUE),IF(J52="TER B",VLOOKUP(AF52,Ter_B,4,TRUE),VLOOKUP(AF52,Ter_C,4,TRUE)))</f>
        <v>0</v>
      </c>
      <c r="AH52" s="106">
        <f t="shared" si="9"/>
        <v>0</v>
      </c>
      <c r="AJ52" s="93"/>
      <c r="AL52" s="206">
        <f>[23]PERCOBAAN!AK11</f>
        <v>3761333.23</v>
      </c>
      <c r="AM52" s="207">
        <f>AL52+L52+M52+AE52</f>
        <v>3937509.23</v>
      </c>
      <c r="AN52" s="151">
        <f>AM52-AF52</f>
        <v>0.22999999998137355</v>
      </c>
      <c r="AO52" s="93">
        <f t="shared" si="6"/>
        <v>0</v>
      </c>
      <c r="AP52" s="93">
        <f t="shared" si="7"/>
        <v>-0.22999999998137355</v>
      </c>
    </row>
    <row r="53" spans="2:59" s="27" customFormat="1">
      <c r="B53" s="97">
        <v>48</v>
      </c>
      <c r="C53" s="249" t="s">
        <v>440</v>
      </c>
      <c r="D53" s="250" t="s">
        <v>441</v>
      </c>
      <c r="E53" s="209"/>
      <c r="F53" s="98" t="s">
        <v>442</v>
      </c>
      <c r="G53" s="107" t="s">
        <v>88</v>
      </c>
      <c r="H53" s="99" t="s">
        <v>39</v>
      </c>
      <c r="I53" s="100" t="s">
        <v>7</v>
      </c>
      <c r="J53" s="251" t="str">
        <f>IF(ISBLANK(I53),"",IF(OR(I53="TK/0",I53="TK/1",I53="K/0"),"TER A",IF(I53="K/3","TER C","TER B")))</f>
        <v>TER A</v>
      </c>
      <c r="K53" s="210">
        <v>2426666.6</v>
      </c>
      <c r="L53" s="101">
        <f t="shared" si="8"/>
        <v>30575.999999999996</v>
      </c>
      <c r="M53" s="101">
        <f>[25]PERCOBAAN!AP12</f>
        <v>145600</v>
      </c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230"/>
      <c r="AD53" s="101"/>
      <c r="AE53" s="101"/>
      <c r="AF53" s="104">
        <f>ROUNDDOWN(SUM(K53:AE53),0)</f>
        <v>2602842</v>
      </c>
      <c r="AG53" s="105">
        <f>IF(J53="TER A",VLOOKUP(AF53,Ter_A,4,TRUE),IF(J53="TER B",VLOOKUP(AF53,Ter_B,4,TRUE),VLOOKUP(AF53,Ter_C,4,TRUE)))</f>
        <v>0</v>
      </c>
      <c r="AH53" s="106">
        <f t="shared" si="9"/>
        <v>0</v>
      </c>
      <c r="AJ53" s="93"/>
      <c r="AL53" s="206">
        <f>[23]PERCOBAAN!AK12</f>
        <v>2426666.6</v>
      </c>
      <c r="AM53" s="207">
        <f>AL53+L53+M53+AE53</f>
        <v>2602842.6</v>
      </c>
      <c r="AN53" s="151">
        <f>AM53-AF53</f>
        <v>0.60000000009313226</v>
      </c>
      <c r="AO53" s="93">
        <f t="shared" si="6"/>
        <v>0</v>
      </c>
      <c r="AP53" s="93">
        <f t="shared" si="7"/>
        <v>-0.60000000009313226</v>
      </c>
    </row>
    <row r="54" spans="2:59" s="27" customFormat="1" ht="13.5" thickBot="1">
      <c r="B54" s="97"/>
      <c r="C54" s="98" t="s">
        <v>365</v>
      </c>
      <c r="D54" s="42" t="s">
        <v>366</v>
      </c>
      <c r="E54" s="43" t="s">
        <v>367</v>
      </c>
      <c r="F54" s="41" t="s">
        <v>368</v>
      </c>
      <c r="G54" s="107" t="s">
        <v>88</v>
      </c>
      <c r="H54" s="44" t="s">
        <v>369</v>
      </c>
      <c r="I54" s="45" t="s">
        <v>11</v>
      </c>
      <c r="J54" s="58" t="str">
        <f>IF(ISBLANK(I54),"",IF(OR(I54="TK/0",I54="TK/1",I54="K/0"),"TER A",IF(I54="K/3","TER C","TER B")))</f>
        <v>TER B</v>
      </c>
      <c r="K54" s="60"/>
      <c r="L54" s="101"/>
      <c r="M54" s="101"/>
      <c r="N54" s="101"/>
      <c r="O54" s="101"/>
      <c r="P54" s="101"/>
      <c r="Q54" s="46"/>
      <c r="R54" s="101"/>
      <c r="S54" s="101"/>
      <c r="T54" s="101"/>
      <c r="U54" s="46"/>
      <c r="V54" s="101"/>
      <c r="W54" s="46"/>
      <c r="X54" s="101"/>
      <c r="Y54" s="46"/>
      <c r="Z54" s="46"/>
      <c r="AA54" s="46"/>
      <c r="AB54" s="46"/>
      <c r="AC54" s="231"/>
      <c r="AD54" s="46"/>
      <c r="AE54" s="46"/>
      <c r="AF54" s="62">
        <f>ROUNDDOWN(SUM(K54:AE54),0)</f>
        <v>0</v>
      </c>
      <c r="AG54" s="63">
        <f>IF(J54="TER A",VLOOKUP(AF54,Ter_A,4,TRUE),IF(J54="TER B",VLOOKUP(AF54,Ter_B,4,TRUE),VLOOKUP(AF54,Ter_C,4,TRUE)))</f>
        <v>0</v>
      </c>
      <c r="AH54" s="106">
        <f t="shared" si="9"/>
        <v>0</v>
      </c>
      <c r="AJ54" s="93">
        <f>AI54-AH54</f>
        <v>0</v>
      </c>
      <c r="AL54" s="206"/>
      <c r="AM54" s="207">
        <f>AL54+L54+M54+AE54</f>
        <v>0</v>
      </c>
      <c r="AN54" s="151">
        <f>AM54-AF54</f>
        <v>0</v>
      </c>
      <c r="AO54" s="93">
        <f t="shared" si="6"/>
        <v>0</v>
      </c>
      <c r="AP54" s="93">
        <f t="shared" si="7"/>
        <v>0</v>
      </c>
    </row>
    <row r="55" spans="2:59" s="27" customFormat="1" ht="13.5" hidden="1" thickBot="1">
      <c r="B55" s="97">
        <v>87</v>
      </c>
      <c r="C55" s="98"/>
      <c r="D55" s="42"/>
      <c r="E55" s="43"/>
      <c r="F55" s="41"/>
      <c r="G55" s="107"/>
      <c r="H55" s="44"/>
      <c r="I55" s="45"/>
      <c r="J55" s="58" t="str">
        <f t="shared" ref="J55:J57" si="13">IF(ISBLANK(I55),"",IF(OR(I55="TK/0",I55="TK/1",I55="K/0"),"TER A",IF(I55="K/3","TER C","TER B")))</f>
        <v/>
      </c>
      <c r="K55" s="60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62">
        <f t="shared" ref="AF55:AF57" si="14">ROUNDDOWN(SUM(K55:AE55),0)</f>
        <v>0</v>
      </c>
      <c r="AG55" s="63">
        <f t="shared" ref="AG55:AG57" si="15">IF(J55="TER A",VLOOKUP(AF55,Ter_A,4,TRUE),IF(J55="TER B",VLOOKUP(AF55,Ter_B,4,TRUE),VLOOKUP(AF55,Ter_C,4,TRUE)))</f>
        <v>0</v>
      </c>
      <c r="AH55" s="108">
        <f t="shared" ref="AH55:AH57" si="16">ROUND(IF(E55=0,AF55*AG55*120%,AF55*AG55),0)</f>
        <v>0</v>
      </c>
      <c r="AJ55" s="93">
        <f t="shared" ref="AJ55:AJ58" si="17">AI55-AH55</f>
        <v>0</v>
      </c>
      <c r="AM55" s="207">
        <f t="shared" ref="AM55:AM58" si="18">AL55+L55+M55</f>
        <v>0</v>
      </c>
    </row>
    <row r="56" spans="2:59" s="27" customFormat="1" ht="13.5" hidden="1" thickBot="1">
      <c r="B56" s="97">
        <v>88</v>
      </c>
      <c r="C56" s="98"/>
      <c r="D56" s="42"/>
      <c r="E56" s="43"/>
      <c r="F56" s="41"/>
      <c r="G56" s="107"/>
      <c r="H56" s="44"/>
      <c r="I56" s="45"/>
      <c r="J56" s="58" t="str">
        <f t="shared" si="13"/>
        <v/>
      </c>
      <c r="K56" s="60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62">
        <f t="shared" si="14"/>
        <v>0</v>
      </c>
      <c r="AG56" s="63">
        <f t="shared" si="15"/>
        <v>0</v>
      </c>
      <c r="AH56" s="108">
        <f t="shared" si="16"/>
        <v>0</v>
      </c>
      <c r="AJ56" s="93">
        <f t="shared" si="17"/>
        <v>0</v>
      </c>
      <c r="AM56" s="207">
        <f t="shared" si="18"/>
        <v>0</v>
      </c>
    </row>
    <row r="57" spans="2:59" s="27" customFormat="1" ht="13.5" hidden="1" thickBot="1">
      <c r="B57" s="97">
        <v>89</v>
      </c>
      <c r="C57" s="98"/>
      <c r="D57" s="42"/>
      <c r="E57" s="43"/>
      <c r="F57" s="41"/>
      <c r="G57" s="107"/>
      <c r="H57" s="44"/>
      <c r="I57" s="45"/>
      <c r="J57" s="58" t="str">
        <f t="shared" si="13"/>
        <v/>
      </c>
      <c r="K57" s="60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62">
        <f t="shared" si="14"/>
        <v>0</v>
      </c>
      <c r="AG57" s="63">
        <f t="shared" si="15"/>
        <v>0</v>
      </c>
      <c r="AH57" s="108">
        <f t="shared" si="16"/>
        <v>0</v>
      </c>
      <c r="AJ57" s="93">
        <f t="shared" si="17"/>
        <v>0</v>
      </c>
      <c r="AM57" s="207">
        <f t="shared" si="18"/>
        <v>0</v>
      </c>
    </row>
    <row r="58" spans="2:59" s="27" customFormat="1" ht="13.5" hidden="1" thickBot="1">
      <c r="B58" s="97">
        <v>90</v>
      </c>
      <c r="C58" s="98"/>
      <c r="D58" s="42"/>
      <c r="E58" s="43"/>
      <c r="F58" s="41"/>
      <c r="G58" s="107"/>
      <c r="H58" s="44"/>
      <c r="I58" s="45"/>
      <c r="J58" s="58"/>
      <c r="K58" s="60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62"/>
      <c r="AG58" s="63"/>
      <c r="AH58" s="108"/>
      <c r="AJ58" s="93">
        <f t="shared" si="17"/>
        <v>0</v>
      </c>
      <c r="AM58" s="207">
        <f t="shared" si="18"/>
        <v>0</v>
      </c>
    </row>
    <row r="59" spans="2:59" s="52" customFormat="1" ht="30.75" customHeight="1" thickBot="1">
      <c r="B59" s="82"/>
      <c r="C59" s="83"/>
      <c r="D59" s="83"/>
      <c r="E59" s="83"/>
      <c r="F59" s="83"/>
      <c r="G59" s="83"/>
      <c r="H59" s="83"/>
      <c r="I59" s="83"/>
      <c r="J59" s="83"/>
      <c r="K59" s="84">
        <f t="shared" ref="K59:AH59" si="19">SUM(K6:K58)</f>
        <v>179317828.40999991</v>
      </c>
      <c r="L59" s="84">
        <f t="shared" si="19"/>
        <v>1468529.9999999998</v>
      </c>
      <c r="M59" s="84">
        <f t="shared" si="19"/>
        <v>7057440</v>
      </c>
      <c r="N59" s="84">
        <f t="shared" si="19"/>
        <v>2688760</v>
      </c>
      <c r="O59" s="84">
        <f t="shared" si="19"/>
        <v>1194000</v>
      </c>
      <c r="P59" s="84">
        <f t="shared" si="19"/>
        <v>25000</v>
      </c>
      <c r="Q59" s="84">
        <f t="shared" si="19"/>
        <v>1189800</v>
      </c>
      <c r="R59" s="84">
        <f t="shared" si="19"/>
        <v>0</v>
      </c>
      <c r="S59" s="84">
        <f t="shared" si="19"/>
        <v>511350</v>
      </c>
      <c r="T59" s="84">
        <f t="shared" si="19"/>
        <v>4861800</v>
      </c>
      <c r="U59" s="84">
        <f t="shared" si="19"/>
        <v>361000</v>
      </c>
      <c r="V59" s="84">
        <f t="shared" si="19"/>
        <v>7995895.040000001</v>
      </c>
      <c r="W59" s="84">
        <f t="shared" si="19"/>
        <v>0</v>
      </c>
      <c r="X59" s="84">
        <f t="shared" si="19"/>
        <v>1611000</v>
      </c>
      <c r="Y59" s="84">
        <f t="shared" si="19"/>
        <v>0</v>
      </c>
      <c r="Z59" s="84">
        <f t="shared" si="19"/>
        <v>0</v>
      </c>
      <c r="AA59" s="84">
        <f t="shared" si="19"/>
        <v>0</v>
      </c>
      <c r="AB59" s="84">
        <f t="shared" si="19"/>
        <v>0</v>
      </c>
      <c r="AC59" s="84">
        <f t="shared" si="19"/>
        <v>-4617666.5400000019</v>
      </c>
      <c r="AD59" s="84">
        <f t="shared" si="19"/>
        <v>0</v>
      </c>
      <c r="AE59" s="84">
        <f t="shared" si="19"/>
        <v>0</v>
      </c>
      <c r="AF59" s="84">
        <f t="shared" si="19"/>
        <v>203664712</v>
      </c>
      <c r="AG59" s="84">
        <f t="shared" si="19"/>
        <v>1.5000000000000001E-2</v>
      </c>
      <c r="AH59" s="252">
        <f t="shared" si="19"/>
        <v>95186</v>
      </c>
      <c r="AI59" s="51"/>
      <c r="AJ59" s="51"/>
      <c r="AK59" s="51"/>
      <c r="AL59" s="211">
        <f>SUM(AL6:AL58)</f>
        <v>195138766.91000006</v>
      </c>
      <c r="AM59" s="211">
        <f>SUM(AM6:AM58)</f>
        <v>203664736.91000003</v>
      </c>
      <c r="AN59" s="211">
        <f>SUM(AN6:AN54)</f>
        <v>24.910000006202608</v>
      </c>
    </row>
    <row r="60" spans="2:59" ht="15" customHeight="1">
      <c r="AF60" s="28">
        <f>AF59-L59-M59</f>
        <v>195138742</v>
      </c>
      <c r="AH60" s="28">
        <f>[23]TRANSPORT!$AQ$15+[23]HARVESTING!$AY$16+'[23]MAINTENANCE-2'!$AV$48</f>
        <v>95186</v>
      </c>
      <c r="AL60" s="232"/>
    </row>
    <row r="61" spans="2:59" ht="15" customHeight="1">
      <c r="B61" s="51"/>
      <c r="M61" s="233">
        <f>[23]TRANSPORT!$AJ$15+[23]HARVESTING!$AS$16+'[23]MAINTENANCE-2'!$AP$48+[23]PERCOBAAN!$AP$13</f>
        <v>7057440</v>
      </c>
      <c r="N61" s="54"/>
      <c r="O61" s="54"/>
      <c r="P61" s="54"/>
      <c r="Q61" s="232"/>
      <c r="R61" s="54"/>
      <c r="S61" s="232"/>
      <c r="T61" s="54"/>
      <c r="U61" s="54"/>
      <c r="V61" s="54"/>
      <c r="AF61" s="28">
        <f>[23]TRANSPORT!$AE$15+[23]HARVESTING!$AN$16+'[23]MAINTENANCE-2'!$AK$48+[23]PERCOBAAN!$AK$13</f>
        <v>195138766.91000012</v>
      </c>
    </row>
    <row r="62" spans="2:59" ht="15" customHeight="1">
      <c r="M62" s="54"/>
      <c r="N62" s="54"/>
      <c r="O62" s="54"/>
      <c r="P62" s="54"/>
      <c r="Q62" s="54"/>
      <c r="R62" s="54"/>
      <c r="S62" s="54"/>
      <c r="T62" s="54"/>
      <c r="U62" s="54"/>
      <c r="V62" s="54"/>
      <c r="AF62" s="28">
        <f>AF60-AF61</f>
        <v>-24.910000115633011</v>
      </c>
    </row>
    <row r="63" spans="2:59" ht="15" customHeight="1">
      <c r="M63" s="54"/>
      <c r="N63" s="54"/>
      <c r="O63" s="54"/>
      <c r="P63" s="54"/>
      <c r="Q63" s="54"/>
      <c r="R63" s="54"/>
      <c r="S63" s="54"/>
      <c r="T63" s="54"/>
      <c r="U63" s="54"/>
      <c r="V63" s="54"/>
    </row>
    <row r="64" spans="2:59" s="31" customFormat="1" ht="15" customHeight="1">
      <c r="B64" s="27"/>
      <c r="C64" s="28"/>
      <c r="D64" s="194"/>
      <c r="E64" s="29"/>
      <c r="F64" s="28"/>
      <c r="G64" s="30"/>
      <c r="H64" s="195"/>
      <c r="I64" s="195"/>
      <c r="J64" s="195"/>
      <c r="K64" s="28"/>
      <c r="L64" s="28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57"/>
      <c r="AH64" s="28"/>
      <c r="AI64" s="27"/>
      <c r="AJ64" s="27"/>
      <c r="AK64" s="27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</row>
    <row r="65" spans="1:59" s="31" customFormat="1" ht="15" customHeight="1">
      <c r="B65" s="27"/>
      <c r="C65" s="28"/>
      <c r="D65" s="194"/>
      <c r="E65" s="29"/>
      <c r="F65" s="28"/>
      <c r="G65" s="30"/>
      <c r="H65" s="195"/>
      <c r="I65" s="195"/>
      <c r="J65" s="195"/>
      <c r="K65" s="28"/>
      <c r="L65" s="28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57"/>
      <c r="AH65" s="28"/>
      <c r="AI65" s="27"/>
      <c r="AJ65" s="27"/>
      <c r="AK65" s="27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</row>
    <row r="66" spans="1:59">
      <c r="AL66" s="232">
        <v>193598715.25000003</v>
      </c>
    </row>
    <row r="67" spans="1:59" ht="18">
      <c r="C67" s="214" t="s">
        <v>378</v>
      </c>
      <c r="Z67" s="215"/>
      <c r="AA67" s="215"/>
      <c r="AB67" s="215"/>
      <c r="AC67" s="601" t="s">
        <v>379</v>
      </c>
      <c r="AD67" s="601"/>
      <c r="AE67" s="601"/>
      <c r="AF67" s="601"/>
    </row>
    <row r="68" spans="1:59" ht="20.25" customHeight="1">
      <c r="C68" s="214"/>
      <c r="Z68" s="215"/>
      <c r="AA68" s="215"/>
      <c r="AB68" s="215"/>
      <c r="AC68" s="216"/>
      <c r="AD68" s="216"/>
      <c r="AE68" s="216"/>
    </row>
    <row r="69" spans="1:59" ht="20.25" customHeight="1">
      <c r="C69" s="214"/>
      <c r="Z69" s="215"/>
      <c r="AA69" s="215"/>
      <c r="AB69" s="215"/>
      <c r="AC69" s="216"/>
      <c r="AD69" s="216"/>
      <c r="AE69" s="216"/>
    </row>
    <row r="70" spans="1:59" ht="20.25" hidden="1" customHeight="1">
      <c r="C70" s="214"/>
      <c r="Z70" s="215"/>
      <c r="AA70" s="215"/>
      <c r="AB70" s="215"/>
      <c r="AC70" s="216"/>
      <c r="AD70" s="216"/>
      <c r="AE70" s="216"/>
    </row>
    <row r="71" spans="1:59" ht="20.25" hidden="1" customHeight="1">
      <c r="C71" s="214"/>
      <c r="Z71" s="215"/>
      <c r="AA71" s="215"/>
      <c r="AB71" s="215"/>
      <c r="AC71" s="216"/>
      <c r="AD71" s="216"/>
      <c r="AE71" s="216"/>
    </row>
    <row r="72" spans="1:59" s="57" customFormat="1" ht="20.25" customHeight="1">
      <c r="A72" s="53"/>
      <c r="B72" s="27"/>
      <c r="C72" s="214"/>
      <c r="D72" s="194"/>
      <c r="E72" s="29"/>
      <c r="F72" s="28"/>
      <c r="G72" s="30"/>
      <c r="H72" s="195"/>
      <c r="I72" s="195"/>
      <c r="J72" s="195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15"/>
      <c r="AA72" s="215"/>
      <c r="AB72" s="215"/>
      <c r="AC72" s="216"/>
      <c r="AD72" s="216"/>
      <c r="AE72" s="216"/>
      <c r="AF72" s="28"/>
      <c r="AH72" s="28"/>
      <c r="AI72" s="27"/>
      <c r="AJ72" s="27"/>
      <c r="AK72" s="27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</row>
    <row r="73" spans="1:59" s="57" customFormat="1" ht="20.25">
      <c r="A73" s="53"/>
      <c r="B73" s="27"/>
      <c r="C73" s="217" t="s">
        <v>380</v>
      </c>
      <c r="D73" s="194"/>
      <c r="E73" s="29"/>
      <c r="F73" s="28"/>
      <c r="G73" s="30"/>
      <c r="H73" s="195"/>
      <c r="I73" s="195"/>
      <c r="J73" s="195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18"/>
      <c r="AB73" s="218"/>
      <c r="AC73" s="602" t="s">
        <v>381</v>
      </c>
      <c r="AD73" s="602"/>
      <c r="AE73" s="602"/>
      <c r="AF73" s="602"/>
      <c r="AH73" s="28"/>
      <c r="AI73" s="27"/>
      <c r="AJ73" s="27"/>
      <c r="AK73" s="27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</row>
    <row r="74" spans="1:59" s="57" customFormat="1" ht="18">
      <c r="A74" s="53"/>
      <c r="B74" s="27"/>
      <c r="C74" s="214" t="s">
        <v>382</v>
      </c>
      <c r="D74" s="194"/>
      <c r="E74" s="29"/>
      <c r="F74" s="28"/>
      <c r="G74" s="30"/>
      <c r="H74" s="195"/>
      <c r="I74" s="195"/>
      <c r="J74" s="195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15"/>
      <c r="AB74" s="215"/>
      <c r="AC74" s="601" t="s">
        <v>383</v>
      </c>
      <c r="AD74" s="601"/>
      <c r="AE74" s="601"/>
      <c r="AF74" s="601"/>
      <c r="AH74" s="28"/>
      <c r="AI74" s="27"/>
      <c r="AJ74" s="27"/>
      <c r="AK74" s="27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</row>
    <row r="88" spans="1:59" s="28" customFormat="1" ht="13.5" thickBot="1">
      <c r="A88" s="53"/>
      <c r="B88" s="27"/>
      <c r="D88" s="194"/>
      <c r="E88" s="29"/>
      <c r="G88" s="30"/>
      <c r="H88" s="195"/>
      <c r="I88" s="195"/>
      <c r="J88" s="195"/>
      <c r="AG88" s="57"/>
      <c r="AI88" s="27"/>
      <c r="AJ88" s="27"/>
      <c r="AK88" s="27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</row>
    <row r="89" spans="1:59" s="28" customFormat="1" ht="26.25" thickBot="1">
      <c r="A89" s="53"/>
      <c r="B89" s="27"/>
      <c r="C89" s="191" t="s">
        <v>25</v>
      </c>
      <c r="D89" s="192" t="s">
        <v>26</v>
      </c>
      <c r="E89" s="193" t="s">
        <v>27</v>
      </c>
      <c r="F89" s="191" t="s">
        <v>28</v>
      </c>
      <c r="G89" s="190" t="s">
        <v>29</v>
      </c>
      <c r="H89" s="80" t="s">
        <v>37</v>
      </c>
      <c r="I89" s="81" t="s">
        <v>6</v>
      </c>
      <c r="J89" s="81" t="s">
        <v>15</v>
      </c>
      <c r="AG89" s="57"/>
      <c r="AI89" s="27"/>
      <c r="AJ89" s="27"/>
      <c r="AK89" s="27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</row>
    <row r="90" spans="1:59" s="28" customFormat="1">
      <c r="A90" s="53"/>
      <c r="B90" s="27"/>
      <c r="C90" s="98" t="s">
        <v>365</v>
      </c>
      <c r="D90" s="42" t="s">
        <v>366</v>
      </c>
      <c r="E90" s="43" t="s">
        <v>367</v>
      </c>
      <c r="F90" s="41" t="s">
        <v>368</v>
      </c>
      <c r="G90" s="107" t="s">
        <v>88</v>
      </c>
      <c r="H90" s="44" t="s">
        <v>369</v>
      </c>
      <c r="I90" s="45" t="s">
        <v>11</v>
      </c>
      <c r="J90" s="58" t="str">
        <f t="shared" ref="J90" si="20">IF(ISBLANK(I90),"",IF(OR(I90="TK/0",I90="TK/1",I90="K/0"),"TER A",IF(I90="K/3","TER C","TER B")))</f>
        <v>TER B</v>
      </c>
      <c r="AG90" s="57"/>
      <c r="AI90" s="27"/>
      <c r="AJ90" s="27"/>
      <c r="AK90" s="27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</row>
    <row r="92" spans="1:59" s="28" customFormat="1">
      <c r="A92" s="53"/>
      <c r="B92" s="27"/>
      <c r="C92" s="28" t="s">
        <v>420</v>
      </c>
      <c r="D92" s="194"/>
      <c r="E92" s="29"/>
      <c r="G92" s="30"/>
      <c r="H92" s="195"/>
      <c r="I92" s="195"/>
      <c r="J92" s="195"/>
      <c r="AG92" s="57"/>
      <c r="AI92" s="27"/>
      <c r="AJ92" s="27"/>
      <c r="AK92" s="27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</row>
  </sheetData>
  <mergeCells count="3">
    <mergeCell ref="AC67:AF67"/>
    <mergeCell ref="AC73:AF73"/>
    <mergeCell ref="AC74:AF74"/>
  </mergeCells>
  <dataValidations count="2">
    <dataValidation type="list" allowBlank="1" showInputMessage="1" showErrorMessage="1" sqref="H90 H6:H58">
      <formula1>"L,P"</formula1>
    </dataValidation>
    <dataValidation type="list" allowBlank="1" showInputMessage="1" showErrorMessage="1" sqref="I90 I6:I58">
      <formula1>"TK/0,TK/1,TK/2,TK/3,K/0,K/1,K/2,K/3"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85"/>
  <sheetViews>
    <sheetView view="pageBreakPreview" zoomScale="67" zoomScaleNormal="67" zoomScaleSheetLayoutView="67" workbookViewId="0">
      <pane xSplit="4" topLeftCell="K1" activePane="topRight" state="frozen"/>
      <selection activeCell="A4" sqref="A4"/>
      <selection pane="topRight" activeCell="X21" sqref="X21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21" style="28" customWidth="1"/>
    <col min="4" max="4" width="18.5703125" style="194" customWidth="1" outlineLevel="1"/>
    <col min="5" max="5" width="19.42578125" style="29" customWidth="1" outlineLevel="1"/>
    <col min="6" max="6" width="48.28515625" style="28" customWidth="1" outlineLevel="1"/>
    <col min="7" max="7" width="25.140625" style="30" customWidth="1" outlineLevel="1"/>
    <col min="8" max="8" width="6" style="195" customWidth="1" outlineLevel="1"/>
    <col min="9" max="9" width="6.7109375" style="195" customWidth="1" outlineLevel="1"/>
    <col min="10" max="10" width="10.85546875" style="195" customWidth="1" outlineLevel="1"/>
    <col min="11" max="11" width="14.140625" style="28" customWidth="1"/>
    <col min="12" max="12" width="11.7109375" style="28" customWidth="1"/>
    <col min="13" max="13" width="12.7109375" style="28" customWidth="1"/>
    <col min="14" max="14" width="12" style="28" customWidth="1"/>
    <col min="15" max="15" width="11.42578125" style="28" customWidth="1"/>
    <col min="16" max="16" width="12" style="28" customWidth="1"/>
    <col min="17" max="17" width="11" style="28" customWidth="1"/>
    <col min="18" max="18" width="8.28515625" style="28" customWidth="1"/>
    <col min="19" max="20" width="12" style="28" customWidth="1"/>
    <col min="21" max="21" width="10.140625" style="28" customWidth="1"/>
    <col min="22" max="22" width="11.28515625" style="28" customWidth="1"/>
    <col min="23" max="23" width="9.85546875" style="28" customWidth="1"/>
    <col min="24" max="24" width="12.7109375" style="28" customWidth="1"/>
    <col min="25" max="25" width="11.42578125" style="28" hidden="1" customWidth="1"/>
    <col min="26" max="26" width="9" style="28" customWidth="1"/>
    <col min="27" max="28" width="12.7109375" style="28" hidden="1" customWidth="1"/>
    <col min="29" max="29" width="15.7109375" style="28" customWidth="1"/>
    <col min="30" max="30" width="7" style="28" hidden="1" customWidth="1"/>
    <col min="31" max="31" width="8" style="28" customWidth="1"/>
    <col min="32" max="32" width="13.5703125" style="28" customWidth="1" collapsed="1"/>
    <col min="33" max="33" width="7.7109375" style="57" customWidth="1"/>
    <col min="34" max="34" width="13.7109375" style="28" customWidth="1"/>
    <col min="35" max="35" width="10.7109375" style="27" hidden="1" customWidth="1"/>
    <col min="36" max="36" width="13" style="27" hidden="1" customWidth="1"/>
    <col min="37" max="37" width="0" style="27" hidden="1" customWidth="1"/>
    <col min="38" max="38" width="13.85546875" style="53" hidden="1" customWidth="1"/>
    <col min="39" max="39" width="14" style="53" hidden="1" customWidth="1"/>
    <col min="40" max="40" width="11.5703125" style="53" hidden="1" customWidth="1"/>
    <col min="41" max="41" width="13.140625" style="53" hidden="1" customWidth="1"/>
    <col min="42" max="42" width="12.42578125" style="53" customWidth="1"/>
    <col min="43" max="43" width="10.7109375" style="53" customWidth="1"/>
    <col min="44" max="16384" width="9.28515625" style="53"/>
  </cols>
  <sheetData>
    <row r="1" spans="2:43">
      <c r="B1" s="27" t="s">
        <v>71</v>
      </c>
      <c r="AI1" s="53"/>
      <c r="AJ1" s="53"/>
      <c r="AK1" s="53"/>
    </row>
    <row r="2" spans="2:43">
      <c r="B2" s="27" t="s">
        <v>183</v>
      </c>
      <c r="AI2" s="53"/>
      <c r="AJ2" s="53"/>
      <c r="AK2" s="53"/>
    </row>
    <row r="3" spans="2:43">
      <c r="B3" s="27" t="s">
        <v>326</v>
      </c>
      <c r="AI3" s="53"/>
      <c r="AJ3" s="53"/>
      <c r="AK3" s="53"/>
    </row>
    <row r="4" spans="2:43" s="27" customFormat="1" ht="13.5" thickBot="1">
      <c r="C4" s="56" t="s">
        <v>40</v>
      </c>
      <c r="D4" s="194"/>
      <c r="E4" s="29"/>
      <c r="F4" s="28"/>
      <c r="G4" s="30"/>
      <c r="H4" s="195"/>
      <c r="I4" s="195"/>
      <c r="J4" s="195"/>
      <c r="K4" s="28"/>
      <c r="L4" s="28"/>
      <c r="M4" s="28"/>
      <c r="N4" s="28"/>
      <c r="O4" s="28"/>
      <c r="P4" s="28"/>
      <c r="Q4" s="28"/>
      <c r="R4" s="28"/>
      <c r="S4" s="28"/>
      <c r="T4" s="28" t="s">
        <v>327</v>
      </c>
      <c r="U4" s="28" t="s">
        <v>328</v>
      </c>
      <c r="V4" s="28" t="s">
        <v>329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57"/>
      <c r="AH4" s="28"/>
    </row>
    <row r="5" spans="2:43" s="27" customFormat="1" ht="51.75" thickBot="1">
      <c r="B5" s="191" t="s">
        <v>64</v>
      </c>
      <c r="C5" s="191" t="s">
        <v>25</v>
      </c>
      <c r="D5" s="192" t="s">
        <v>26</v>
      </c>
      <c r="E5" s="193" t="s">
        <v>27</v>
      </c>
      <c r="F5" s="191" t="s">
        <v>28</v>
      </c>
      <c r="G5" s="190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89" t="s">
        <v>67</v>
      </c>
      <c r="M5" s="188" t="s">
        <v>68</v>
      </c>
      <c r="N5" s="189" t="s">
        <v>385</v>
      </c>
      <c r="O5" s="189" t="s">
        <v>386</v>
      </c>
      <c r="P5" s="189" t="s">
        <v>387</v>
      </c>
      <c r="Q5" s="189" t="s">
        <v>388</v>
      </c>
      <c r="R5" s="188" t="s">
        <v>331</v>
      </c>
      <c r="S5" s="188" t="s">
        <v>332</v>
      </c>
      <c r="T5" s="189" t="s">
        <v>76</v>
      </c>
      <c r="U5" s="189" t="s">
        <v>77</v>
      </c>
      <c r="V5" s="189" t="s">
        <v>81</v>
      </c>
      <c r="W5" s="189" t="s">
        <v>333</v>
      </c>
      <c r="X5" s="188" t="s">
        <v>82</v>
      </c>
      <c r="Y5" s="188" t="s">
        <v>334</v>
      </c>
      <c r="Z5" s="188" t="s">
        <v>335</v>
      </c>
      <c r="AA5" s="188" t="s">
        <v>84</v>
      </c>
      <c r="AB5" s="188" t="s">
        <v>85</v>
      </c>
      <c r="AC5" s="188" t="s">
        <v>336</v>
      </c>
      <c r="AD5" s="188" t="s">
        <v>79</v>
      </c>
      <c r="AE5" s="188" t="s">
        <v>80</v>
      </c>
      <c r="AF5" s="188" t="s">
        <v>41</v>
      </c>
      <c r="AG5" s="102" t="s">
        <v>42</v>
      </c>
      <c r="AH5" s="103" t="s">
        <v>43</v>
      </c>
      <c r="AI5" s="188" t="s">
        <v>69</v>
      </c>
      <c r="AJ5" s="103" t="s">
        <v>70</v>
      </c>
      <c r="AK5" s="103" t="s">
        <v>337</v>
      </c>
    </row>
    <row r="6" spans="2:43" s="27" customFormat="1">
      <c r="B6" s="34">
        <v>1</v>
      </c>
      <c r="C6" s="35" t="s">
        <v>221</v>
      </c>
      <c r="D6" s="204" t="s">
        <v>222</v>
      </c>
      <c r="E6" s="36" t="s">
        <v>338</v>
      </c>
      <c r="F6" s="35" t="s">
        <v>223</v>
      </c>
      <c r="G6" s="205" t="s">
        <v>391</v>
      </c>
      <c r="H6" s="37" t="s">
        <v>39</v>
      </c>
      <c r="I6" s="38" t="s">
        <v>7</v>
      </c>
      <c r="J6" s="55" t="str">
        <f>IF(ISBLANK(I6),"",IF(OR(I6="TK/0",I6="TK/1",I6="K/0"),"TER A",IF(I6="K/3","TER C","TER B")))</f>
        <v>TER A</v>
      </c>
      <c r="K6" s="59">
        <v>3669999.9</v>
      </c>
      <c r="L6" s="39">
        <f>3670000*0.84%</f>
        <v>30827.999999999996</v>
      </c>
      <c r="M6" s="101">
        <f>'[26]MAINTENANCE-2'!AP11</f>
        <v>148680</v>
      </c>
      <c r="N6" s="101"/>
      <c r="O6" s="101"/>
      <c r="P6" s="101"/>
      <c r="Q6" s="39"/>
      <c r="R6" s="101"/>
      <c r="S6" s="101"/>
      <c r="T6" s="39">
        <f>'[26]MAINTENANCE-2'!X11</f>
        <v>63000</v>
      </c>
      <c r="U6" s="39">
        <f>'[26]MAINTENANCE-2'!AA11</f>
        <v>63000</v>
      </c>
      <c r="V6" s="39">
        <f>'[26]MAINTENANCE-2'!AH11</f>
        <v>31820.81</v>
      </c>
      <c r="W6" s="39"/>
      <c r="X6" s="39">
        <f>'[26]MAINTENANCE-2'!AC11</f>
        <v>47000</v>
      </c>
      <c r="Y6" s="101"/>
      <c r="Z6" s="101"/>
      <c r="AA6" s="101"/>
      <c r="AB6" s="101"/>
      <c r="AC6" s="229">
        <v>-244666.66</v>
      </c>
      <c r="AD6" s="39"/>
      <c r="AE6" s="39"/>
      <c r="AF6" s="104">
        <f>ROUNDDOWN(SUM(K6:AE6),0)</f>
        <v>3809662</v>
      </c>
      <c r="AG6" s="105">
        <f t="shared" ref="AG6:AG32" si="0">IF(J6="TER A",VLOOKUP(AF6,Ter_A,4,TRUE),IF(J6="TER B",VLOOKUP(AF6,Ter_B,4,TRUE),VLOOKUP(AF6,Ter_C,4,TRUE)))</f>
        <v>0</v>
      </c>
      <c r="AH6" s="106">
        <f>ROUNDDOWN(IF(E6=0,AF6*AG6*120%,AF6*AG6),0)</f>
        <v>0</v>
      </c>
      <c r="AJ6" s="93">
        <f>AI6-AH6</f>
        <v>0</v>
      </c>
      <c r="AL6" s="206">
        <f>'[26]MAINTENANCE-2'!AK11</f>
        <v>3630154.0500000003</v>
      </c>
      <c r="AM6" s="207">
        <f>AL6+L6+M6+AE6</f>
        <v>3809662.0500000003</v>
      </c>
      <c r="AN6" s="151">
        <f>AM6-AF6</f>
        <v>5.0000000279396772E-2</v>
      </c>
      <c r="AO6" s="93">
        <f>AF6-L6-M6</f>
        <v>3630154</v>
      </c>
      <c r="AP6" s="93">
        <f>SUM(N6:AC6)</f>
        <v>-39845.850000000006</v>
      </c>
      <c r="AQ6" s="93">
        <f>'Feb''24'!AK6+'Maret''24'!AR6+'April ''24'!AP6+'Mei ''24'!AQ6+'Juni ''24 '!AO6+'Juli ''24'!AO6+'Agust ''24 '!AO6+'Sept ''24'!AP6</f>
        <v>-280875.18000000005</v>
      </c>
    </row>
    <row r="7" spans="2:43" s="27" customFormat="1">
      <c r="B7" s="40">
        <v>2</v>
      </c>
      <c r="C7" s="98" t="s">
        <v>224</v>
      </c>
      <c r="D7" s="208" t="s">
        <v>225</v>
      </c>
      <c r="E7" s="209" t="s">
        <v>73</v>
      </c>
      <c r="F7" s="98" t="s">
        <v>226</v>
      </c>
      <c r="G7" s="107" t="s">
        <v>340</v>
      </c>
      <c r="H7" s="99" t="s">
        <v>38</v>
      </c>
      <c r="I7" s="100" t="s">
        <v>7</v>
      </c>
      <c r="J7" s="58" t="str">
        <f t="shared" ref="J7:J49" si="1">IF(ISBLANK(I7),"",IF(OR(I7="TK/0",I7="TK/1",I7="K/0"),"TER A",IF(I7="K/3","TER C","TER B")))</f>
        <v>TER A</v>
      </c>
      <c r="K7" s="101">
        <f t="shared" ref="K7:K38" si="2">30*121333.33</f>
        <v>3639999.9</v>
      </c>
      <c r="L7" s="101">
        <f>3640000*0.84%</f>
        <v>30575.999999999996</v>
      </c>
      <c r="M7" s="101">
        <f>'[26]MAINTENANCE-2'!AP12</f>
        <v>146200</v>
      </c>
      <c r="N7" s="101"/>
      <c r="O7" s="101"/>
      <c r="P7" s="101"/>
      <c r="Q7" s="101"/>
      <c r="R7" s="101"/>
      <c r="S7" s="101"/>
      <c r="T7" s="101">
        <f>'[26]MAINTENANCE-2'!X12</f>
        <v>67500</v>
      </c>
      <c r="U7" s="101">
        <f>'[26]MAINTENANCE-2'!AA12</f>
        <v>42000</v>
      </c>
      <c r="V7" s="101">
        <f>'[26]MAINTENANCE-2'!AH12</f>
        <v>1272947.83</v>
      </c>
      <c r="W7" s="101"/>
      <c r="X7" s="101">
        <f>'[26]MAINTENANCE-2'!AC12</f>
        <v>15000</v>
      </c>
      <c r="Y7" s="101"/>
      <c r="Z7" s="101"/>
      <c r="AA7" s="101"/>
      <c r="AB7" s="101"/>
      <c r="AC7" s="230">
        <v>0</v>
      </c>
      <c r="AD7" s="101"/>
      <c r="AE7" s="101"/>
      <c r="AF7" s="62">
        <f>ROUNDDOWN(SUM(K7:AE7),0)</f>
        <v>5214223</v>
      </c>
      <c r="AG7" s="63">
        <f t="shared" si="0"/>
        <v>0</v>
      </c>
      <c r="AH7" s="106">
        <f t="shared" ref="AH7:AH49" si="3">ROUNDDOWN(IF(E7=0,AF7*AG7*120%,AF7*AG7),0)</f>
        <v>0</v>
      </c>
      <c r="AJ7" s="93">
        <f t="shared" ref="AJ7:AJ36" si="4">AI7-AH7</f>
        <v>0</v>
      </c>
      <c r="AL7" s="206">
        <f>'[26]MAINTENANCE-2'!AK12</f>
        <v>5037447.7300000004</v>
      </c>
      <c r="AM7" s="207">
        <f t="shared" ref="AM7:AM49" si="5">AL7+L7+M7+AE7</f>
        <v>5214223.7300000004</v>
      </c>
      <c r="AN7" s="151">
        <f t="shared" ref="AN7:AN49" si="6">AM7-AF7</f>
        <v>0.73000000044703484</v>
      </c>
      <c r="AO7" s="93">
        <f t="shared" ref="AO7:AO38" si="7">AF7-L7-M7</f>
        <v>5037447</v>
      </c>
      <c r="AP7" s="93">
        <f t="shared" ref="AP7:AP38" si="8">SUM(N7:AC7)</f>
        <v>1397447.83</v>
      </c>
    </row>
    <row r="8" spans="2:43" s="27" customFormat="1">
      <c r="B8" s="40">
        <v>3</v>
      </c>
      <c r="C8" s="98" t="s">
        <v>227</v>
      </c>
      <c r="D8" s="208" t="s">
        <v>228</v>
      </c>
      <c r="E8" s="209" t="s">
        <v>341</v>
      </c>
      <c r="F8" s="98" t="s">
        <v>229</v>
      </c>
      <c r="G8" s="107" t="s">
        <v>88</v>
      </c>
      <c r="H8" s="99" t="s">
        <v>39</v>
      </c>
      <c r="I8" s="100" t="s">
        <v>7</v>
      </c>
      <c r="J8" s="58" t="str">
        <f t="shared" si="1"/>
        <v>TER A</v>
      </c>
      <c r="K8" s="101">
        <f t="shared" si="2"/>
        <v>3639999.9</v>
      </c>
      <c r="L8" s="101">
        <f t="shared" ref="L8:L38" si="9">3640000*0.84%</f>
        <v>30575.999999999996</v>
      </c>
      <c r="M8" s="101">
        <f>'[26]MAINTENANCE-2'!AP13</f>
        <v>147480</v>
      </c>
      <c r="N8" s="101"/>
      <c r="O8" s="101"/>
      <c r="P8" s="101"/>
      <c r="Q8" s="101"/>
      <c r="R8" s="101"/>
      <c r="S8" s="101"/>
      <c r="T8" s="101">
        <f>'[26]MAINTENANCE-2'!X13</f>
        <v>63000</v>
      </c>
      <c r="U8" s="101"/>
      <c r="V8" s="101">
        <f>'[26]MAINTENANCE-2'!AH13</f>
        <v>0</v>
      </c>
      <c r="W8" s="101"/>
      <c r="X8" s="101">
        <f>'[26]MAINTENANCE-2'!AC13</f>
        <v>47000</v>
      </c>
      <c r="Y8" s="101"/>
      <c r="Z8" s="101"/>
      <c r="AA8" s="101"/>
      <c r="AB8" s="101"/>
      <c r="AC8" s="230">
        <v>-242666.66</v>
      </c>
      <c r="AD8" s="101"/>
      <c r="AE8" s="101"/>
      <c r="AF8" s="62">
        <f t="shared" ref="AF8:AF49" si="10">ROUNDDOWN(SUM(K8:AE8),0)</f>
        <v>3685389</v>
      </c>
      <c r="AG8" s="63">
        <f t="shared" si="0"/>
        <v>0</v>
      </c>
      <c r="AH8" s="106">
        <f t="shared" si="3"/>
        <v>0</v>
      </c>
      <c r="AJ8" s="93">
        <f t="shared" si="4"/>
        <v>0</v>
      </c>
      <c r="AL8" s="206">
        <f>'[26]MAINTENANCE-2'!AK13</f>
        <v>3507333.24</v>
      </c>
      <c r="AM8" s="207">
        <f t="shared" si="5"/>
        <v>3685389.24</v>
      </c>
      <c r="AN8" s="151">
        <f t="shared" si="6"/>
        <v>0.24000000022351742</v>
      </c>
      <c r="AO8" s="93">
        <f t="shared" si="7"/>
        <v>3507333</v>
      </c>
      <c r="AP8" s="93">
        <f t="shared" si="8"/>
        <v>-132666.66</v>
      </c>
    </row>
    <row r="9" spans="2:43" s="27" customFormat="1">
      <c r="B9" s="40">
        <v>4</v>
      </c>
      <c r="C9" s="98" t="s">
        <v>233</v>
      </c>
      <c r="D9" s="208" t="s">
        <v>234</v>
      </c>
      <c r="E9" s="209" t="s">
        <v>342</v>
      </c>
      <c r="F9" s="98" t="s">
        <v>235</v>
      </c>
      <c r="G9" s="107" t="s">
        <v>88</v>
      </c>
      <c r="H9" s="99" t="s">
        <v>38</v>
      </c>
      <c r="I9" s="100" t="s">
        <v>7</v>
      </c>
      <c r="J9" s="58" t="str">
        <f t="shared" si="1"/>
        <v>TER A</v>
      </c>
      <c r="K9" s="101">
        <f t="shared" si="2"/>
        <v>3639999.9</v>
      </c>
      <c r="L9" s="101">
        <f t="shared" si="9"/>
        <v>30575.999999999996</v>
      </c>
      <c r="M9" s="101">
        <f>'[26]MAINTENANCE-2'!AP14</f>
        <v>147620</v>
      </c>
      <c r="N9" s="101"/>
      <c r="O9" s="101"/>
      <c r="P9" s="101"/>
      <c r="Q9" s="101"/>
      <c r="R9" s="101"/>
      <c r="S9" s="101"/>
      <c r="T9" s="101">
        <f>'[26]MAINTENANCE-2'!X14</f>
        <v>67500</v>
      </c>
      <c r="U9" s="101"/>
      <c r="V9" s="101">
        <f>'[26]MAINTENANCE-2'!AH14</f>
        <v>0</v>
      </c>
      <c r="W9" s="101"/>
      <c r="X9" s="101">
        <f>'[26]MAINTENANCE-2'!AC14</f>
        <v>50500</v>
      </c>
      <c r="Y9" s="101"/>
      <c r="Z9" s="101"/>
      <c r="AA9" s="101"/>
      <c r="AB9" s="101"/>
      <c r="AC9" s="230">
        <v>0</v>
      </c>
      <c r="AD9" s="101"/>
      <c r="AE9" s="101"/>
      <c r="AF9" s="62">
        <f t="shared" si="10"/>
        <v>3936195</v>
      </c>
      <c r="AG9" s="63">
        <f t="shared" si="0"/>
        <v>0</v>
      </c>
      <c r="AH9" s="106">
        <f t="shared" si="3"/>
        <v>0</v>
      </c>
      <c r="AJ9" s="93">
        <f t="shared" si="4"/>
        <v>0</v>
      </c>
      <c r="AL9" s="206">
        <f>'[26]MAINTENANCE-2'!AK14</f>
        <v>3757999.9000000004</v>
      </c>
      <c r="AM9" s="207">
        <f t="shared" si="5"/>
        <v>3936195.9000000004</v>
      </c>
      <c r="AN9" s="151">
        <f t="shared" si="6"/>
        <v>0.90000000037252903</v>
      </c>
      <c r="AO9" s="93">
        <f t="shared" si="7"/>
        <v>3757999</v>
      </c>
      <c r="AP9" s="93">
        <f t="shared" si="8"/>
        <v>118000</v>
      </c>
    </row>
    <row r="10" spans="2:43" s="27" customFormat="1">
      <c r="B10" s="40">
        <v>5</v>
      </c>
      <c r="C10" s="98" t="s">
        <v>236</v>
      </c>
      <c r="D10" s="208" t="s">
        <v>237</v>
      </c>
      <c r="E10" s="209" t="s">
        <v>343</v>
      </c>
      <c r="F10" s="98" t="s">
        <v>238</v>
      </c>
      <c r="G10" s="107" t="s">
        <v>88</v>
      </c>
      <c r="H10" s="99" t="s">
        <v>38</v>
      </c>
      <c r="I10" s="100" t="s">
        <v>7</v>
      </c>
      <c r="J10" s="58" t="str">
        <f t="shared" si="1"/>
        <v>TER A</v>
      </c>
      <c r="K10" s="101">
        <f t="shared" si="2"/>
        <v>3639999.9</v>
      </c>
      <c r="L10" s="101">
        <f t="shared" si="9"/>
        <v>30575.999999999996</v>
      </c>
      <c r="M10" s="101">
        <f>'[26]MAINTENANCE-2'!AP15</f>
        <v>147620</v>
      </c>
      <c r="N10" s="101"/>
      <c r="O10" s="101"/>
      <c r="P10" s="101"/>
      <c r="Q10" s="101"/>
      <c r="R10" s="101"/>
      <c r="S10" s="101"/>
      <c r="T10" s="101">
        <f>'[26]MAINTENANCE-2'!X15</f>
        <v>67500</v>
      </c>
      <c r="U10" s="101"/>
      <c r="V10" s="101">
        <f>'[26]MAINTENANCE-2'!AH15</f>
        <v>0</v>
      </c>
      <c r="W10" s="101"/>
      <c r="X10" s="101">
        <f>'[26]MAINTENANCE-2'!AC15</f>
        <v>50500</v>
      </c>
      <c r="Y10" s="101"/>
      <c r="Z10" s="101"/>
      <c r="AA10" s="101"/>
      <c r="AB10" s="101"/>
      <c r="AC10" s="230">
        <v>0</v>
      </c>
      <c r="AD10" s="101"/>
      <c r="AE10" s="101"/>
      <c r="AF10" s="62">
        <f t="shared" si="10"/>
        <v>3936195</v>
      </c>
      <c r="AG10" s="63">
        <f t="shared" si="0"/>
        <v>0</v>
      </c>
      <c r="AH10" s="106">
        <f t="shared" si="3"/>
        <v>0</v>
      </c>
      <c r="AJ10" s="93">
        <f t="shared" si="4"/>
        <v>0</v>
      </c>
      <c r="AL10" s="206">
        <f>'[26]MAINTENANCE-2'!AK15</f>
        <v>3757999.9000000004</v>
      </c>
      <c r="AM10" s="207">
        <f t="shared" si="5"/>
        <v>3936195.9000000004</v>
      </c>
      <c r="AN10" s="151">
        <f t="shared" si="6"/>
        <v>0.90000000037252903</v>
      </c>
      <c r="AO10" s="93">
        <f t="shared" si="7"/>
        <v>3757999</v>
      </c>
      <c r="AP10" s="93">
        <f t="shared" si="8"/>
        <v>118000</v>
      </c>
    </row>
    <row r="11" spans="2:43" s="27" customFormat="1">
      <c r="B11" s="40">
        <v>6</v>
      </c>
      <c r="C11" s="98" t="s">
        <v>239</v>
      </c>
      <c r="D11" s="208" t="s">
        <v>240</v>
      </c>
      <c r="E11" s="209" t="s">
        <v>344</v>
      </c>
      <c r="F11" s="98" t="s">
        <v>241</v>
      </c>
      <c r="G11" s="107" t="s">
        <v>88</v>
      </c>
      <c r="H11" s="99" t="s">
        <v>38</v>
      </c>
      <c r="I11" s="100" t="s">
        <v>7</v>
      </c>
      <c r="J11" s="58" t="str">
        <f t="shared" si="1"/>
        <v>TER A</v>
      </c>
      <c r="K11" s="101">
        <f t="shared" si="2"/>
        <v>3639999.9</v>
      </c>
      <c r="L11" s="101">
        <f t="shared" si="9"/>
        <v>30575.999999999996</v>
      </c>
      <c r="M11" s="101">
        <f>'[26]MAINTENANCE-2'!AP16</f>
        <v>147480</v>
      </c>
      <c r="N11" s="101"/>
      <c r="O11" s="101"/>
      <c r="P11" s="101"/>
      <c r="Q11" s="101"/>
      <c r="R11" s="101"/>
      <c r="S11" s="101"/>
      <c r="T11" s="101">
        <f>'[26]MAINTENANCE-2'!X16</f>
        <v>67500</v>
      </c>
      <c r="U11" s="101"/>
      <c r="V11" s="101">
        <f>'[26]MAINTENANCE-2'!AH16</f>
        <v>0</v>
      </c>
      <c r="W11" s="101"/>
      <c r="X11" s="101">
        <f>'[26]MAINTENANCE-2'!AC16</f>
        <v>47000</v>
      </c>
      <c r="Y11" s="101"/>
      <c r="Z11" s="101"/>
      <c r="AA11" s="101"/>
      <c r="AB11" s="101"/>
      <c r="AC11" s="230">
        <v>0</v>
      </c>
      <c r="AD11" s="101"/>
      <c r="AE11" s="101"/>
      <c r="AF11" s="62">
        <f t="shared" si="10"/>
        <v>3932555</v>
      </c>
      <c r="AG11" s="63">
        <f t="shared" si="0"/>
        <v>0</v>
      </c>
      <c r="AH11" s="106">
        <f t="shared" si="3"/>
        <v>0</v>
      </c>
      <c r="AJ11" s="93">
        <f t="shared" si="4"/>
        <v>0</v>
      </c>
      <c r="AL11" s="206">
        <f>'[26]MAINTENANCE-2'!AK16</f>
        <v>3754499.9000000004</v>
      </c>
      <c r="AM11" s="207">
        <f t="shared" si="5"/>
        <v>3932555.9000000004</v>
      </c>
      <c r="AN11" s="151">
        <f t="shared" si="6"/>
        <v>0.90000000037252903</v>
      </c>
      <c r="AO11" s="93">
        <f t="shared" si="7"/>
        <v>3754499</v>
      </c>
      <c r="AP11" s="93">
        <f t="shared" si="8"/>
        <v>114500</v>
      </c>
    </row>
    <row r="12" spans="2:43" s="27" customFormat="1">
      <c r="B12" s="40">
        <v>7</v>
      </c>
      <c r="C12" s="98" t="s">
        <v>242</v>
      </c>
      <c r="D12" s="208" t="s">
        <v>243</v>
      </c>
      <c r="E12" s="209" t="s">
        <v>345</v>
      </c>
      <c r="F12" s="98" t="s">
        <v>244</v>
      </c>
      <c r="G12" s="107" t="s">
        <v>88</v>
      </c>
      <c r="H12" s="99" t="s">
        <v>38</v>
      </c>
      <c r="I12" s="100" t="s">
        <v>7</v>
      </c>
      <c r="J12" s="58" t="str">
        <f t="shared" si="1"/>
        <v>TER A</v>
      </c>
      <c r="K12" s="101">
        <f t="shared" si="2"/>
        <v>3639999.9</v>
      </c>
      <c r="L12" s="101">
        <f t="shared" si="9"/>
        <v>30575.999999999996</v>
      </c>
      <c r="M12" s="101">
        <f>'[26]MAINTENANCE-2'!AP17</f>
        <v>148040</v>
      </c>
      <c r="N12" s="101"/>
      <c r="O12" s="101"/>
      <c r="P12" s="101"/>
      <c r="Q12" s="101"/>
      <c r="R12" s="101"/>
      <c r="S12" s="101"/>
      <c r="T12" s="101">
        <f>'[26]MAINTENANCE-2'!X17</f>
        <v>67500</v>
      </c>
      <c r="U12" s="101"/>
      <c r="V12" s="101">
        <f>'[26]MAINTENANCE-2'!AH17</f>
        <v>0</v>
      </c>
      <c r="W12" s="101"/>
      <c r="X12" s="101">
        <f>'[26]MAINTENANCE-2'!AC17</f>
        <v>61000</v>
      </c>
      <c r="Y12" s="101"/>
      <c r="Z12" s="101"/>
      <c r="AA12" s="101"/>
      <c r="AB12" s="101"/>
      <c r="AC12" s="230">
        <v>0</v>
      </c>
      <c r="AD12" s="101"/>
      <c r="AE12" s="101"/>
      <c r="AF12" s="62">
        <f t="shared" si="10"/>
        <v>3947115</v>
      </c>
      <c r="AG12" s="63">
        <f t="shared" si="0"/>
        <v>0</v>
      </c>
      <c r="AH12" s="106">
        <f t="shared" si="3"/>
        <v>0</v>
      </c>
      <c r="AJ12" s="93">
        <f t="shared" si="4"/>
        <v>0</v>
      </c>
      <c r="AL12" s="206">
        <f>'[26]MAINTENANCE-2'!AK17</f>
        <v>3768499.9000000004</v>
      </c>
      <c r="AM12" s="207">
        <f t="shared" si="5"/>
        <v>3947115.9000000004</v>
      </c>
      <c r="AN12" s="151">
        <f t="shared" si="6"/>
        <v>0.90000000037252903</v>
      </c>
      <c r="AO12" s="93">
        <f t="shared" si="7"/>
        <v>3768499</v>
      </c>
      <c r="AP12" s="93">
        <f t="shared" si="8"/>
        <v>128500</v>
      </c>
    </row>
    <row r="13" spans="2:43" s="27" customFormat="1">
      <c r="B13" s="40">
        <v>8</v>
      </c>
      <c r="C13" s="98" t="s">
        <v>245</v>
      </c>
      <c r="D13" s="208" t="s">
        <v>246</v>
      </c>
      <c r="E13" s="209" t="s">
        <v>346</v>
      </c>
      <c r="F13" s="98" t="s">
        <v>247</v>
      </c>
      <c r="G13" s="107" t="s">
        <v>88</v>
      </c>
      <c r="H13" s="99" t="s">
        <v>38</v>
      </c>
      <c r="I13" s="100" t="s">
        <v>7</v>
      </c>
      <c r="J13" s="58" t="str">
        <f t="shared" si="1"/>
        <v>TER A</v>
      </c>
      <c r="K13" s="101">
        <f t="shared" si="2"/>
        <v>3639999.9</v>
      </c>
      <c r="L13" s="101">
        <f t="shared" si="9"/>
        <v>30575.999999999996</v>
      </c>
      <c r="M13" s="101">
        <f>'[26]MAINTENANCE-2'!AP18</f>
        <v>147340</v>
      </c>
      <c r="N13" s="101"/>
      <c r="O13" s="101"/>
      <c r="P13" s="101"/>
      <c r="Q13" s="101"/>
      <c r="R13" s="101"/>
      <c r="S13" s="101"/>
      <c r="T13" s="101">
        <f>'[26]MAINTENANCE-2'!X18</f>
        <v>67500</v>
      </c>
      <c r="U13" s="101"/>
      <c r="V13" s="101">
        <f>'[26]MAINTENANCE-2'!AH18</f>
        <v>0</v>
      </c>
      <c r="W13" s="101"/>
      <c r="X13" s="101">
        <f>'[26]MAINTENANCE-2'!AC18</f>
        <v>43500</v>
      </c>
      <c r="Y13" s="101"/>
      <c r="Z13" s="101"/>
      <c r="AA13" s="101"/>
      <c r="AB13" s="101"/>
      <c r="AC13" s="230">
        <v>0</v>
      </c>
      <c r="AD13" s="101"/>
      <c r="AE13" s="101"/>
      <c r="AF13" s="62">
        <f t="shared" si="10"/>
        <v>3928915</v>
      </c>
      <c r="AG13" s="63">
        <f t="shared" si="0"/>
        <v>0</v>
      </c>
      <c r="AH13" s="106">
        <f t="shared" si="3"/>
        <v>0</v>
      </c>
      <c r="AJ13" s="93">
        <f t="shared" si="4"/>
        <v>0</v>
      </c>
      <c r="AL13" s="206">
        <f>'[26]MAINTENANCE-2'!AK18</f>
        <v>3750999.9000000004</v>
      </c>
      <c r="AM13" s="207">
        <f t="shared" si="5"/>
        <v>3928915.9000000004</v>
      </c>
      <c r="AN13" s="151">
        <f t="shared" si="6"/>
        <v>0.90000000037252903</v>
      </c>
      <c r="AO13" s="93">
        <f t="shared" si="7"/>
        <v>3750999</v>
      </c>
      <c r="AP13" s="93">
        <f t="shared" si="8"/>
        <v>111000</v>
      </c>
    </row>
    <row r="14" spans="2:43" s="27" customFormat="1">
      <c r="B14" s="40">
        <v>9</v>
      </c>
      <c r="C14" s="98" t="s">
        <v>248</v>
      </c>
      <c r="D14" s="208" t="s">
        <v>249</v>
      </c>
      <c r="E14" s="209" t="s">
        <v>347</v>
      </c>
      <c r="F14" s="98" t="s">
        <v>250</v>
      </c>
      <c r="G14" s="107" t="s">
        <v>88</v>
      </c>
      <c r="H14" s="99" t="s">
        <v>39</v>
      </c>
      <c r="I14" s="100" t="s">
        <v>17</v>
      </c>
      <c r="J14" s="58" t="str">
        <f t="shared" si="1"/>
        <v>TER A</v>
      </c>
      <c r="K14" s="101">
        <f t="shared" si="2"/>
        <v>3639999.9</v>
      </c>
      <c r="L14" s="101">
        <f t="shared" si="9"/>
        <v>30575.999999999996</v>
      </c>
      <c r="M14" s="101">
        <f>'[26]MAINTENANCE-2'!AP19</f>
        <v>148040</v>
      </c>
      <c r="N14" s="101"/>
      <c r="O14" s="101"/>
      <c r="P14" s="101"/>
      <c r="Q14" s="101"/>
      <c r="R14" s="101"/>
      <c r="S14" s="101"/>
      <c r="T14" s="101">
        <f>'[26]MAINTENANCE-2'!X19</f>
        <v>108000</v>
      </c>
      <c r="U14" s="101"/>
      <c r="V14" s="101">
        <f>'[26]MAINTENANCE-2'!AH19</f>
        <v>0</v>
      </c>
      <c r="W14" s="101"/>
      <c r="X14" s="101">
        <f>'[26]MAINTENANCE-2'!AC19</f>
        <v>61000</v>
      </c>
      <c r="Y14" s="101"/>
      <c r="Z14" s="101"/>
      <c r="AA14" s="101"/>
      <c r="AB14" s="101"/>
      <c r="AC14" s="230">
        <v>0</v>
      </c>
      <c r="AD14" s="101"/>
      <c r="AE14" s="101"/>
      <c r="AF14" s="62">
        <f t="shared" si="10"/>
        <v>3987615</v>
      </c>
      <c r="AG14" s="63">
        <f t="shared" si="0"/>
        <v>0</v>
      </c>
      <c r="AH14" s="106">
        <f t="shared" si="3"/>
        <v>0</v>
      </c>
      <c r="AJ14" s="93">
        <f t="shared" si="4"/>
        <v>0</v>
      </c>
      <c r="AL14" s="206">
        <f>'[26]MAINTENANCE-2'!AK19</f>
        <v>3808999.9000000004</v>
      </c>
      <c r="AM14" s="207">
        <f t="shared" si="5"/>
        <v>3987615.9000000004</v>
      </c>
      <c r="AN14" s="151">
        <f t="shared" si="6"/>
        <v>0.90000000037252903</v>
      </c>
      <c r="AO14" s="93">
        <f t="shared" si="7"/>
        <v>3808999</v>
      </c>
      <c r="AP14" s="93">
        <f t="shared" si="8"/>
        <v>169000</v>
      </c>
    </row>
    <row r="15" spans="2:43" s="27" customFormat="1">
      <c r="B15" s="40">
        <v>10</v>
      </c>
      <c r="C15" s="98" t="s">
        <v>257</v>
      </c>
      <c r="D15" s="208" t="s">
        <v>258</v>
      </c>
      <c r="E15" s="209" t="s">
        <v>350</v>
      </c>
      <c r="F15" s="98" t="s">
        <v>259</v>
      </c>
      <c r="G15" s="107" t="s">
        <v>88</v>
      </c>
      <c r="H15" s="99" t="s">
        <v>39</v>
      </c>
      <c r="I15" s="100" t="s">
        <v>9</v>
      </c>
      <c r="J15" s="58" t="str">
        <f t="shared" si="1"/>
        <v>TER B</v>
      </c>
      <c r="K15" s="101">
        <f t="shared" si="2"/>
        <v>3639999.9</v>
      </c>
      <c r="L15" s="101">
        <f t="shared" si="9"/>
        <v>30575.999999999996</v>
      </c>
      <c r="M15" s="101">
        <f>'[26]MAINTENANCE-2'!AP20</f>
        <v>146800</v>
      </c>
      <c r="N15" s="101">
        <v>34960</v>
      </c>
      <c r="O15" s="101"/>
      <c r="P15" s="101">
        <v>22500</v>
      </c>
      <c r="Q15" s="101">
        <v>29580</v>
      </c>
      <c r="R15" s="101"/>
      <c r="S15" s="101"/>
      <c r="T15" s="101">
        <f>'[26]MAINTENANCE-2'!X20</f>
        <v>135000</v>
      </c>
      <c r="U15" s="101"/>
      <c r="V15" s="101">
        <f>'[26]MAINTENANCE-2'!AH20</f>
        <v>105202.29999999999</v>
      </c>
      <c r="W15" s="101"/>
      <c r="X15" s="101">
        <f>'[26]MAINTENANCE-2'!AC20</f>
        <v>30000</v>
      </c>
      <c r="Y15" s="101"/>
      <c r="Z15" s="101"/>
      <c r="AA15" s="101"/>
      <c r="AB15" s="101"/>
      <c r="AC15" s="230">
        <v>0</v>
      </c>
      <c r="AD15" s="101"/>
      <c r="AE15" s="101"/>
      <c r="AF15" s="62">
        <f t="shared" si="10"/>
        <v>4174618</v>
      </c>
      <c r="AG15" s="63">
        <f t="shared" si="0"/>
        <v>0</v>
      </c>
      <c r="AH15" s="106">
        <f t="shared" si="3"/>
        <v>0</v>
      </c>
      <c r="AJ15" s="93">
        <f t="shared" si="4"/>
        <v>0</v>
      </c>
      <c r="AL15" s="206">
        <f>'[26]MAINTENANCE-2'!AK20</f>
        <v>3997242.1999999997</v>
      </c>
      <c r="AM15" s="207">
        <f t="shared" si="5"/>
        <v>4174618.1999999997</v>
      </c>
      <c r="AN15" s="151">
        <f t="shared" si="6"/>
        <v>0.19999999972060323</v>
      </c>
      <c r="AO15" s="93">
        <f t="shared" si="7"/>
        <v>3997242</v>
      </c>
      <c r="AP15" s="93">
        <f t="shared" si="8"/>
        <v>357242.3</v>
      </c>
    </row>
    <row r="16" spans="2:43" s="27" customFormat="1">
      <c r="B16" s="40">
        <v>11</v>
      </c>
      <c r="C16" s="98" t="s">
        <v>260</v>
      </c>
      <c r="D16" s="208" t="s">
        <v>261</v>
      </c>
      <c r="E16" s="209" t="s">
        <v>73</v>
      </c>
      <c r="F16" s="98" t="s">
        <v>262</v>
      </c>
      <c r="G16" s="107" t="s">
        <v>88</v>
      </c>
      <c r="H16" s="99" t="s">
        <v>39</v>
      </c>
      <c r="I16" s="100" t="s">
        <v>11</v>
      </c>
      <c r="J16" s="58" t="str">
        <f t="shared" si="1"/>
        <v>TER B</v>
      </c>
      <c r="K16" s="101">
        <f t="shared" si="2"/>
        <v>3639999.9</v>
      </c>
      <c r="L16" s="101">
        <f t="shared" si="9"/>
        <v>30575.999999999996</v>
      </c>
      <c r="M16" s="101">
        <f>'[26]MAINTENANCE-2'!AP21</f>
        <v>146560</v>
      </c>
      <c r="N16" s="101"/>
      <c r="O16" s="101"/>
      <c r="P16" s="101"/>
      <c r="Q16" s="101"/>
      <c r="R16" s="101"/>
      <c r="S16" s="101"/>
      <c r="T16" s="101">
        <f>'[26]MAINTENANCE-2'!X21</f>
        <v>162000</v>
      </c>
      <c r="U16" s="101"/>
      <c r="V16" s="101">
        <f>'[26]MAINTENANCE-2'!AH21</f>
        <v>0</v>
      </c>
      <c r="W16" s="101"/>
      <c r="X16" s="101">
        <f>'[26]MAINTENANCE-2'!AC21</f>
        <v>24000</v>
      </c>
      <c r="Y16" s="101"/>
      <c r="Z16" s="101"/>
      <c r="AA16" s="101"/>
      <c r="AB16" s="101"/>
      <c r="AC16" s="230">
        <v>0</v>
      </c>
      <c r="AD16" s="101"/>
      <c r="AE16" s="101"/>
      <c r="AF16" s="62">
        <f t="shared" si="10"/>
        <v>4003135</v>
      </c>
      <c r="AG16" s="63">
        <f t="shared" si="0"/>
        <v>0</v>
      </c>
      <c r="AH16" s="106">
        <f t="shared" si="3"/>
        <v>0</v>
      </c>
      <c r="AJ16" s="93">
        <f t="shared" si="4"/>
        <v>0</v>
      </c>
      <c r="AL16" s="206">
        <f>'[26]MAINTENANCE-2'!AK21</f>
        <v>3825999.9000000004</v>
      </c>
      <c r="AM16" s="207">
        <f t="shared" si="5"/>
        <v>4003135.9000000004</v>
      </c>
      <c r="AN16" s="151">
        <f t="shared" si="6"/>
        <v>0.90000000037252903</v>
      </c>
      <c r="AO16" s="93">
        <f t="shared" si="7"/>
        <v>3825999</v>
      </c>
      <c r="AP16" s="93">
        <f t="shared" si="8"/>
        <v>186000</v>
      </c>
    </row>
    <row r="17" spans="2:42" s="27" customFormat="1">
      <c r="B17" s="40">
        <v>12</v>
      </c>
      <c r="C17" s="98" t="s">
        <v>263</v>
      </c>
      <c r="D17" s="208" t="s">
        <v>264</v>
      </c>
      <c r="E17" s="209" t="s">
        <v>73</v>
      </c>
      <c r="F17" s="98" t="s">
        <v>265</v>
      </c>
      <c r="G17" s="107" t="s">
        <v>88</v>
      </c>
      <c r="H17" s="99" t="s">
        <v>39</v>
      </c>
      <c r="I17" s="100" t="s">
        <v>9</v>
      </c>
      <c r="J17" s="58" t="str">
        <f t="shared" si="1"/>
        <v>TER B</v>
      </c>
      <c r="K17" s="101">
        <f t="shared" si="2"/>
        <v>3639999.9</v>
      </c>
      <c r="L17" s="101">
        <f t="shared" si="9"/>
        <v>30575.999999999996</v>
      </c>
      <c r="M17" s="101">
        <f>'[26]MAINTENANCE-2'!AP22</f>
        <v>145900</v>
      </c>
      <c r="N17" s="101"/>
      <c r="O17" s="101"/>
      <c r="P17" s="101"/>
      <c r="Q17" s="101"/>
      <c r="R17" s="101"/>
      <c r="S17" s="101"/>
      <c r="T17" s="101">
        <f>'[26]MAINTENANCE-2'!X22</f>
        <v>126000</v>
      </c>
      <c r="U17" s="101"/>
      <c r="V17" s="101">
        <f>'[26]MAINTENANCE-2'!AH22</f>
        <v>0</v>
      </c>
      <c r="W17" s="101"/>
      <c r="X17" s="101">
        <f>'[26]MAINTENANCE-2'!AC22</f>
        <v>7500</v>
      </c>
      <c r="Y17" s="101"/>
      <c r="Z17" s="101"/>
      <c r="AA17" s="101"/>
      <c r="AB17" s="101"/>
      <c r="AC17" s="230">
        <v>-242666.66</v>
      </c>
      <c r="AD17" s="101"/>
      <c r="AE17" s="101"/>
      <c r="AF17" s="62">
        <f t="shared" si="10"/>
        <v>3707309</v>
      </c>
      <c r="AG17" s="63">
        <f t="shared" si="0"/>
        <v>0</v>
      </c>
      <c r="AH17" s="106">
        <f t="shared" si="3"/>
        <v>0</v>
      </c>
      <c r="AJ17" s="93">
        <f t="shared" si="4"/>
        <v>0</v>
      </c>
      <c r="AL17" s="206">
        <f>'[26]MAINTENANCE-2'!AK22</f>
        <v>3530833.24</v>
      </c>
      <c r="AM17" s="207">
        <f t="shared" si="5"/>
        <v>3707309.24</v>
      </c>
      <c r="AN17" s="151">
        <f t="shared" si="6"/>
        <v>0.24000000022351742</v>
      </c>
      <c r="AO17" s="93">
        <f t="shared" si="7"/>
        <v>3530833</v>
      </c>
      <c r="AP17" s="93">
        <f t="shared" si="8"/>
        <v>-109166.66</v>
      </c>
    </row>
    <row r="18" spans="2:42" s="27" customFormat="1">
      <c r="B18" s="40">
        <v>13</v>
      </c>
      <c r="C18" s="98" t="s">
        <v>266</v>
      </c>
      <c r="D18" s="208" t="s">
        <v>267</v>
      </c>
      <c r="E18" s="209" t="s">
        <v>351</v>
      </c>
      <c r="F18" s="98" t="s">
        <v>268</v>
      </c>
      <c r="G18" s="107" t="s">
        <v>88</v>
      </c>
      <c r="H18" s="99" t="s">
        <v>38</v>
      </c>
      <c r="I18" s="100" t="s">
        <v>7</v>
      </c>
      <c r="J18" s="58" t="str">
        <f t="shared" si="1"/>
        <v>TER A</v>
      </c>
      <c r="K18" s="101">
        <f t="shared" si="2"/>
        <v>3639999.9</v>
      </c>
      <c r="L18" s="101">
        <f t="shared" si="9"/>
        <v>30575.999999999996</v>
      </c>
      <c r="M18" s="101">
        <f>'[26]MAINTENANCE-2'!AP23</f>
        <v>147480</v>
      </c>
      <c r="N18" s="101"/>
      <c r="O18" s="101"/>
      <c r="P18" s="101"/>
      <c r="Q18" s="101"/>
      <c r="R18" s="101"/>
      <c r="S18" s="101"/>
      <c r="T18" s="101">
        <f>'[26]MAINTENANCE-2'!X23</f>
        <v>67500</v>
      </c>
      <c r="U18" s="101"/>
      <c r="V18" s="101">
        <f>'[26]MAINTENANCE-2'!AH23</f>
        <v>0</v>
      </c>
      <c r="W18" s="101"/>
      <c r="X18" s="101">
        <f>'[26]MAINTENANCE-2'!AC23</f>
        <v>47000</v>
      </c>
      <c r="Y18" s="101"/>
      <c r="Z18" s="101"/>
      <c r="AA18" s="101"/>
      <c r="AB18" s="101"/>
      <c r="AC18" s="230">
        <v>0</v>
      </c>
      <c r="AD18" s="101"/>
      <c r="AE18" s="101"/>
      <c r="AF18" s="62">
        <f t="shared" si="10"/>
        <v>3932555</v>
      </c>
      <c r="AG18" s="63">
        <f t="shared" si="0"/>
        <v>0</v>
      </c>
      <c r="AH18" s="106">
        <f t="shared" si="3"/>
        <v>0</v>
      </c>
      <c r="AJ18" s="93">
        <f t="shared" si="4"/>
        <v>0</v>
      </c>
      <c r="AL18" s="206">
        <f>'[26]MAINTENANCE-2'!AK23</f>
        <v>3754499.9000000004</v>
      </c>
      <c r="AM18" s="207">
        <f t="shared" si="5"/>
        <v>3932555.9000000004</v>
      </c>
      <c r="AN18" s="151">
        <f t="shared" si="6"/>
        <v>0.90000000037252903</v>
      </c>
      <c r="AO18" s="93">
        <f t="shared" si="7"/>
        <v>3754499</v>
      </c>
      <c r="AP18" s="93">
        <f t="shared" si="8"/>
        <v>114500</v>
      </c>
    </row>
    <row r="19" spans="2:42" s="27" customFormat="1">
      <c r="B19" s="40">
        <v>14</v>
      </c>
      <c r="C19" s="98" t="s">
        <v>272</v>
      </c>
      <c r="D19" s="42" t="s">
        <v>273</v>
      </c>
      <c r="E19" s="43" t="s">
        <v>353</v>
      </c>
      <c r="F19" s="41" t="s">
        <v>274</v>
      </c>
      <c r="G19" s="107" t="s">
        <v>88</v>
      </c>
      <c r="H19" s="44" t="s">
        <v>38</v>
      </c>
      <c r="I19" s="45" t="s">
        <v>7</v>
      </c>
      <c r="J19" s="58" t="str">
        <f t="shared" si="1"/>
        <v>TER A</v>
      </c>
      <c r="K19" s="101">
        <f t="shared" si="2"/>
        <v>3639999.9</v>
      </c>
      <c r="L19" s="101">
        <f t="shared" si="9"/>
        <v>30575.999999999996</v>
      </c>
      <c r="M19" s="101">
        <f>'[26]MAINTENANCE-2'!AP24</f>
        <v>146680</v>
      </c>
      <c r="N19" s="101"/>
      <c r="O19" s="101"/>
      <c r="P19" s="101"/>
      <c r="Q19" s="46"/>
      <c r="R19" s="46"/>
      <c r="S19" s="46"/>
      <c r="T19" s="101">
        <f>'[26]MAINTENANCE-2'!X24</f>
        <v>67500</v>
      </c>
      <c r="U19" s="101"/>
      <c r="V19" s="101">
        <f>'[26]MAINTENANCE-2'!AH24</f>
        <v>0</v>
      </c>
      <c r="W19" s="46"/>
      <c r="X19" s="101">
        <f>'[26]MAINTENANCE-2'!AC24</f>
        <v>27000</v>
      </c>
      <c r="Y19" s="46"/>
      <c r="Z19" s="46"/>
      <c r="AA19" s="46"/>
      <c r="AB19" s="46"/>
      <c r="AC19" s="231">
        <v>0</v>
      </c>
      <c r="AD19" s="46"/>
      <c r="AE19" s="46"/>
      <c r="AF19" s="62">
        <f t="shared" si="10"/>
        <v>3911755</v>
      </c>
      <c r="AG19" s="63">
        <f t="shared" si="0"/>
        <v>0</v>
      </c>
      <c r="AH19" s="106">
        <f t="shared" si="3"/>
        <v>0</v>
      </c>
      <c r="AJ19" s="93">
        <f t="shared" si="4"/>
        <v>0</v>
      </c>
      <c r="AL19" s="206">
        <f>'[26]MAINTENANCE-2'!AK24</f>
        <v>3734499.9</v>
      </c>
      <c r="AM19" s="207">
        <f t="shared" si="5"/>
        <v>3911755.9</v>
      </c>
      <c r="AN19" s="151">
        <f t="shared" si="6"/>
        <v>0.89999999990686774</v>
      </c>
      <c r="AO19" s="93">
        <f t="shared" si="7"/>
        <v>3734499</v>
      </c>
      <c r="AP19" s="93">
        <f t="shared" si="8"/>
        <v>94500</v>
      </c>
    </row>
    <row r="20" spans="2:42" s="27" customFormat="1">
      <c r="B20" s="40">
        <v>15</v>
      </c>
      <c r="C20" s="98" t="s">
        <v>277</v>
      </c>
      <c r="D20" s="42" t="s">
        <v>278</v>
      </c>
      <c r="E20" s="43" t="s">
        <v>355</v>
      </c>
      <c r="F20" s="41" t="s">
        <v>279</v>
      </c>
      <c r="G20" s="107" t="s">
        <v>88</v>
      </c>
      <c r="H20" s="44" t="s">
        <v>38</v>
      </c>
      <c r="I20" s="45" t="s">
        <v>7</v>
      </c>
      <c r="J20" s="58" t="str">
        <f t="shared" si="1"/>
        <v>TER A</v>
      </c>
      <c r="K20" s="101">
        <f t="shared" si="2"/>
        <v>3639999.9</v>
      </c>
      <c r="L20" s="101">
        <f t="shared" si="9"/>
        <v>30575.999999999996</v>
      </c>
      <c r="M20" s="101">
        <f>'[26]MAINTENANCE-2'!AP25</f>
        <v>147620</v>
      </c>
      <c r="N20" s="101"/>
      <c r="O20" s="101"/>
      <c r="P20" s="101"/>
      <c r="Q20" s="46"/>
      <c r="R20" s="46"/>
      <c r="S20" s="46"/>
      <c r="T20" s="101">
        <f>'[26]MAINTENANCE-2'!X25</f>
        <v>65250</v>
      </c>
      <c r="U20" s="101"/>
      <c r="V20" s="101">
        <f>'[26]MAINTENANCE-2'!AH25</f>
        <v>0</v>
      </c>
      <c r="W20" s="46"/>
      <c r="X20" s="101">
        <f>'[26]MAINTENANCE-2'!AC25</f>
        <v>50500</v>
      </c>
      <c r="Y20" s="46"/>
      <c r="Z20" s="46"/>
      <c r="AA20" s="46"/>
      <c r="AB20" s="46"/>
      <c r="AC20" s="231">
        <v>-121333.33</v>
      </c>
      <c r="AD20" s="46"/>
      <c r="AE20" s="46"/>
      <c r="AF20" s="62">
        <f t="shared" si="10"/>
        <v>3812612</v>
      </c>
      <c r="AG20" s="63">
        <f t="shared" si="0"/>
        <v>0</v>
      </c>
      <c r="AH20" s="106">
        <f t="shared" si="3"/>
        <v>0</v>
      </c>
      <c r="AJ20" s="93">
        <f t="shared" si="4"/>
        <v>0</v>
      </c>
      <c r="AL20" s="206">
        <f>'[26]MAINTENANCE-2'!AK25</f>
        <v>3634416.5700000003</v>
      </c>
      <c r="AM20" s="207">
        <f t="shared" si="5"/>
        <v>3812612.5700000003</v>
      </c>
      <c r="AN20" s="151">
        <f t="shared" si="6"/>
        <v>0.57000000029802322</v>
      </c>
      <c r="AO20" s="93">
        <f t="shared" si="7"/>
        <v>3634416</v>
      </c>
      <c r="AP20" s="93">
        <f t="shared" si="8"/>
        <v>-5583.3300000000017</v>
      </c>
    </row>
    <row r="21" spans="2:42" s="27" customFormat="1">
      <c r="B21" s="40">
        <v>16</v>
      </c>
      <c r="C21" s="98" t="s">
        <v>286</v>
      </c>
      <c r="D21" s="42" t="s">
        <v>287</v>
      </c>
      <c r="E21" s="209" t="s">
        <v>73</v>
      </c>
      <c r="F21" s="41" t="s">
        <v>288</v>
      </c>
      <c r="G21" s="107" t="s">
        <v>88</v>
      </c>
      <c r="H21" s="44" t="s">
        <v>38</v>
      </c>
      <c r="I21" s="45" t="s">
        <v>7</v>
      </c>
      <c r="J21" s="58" t="str">
        <f t="shared" si="1"/>
        <v>TER A</v>
      </c>
      <c r="K21" s="101">
        <f t="shared" si="2"/>
        <v>3639999.9</v>
      </c>
      <c r="L21" s="101">
        <f t="shared" si="9"/>
        <v>30575.999999999996</v>
      </c>
      <c r="M21" s="101">
        <f>'[26]MAINTENANCE-2'!AP26</f>
        <v>146200</v>
      </c>
      <c r="N21" s="101"/>
      <c r="O21" s="101"/>
      <c r="P21" s="101"/>
      <c r="Q21" s="46"/>
      <c r="R21" s="46"/>
      <c r="S21" s="46"/>
      <c r="T21" s="101">
        <f>'[26]MAINTENANCE-2'!X26</f>
        <v>67500</v>
      </c>
      <c r="U21" s="101"/>
      <c r="V21" s="101">
        <f>'[26]MAINTENANCE-2'!AH26</f>
        <v>0</v>
      </c>
      <c r="W21" s="46"/>
      <c r="X21" s="101">
        <f>'[26]MAINTENANCE-2'!AC26</f>
        <v>15000</v>
      </c>
      <c r="Y21" s="46"/>
      <c r="Z21" s="46"/>
      <c r="AA21" s="46"/>
      <c r="AB21" s="46"/>
      <c r="AC21" s="231">
        <v>0</v>
      </c>
      <c r="AD21" s="46"/>
      <c r="AE21" s="46"/>
      <c r="AF21" s="62">
        <f t="shared" si="10"/>
        <v>3899275</v>
      </c>
      <c r="AG21" s="63">
        <f t="shared" si="0"/>
        <v>0</v>
      </c>
      <c r="AH21" s="106">
        <f t="shared" si="3"/>
        <v>0</v>
      </c>
      <c r="AJ21" s="93">
        <f t="shared" si="4"/>
        <v>0</v>
      </c>
      <c r="AL21" s="206">
        <f>'[26]MAINTENANCE-2'!AK26</f>
        <v>3722499.9000000004</v>
      </c>
      <c r="AM21" s="207">
        <f t="shared" si="5"/>
        <v>3899275.9000000004</v>
      </c>
      <c r="AN21" s="151">
        <f t="shared" si="6"/>
        <v>0.90000000037252903</v>
      </c>
      <c r="AO21" s="93">
        <f t="shared" si="7"/>
        <v>3722499</v>
      </c>
      <c r="AP21" s="93">
        <f t="shared" si="8"/>
        <v>82500</v>
      </c>
    </row>
    <row r="22" spans="2:42" s="27" customFormat="1">
      <c r="B22" s="40">
        <v>17</v>
      </c>
      <c r="C22" s="98" t="s">
        <v>289</v>
      </c>
      <c r="D22" s="42" t="s">
        <v>290</v>
      </c>
      <c r="E22" s="209" t="s">
        <v>73</v>
      </c>
      <c r="F22" s="41" t="s">
        <v>291</v>
      </c>
      <c r="G22" s="107" t="s">
        <v>88</v>
      </c>
      <c r="H22" s="44" t="s">
        <v>38</v>
      </c>
      <c r="I22" s="45" t="s">
        <v>7</v>
      </c>
      <c r="J22" s="58" t="str">
        <f t="shared" si="1"/>
        <v>TER A</v>
      </c>
      <c r="K22" s="101">
        <f t="shared" si="2"/>
        <v>3639999.9</v>
      </c>
      <c r="L22" s="101">
        <f t="shared" si="9"/>
        <v>30575.999999999996</v>
      </c>
      <c r="M22" s="101">
        <f>'[26]MAINTENANCE-2'!AP27</f>
        <v>146200</v>
      </c>
      <c r="N22" s="101"/>
      <c r="O22" s="101"/>
      <c r="P22" s="101"/>
      <c r="Q22" s="46"/>
      <c r="R22" s="46"/>
      <c r="S22" s="46"/>
      <c r="T22" s="101">
        <f>'[26]MAINTENANCE-2'!X27</f>
        <v>67500</v>
      </c>
      <c r="U22" s="101"/>
      <c r="V22" s="101">
        <f>'[26]MAINTENANCE-2'!AH27</f>
        <v>0</v>
      </c>
      <c r="W22" s="46"/>
      <c r="X22" s="101">
        <f>'[26]MAINTENANCE-2'!AC27</f>
        <v>15000</v>
      </c>
      <c r="Y22" s="46"/>
      <c r="Z22" s="46"/>
      <c r="AA22" s="46"/>
      <c r="AB22" s="46"/>
      <c r="AC22" s="231">
        <v>0</v>
      </c>
      <c r="AD22" s="46"/>
      <c r="AE22" s="46"/>
      <c r="AF22" s="62">
        <f t="shared" si="10"/>
        <v>3899275</v>
      </c>
      <c r="AG22" s="63">
        <f t="shared" si="0"/>
        <v>0</v>
      </c>
      <c r="AH22" s="106">
        <f t="shared" si="3"/>
        <v>0</v>
      </c>
      <c r="AJ22" s="93">
        <f t="shared" si="4"/>
        <v>0</v>
      </c>
      <c r="AL22" s="206">
        <f>'[26]MAINTENANCE-2'!AK27</f>
        <v>3722499.9000000004</v>
      </c>
      <c r="AM22" s="207">
        <f t="shared" si="5"/>
        <v>3899275.9000000004</v>
      </c>
      <c r="AN22" s="151">
        <f t="shared" si="6"/>
        <v>0.90000000037252903</v>
      </c>
      <c r="AO22" s="93">
        <f t="shared" si="7"/>
        <v>3722499</v>
      </c>
      <c r="AP22" s="93">
        <f t="shared" si="8"/>
        <v>82500</v>
      </c>
    </row>
    <row r="23" spans="2:42" s="27" customFormat="1">
      <c r="B23" s="40">
        <v>18</v>
      </c>
      <c r="C23" s="98" t="s">
        <v>292</v>
      </c>
      <c r="D23" s="42" t="s">
        <v>293</v>
      </c>
      <c r="E23" s="43" t="s">
        <v>359</v>
      </c>
      <c r="F23" s="41" t="s">
        <v>294</v>
      </c>
      <c r="G23" s="107" t="s">
        <v>88</v>
      </c>
      <c r="H23" s="44" t="s">
        <v>38</v>
      </c>
      <c r="I23" s="45" t="s">
        <v>7</v>
      </c>
      <c r="J23" s="58" t="str">
        <f t="shared" si="1"/>
        <v>TER A</v>
      </c>
      <c r="K23" s="101">
        <f t="shared" si="2"/>
        <v>3639999.9</v>
      </c>
      <c r="L23" s="101">
        <f t="shared" si="9"/>
        <v>30575.999999999996</v>
      </c>
      <c r="M23" s="101">
        <f>'[26]MAINTENANCE-2'!AP28</f>
        <v>146200</v>
      </c>
      <c r="N23" s="101"/>
      <c r="O23" s="101"/>
      <c r="P23" s="101"/>
      <c r="Q23" s="46"/>
      <c r="R23" s="46"/>
      <c r="S23" s="46"/>
      <c r="T23" s="101">
        <f>'[26]MAINTENANCE-2'!X28</f>
        <v>67500</v>
      </c>
      <c r="U23" s="101"/>
      <c r="V23" s="101">
        <f>'[26]MAINTENANCE-2'!AH28</f>
        <v>0</v>
      </c>
      <c r="W23" s="46"/>
      <c r="X23" s="101">
        <f>'[26]MAINTENANCE-2'!AC28</f>
        <v>15000</v>
      </c>
      <c r="Y23" s="46"/>
      <c r="Z23" s="46"/>
      <c r="AA23" s="46"/>
      <c r="AB23" s="46"/>
      <c r="AC23" s="231">
        <v>0</v>
      </c>
      <c r="AD23" s="46"/>
      <c r="AE23" s="46"/>
      <c r="AF23" s="62">
        <f t="shared" si="10"/>
        <v>3899275</v>
      </c>
      <c r="AG23" s="63">
        <f t="shared" si="0"/>
        <v>0</v>
      </c>
      <c r="AH23" s="106">
        <f t="shared" si="3"/>
        <v>0</v>
      </c>
      <c r="AJ23" s="93">
        <f t="shared" si="4"/>
        <v>0</v>
      </c>
      <c r="AL23" s="206">
        <f>'[26]MAINTENANCE-2'!AK28</f>
        <v>3722499.9000000004</v>
      </c>
      <c r="AM23" s="207">
        <f t="shared" si="5"/>
        <v>3899275.9000000004</v>
      </c>
      <c r="AN23" s="151">
        <f t="shared" si="6"/>
        <v>0.90000000037252903</v>
      </c>
      <c r="AO23" s="93">
        <f t="shared" si="7"/>
        <v>3722499</v>
      </c>
      <c r="AP23" s="93">
        <f t="shared" si="8"/>
        <v>82500</v>
      </c>
    </row>
    <row r="24" spans="2:42" s="27" customFormat="1">
      <c r="B24" s="40">
        <v>19</v>
      </c>
      <c r="C24" s="98" t="s">
        <v>295</v>
      </c>
      <c r="D24" s="42" t="s">
        <v>296</v>
      </c>
      <c r="E24" s="43" t="s">
        <v>360</v>
      </c>
      <c r="F24" s="41" t="s">
        <v>297</v>
      </c>
      <c r="G24" s="107" t="s">
        <v>88</v>
      </c>
      <c r="H24" s="44" t="s">
        <v>39</v>
      </c>
      <c r="I24" s="45" t="s">
        <v>17</v>
      </c>
      <c r="J24" s="58" t="str">
        <f t="shared" si="1"/>
        <v>TER A</v>
      </c>
      <c r="K24" s="101">
        <f t="shared" si="2"/>
        <v>3639999.9</v>
      </c>
      <c r="L24" s="101">
        <f t="shared" si="9"/>
        <v>30575.999999999996</v>
      </c>
      <c r="M24" s="101">
        <f>'[26]MAINTENANCE-2'!AP29</f>
        <v>146920</v>
      </c>
      <c r="N24" s="101"/>
      <c r="O24" s="101"/>
      <c r="P24" s="101"/>
      <c r="Q24" s="46"/>
      <c r="R24" s="46"/>
      <c r="S24" s="46"/>
      <c r="T24" s="101">
        <f>'[26]MAINTENANCE-2'!X29</f>
        <v>108000</v>
      </c>
      <c r="U24" s="101"/>
      <c r="V24" s="101">
        <f>'[26]MAINTENANCE-2'!AH29</f>
        <v>0</v>
      </c>
      <c r="W24" s="46"/>
      <c r="X24" s="101">
        <f>'[26]MAINTENANCE-2'!AC29</f>
        <v>33000</v>
      </c>
      <c r="Y24" s="46"/>
      <c r="Z24" s="46"/>
      <c r="AA24" s="46"/>
      <c r="AB24" s="46"/>
      <c r="AC24" s="231">
        <v>0</v>
      </c>
      <c r="AD24" s="46"/>
      <c r="AE24" s="46"/>
      <c r="AF24" s="62">
        <f t="shared" si="10"/>
        <v>3958495</v>
      </c>
      <c r="AG24" s="63">
        <f t="shared" si="0"/>
        <v>0</v>
      </c>
      <c r="AH24" s="106">
        <f t="shared" si="3"/>
        <v>0</v>
      </c>
      <c r="AJ24" s="93">
        <f t="shared" si="4"/>
        <v>0</v>
      </c>
      <c r="AL24" s="206">
        <f>'[26]MAINTENANCE-2'!AK29</f>
        <v>3780999.9000000004</v>
      </c>
      <c r="AM24" s="207">
        <f t="shared" si="5"/>
        <v>3958495.9000000004</v>
      </c>
      <c r="AN24" s="151">
        <f t="shared" si="6"/>
        <v>0.90000000037252903</v>
      </c>
      <c r="AO24" s="93">
        <f t="shared" si="7"/>
        <v>3780999</v>
      </c>
      <c r="AP24" s="93">
        <f t="shared" si="8"/>
        <v>141000</v>
      </c>
    </row>
    <row r="25" spans="2:42" s="27" customFormat="1">
      <c r="B25" s="40">
        <v>20</v>
      </c>
      <c r="C25" s="98" t="s">
        <v>298</v>
      </c>
      <c r="D25" s="42" t="s">
        <v>299</v>
      </c>
      <c r="E25" s="43" t="s">
        <v>361</v>
      </c>
      <c r="F25" s="41" t="s">
        <v>300</v>
      </c>
      <c r="G25" s="107" t="s">
        <v>88</v>
      </c>
      <c r="H25" s="44" t="s">
        <v>38</v>
      </c>
      <c r="I25" s="45" t="s">
        <v>7</v>
      </c>
      <c r="J25" s="58" t="str">
        <f t="shared" si="1"/>
        <v>TER A</v>
      </c>
      <c r="K25" s="101">
        <f t="shared" si="2"/>
        <v>3639999.9</v>
      </c>
      <c r="L25" s="101">
        <f t="shared" si="9"/>
        <v>30575.999999999996</v>
      </c>
      <c r="M25" s="101">
        <f>'[26]MAINTENANCE-2'!AP30</f>
        <v>147480</v>
      </c>
      <c r="N25" s="101"/>
      <c r="O25" s="101"/>
      <c r="P25" s="101"/>
      <c r="Q25" s="46"/>
      <c r="R25" s="46"/>
      <c r="S25" s="46"/>
      <c r="T25" s="101">
        <f>'[26]MAINTENANCE-2'!X30</f>
        <v>67500</v>
      </c>
      <c r="U25" s="101"/>
      <c r="V25" s="101">
        <f>'[26]MAINTENANCE-2'!AH30</f>
        <v>0</v>
      </c>
      <c r="W25" s="46"/>
      <c r="X25" s="101">
        <f>'[26]MAINTENANCE-2'!AC30</f>
        <v>47000</v>
      </c>
      <c r="Y25" s="46"/>
      <c r="Z25" s="46"/>
      <c r="AA25" s="46"/>
      <c r="AB25" s="46"/>
      <c r="AC25" s="231">
        <v>0</v>
      </c>
      <c r="AD25" s="46"/>
      <c r="AE25" s="46"/>
      <c r="AF25" s="62">
        <f t="shared" si="10"/>
        <v>3932555</v>
      </c>
      <c r="AG25" s="63">
        <f t="shared" si="0"/>
        <v>0</v>
      </c>
      <c r="AH25" s="106">
        <f t="shared" si="3"/>
        <v>0</v>
      </c>
      <c r="AJ25" s="93">
        <f t="shared" si="4"/>
        <v>0</v>
      </c>
      <c r="AL25" s="206">
        <f>'[26]MAINTENANCE-2'!AK30</f>
        <v>3754499.9000000004</v>
      </c>
      <c r="AM25" s="207">
        <f t="shared" si="5"/>
        <v>3932555.9000000004</v>
      </c>
      <c r="AN25" s="151">
        <f t="shared" si="6"/>
        <v>0.90000000037252903</v>
      </c>
      <c r="AO25" s="93">
        <f t="shared" si="7"/>
        <v>3754499</v>
      </c>
      <c r="AP25" s="93">
        <f t="shared" si="8"/>
        <v>114500</v>
      </c>
    </row>
    <row r="26" spans="2:42" s="27" customFormat="1">
      <c r="B26" s="40">
        <v>21</v>
      </c>
      <c r="C26" s="98" t="s">
        <v>301</v>
      </c>
      <c r="D26" s="42" t="s">
        <v>302</v>
      </c>
      <c r="E26" s="43" t="s">
        <v>362</v>
      </c>
      <c r="F26" s="41" t="s">
        <v>303</v>
      </c>
      <c r="G26" s="107" t="s">
        <v>88</v>
      </c>
      <c r="H26" s="44" t="s">
        <v>39</v>
      </c>
      <c r="I26" s="45" t="s">
        <v>11</v>
      </c>
      <c r="J26" s="58" t="str">
        <f t="shared" si="1"/>
        <v>TER B</v>
      </c>
      <c r="K26" s="101">
        <f t="shared" si="2"/>
        <v>3639999.9</v>
      </c>
      <c r="L26" s="101">
        <f t="shared" si="9"/>
        <v>30575.999999999996</v>
      </c>
      <c r="M26" s="101">
        <f>'[26]MAINTENANCE-2'!AP31</f>
        <v>147480</v>
      </c>
      <c r="N26" s="101"/>
      <c r="O26" s="101"/>
      <c r="P26" s="101"/>
      <c r="Q26" s="46"/>
      <c r="R26" s="46"/>
      <c r="S26" s="46"/>
      <c r="T26" s="101">
        <f>'[26]MAINTENANCE-2'!X31</f>
        <v>145800</v>
      </c>
      <c r="U26" s="101"/>
      <c r="V26" s="101">
        <f>'[26]MAINTENANCE-2'!AH31</f>
        <v>0</v>
      </c>
      <c r="W26" s="46"/>
      <c r="X26" s="101">
        <f>'[26]MAINTENANCE-2'!AC31</f>
        <v>47000</v>
      </c>
      <c r="Y26" s="46"/>
      <c r="Z26" s="46"/>
      <c r="AA26" s="46"/>
      <c r="AB26" s="46"/>
      <c r="AC26" s="231">
        <v>-363999.99</v>
      </c>
      <c r="AD26" s="46"/>
      <c r="AE26" s="46"/>
      <c r="AF26" s="62">
        <f t="shared" si="10"/>
        <v>3646855</v>
      </c>
      <c r="AG26" s="63">
        <f t="shared" si="0"/>
        <v>0</v>
      </c>
      <c r="AH26" s="106">
        <f t="shared" si="3"/>
        <v>0</v>
      </c>
      <c r="AJ26" s="93">
        <f t="shared" si="4"/>
        <v>0</v>
      </c>
      <c r="AL26" s="206">
        <f>'[26]MAINTENANCE-2'!AK31</f>
        <v>3468799.91</v>
      </c>
      <c r="AM26" s="207">
        <f t="shared" si="5"/>
        <v>3646855.91</v>
      </c>
      <c r="AN26" s="151">
        <f t="shared" si="6"/>
        <v>0.91000000014901161</v>
      </c>
      <c r="AO26" s="93">
        <f t="shared" si="7"/>
        <v>3468799</v>
      </c>
      <c r="AP26" s="93">
        <f t="shared" si="8"/>
        <v>-171199.99</v>
      </c>
    </row>
    <row r="27" spans="2:42" s="27" customFormat="1">
      <c r="B27" s="40">
        <v>22</v>
      </c>
      <c r="C27" s="98" t="s">
        <v>304</v>
      </c>
      <c r="D27" s="42" t="s">
        <v>305</v>
      </c>
      <c r="E27" s="209" t="s">
        <v>73</v>
      </c>
      <c r="F27" s="41" t="s">
        <v>306</v>
      </c>
      <c r="G27" s="107" t="s">
        <v>88</v>
      </c>
      <c r="H27" s="44" t="s">
        <v>39</v>
      </c>
      <c r="I27" s="45" t="s">
        <v>11</v>
      </c>
      <c r="J27" s="58" t="str">
        <f t="shared" si="1"/>
        <v>TER B</v>
      </c>
      <c r="K27" s="101">
        <f t="shared" si="2"/>
        <v>3639999.9</v>
      </c>
      <c r="L27" s="101">
        <f t="shared" si="9"/>
        <v>30575.999999999996</v>
      </c>
      <c r="M27" s="101">
        <f>'[26]MAINTENANCE-2'!AP32</f>
        <v>146560</v>
      </c>
      <c r="N27" s="101"/>
      <c r="O27" s="101"/>
      <c r="P27" s="101"/>
      <c r="Q27" s="46"/>
      <c r="R27" s="46"/>
      <c r="S27" s="46"/>
      <c r="T27" s="101">
        <f>'[26]MAINTENANCE-2'!X32</f>
        <v>156600</v>
      </c>
      <c r="U27" s="101"/>
      <c r="V27" s="101">
        <f>'[26]MAINTENANCE-2'!AH32</f>
        <v>0</v>
      </c>
      <c r="W27" s="46"/>
      <c r="X27" s="101">
        <f>'[26]MAINTENANCE-2'!AC32</f>
        <v>24000</v>
      </c>
      <c r="Y27" s="46"/>
      <c r="Z27" s="46"/>
      <c r="AA27" s="46"/>
      <c r="AB27" s="46"/>
      <c r="AC27" s="231">
        <v>-121333.33</v>
      </c>
      <c r="AD27" s="46"/>
      <c r="AE27" s="46"/>
      <c r="AF27" s="62">
        <f t="shared" si="10"/>
        <v>3876402</v>
      </c>
      <c r="AG27" s="63">
        <f t="shared" si="0"/>
        <v>0</v>
      </c>
      <c r="AH27" s="106">
        <f t="shared" si="3"/>
        <v>0</v>
      </c>
      <c r="AJ27" s="93">
        <f t="shared" si="4"/>
        <v>0</v>
      </c>
      <c r="AL27" s="206">
        <f>'[26]MAINTENANCE-2'!AK32</f>
        <v>3699266.5700000003</v>
      </c>
      <c r="AM27" s="207">
        <f t="shared" si="5"/>
        <v>3876402.5700000003</v>
      </c>
      <c r="AN27" s="151">
        <f t="shared" si="6"/>
        <v>0.57000000029802322</v>
      </c>
      <c r="AO27" s="93">
        <f t="shared" si="7"/>
        <v>3699266</v>
      </c>
      <c r="AP27" s="93">
        <f t="shared" si="8"/>
        <v>59266.67</v>
      </c>
    </row>
    <row r="28" spans="2:42" s="27" customFormat="1">
      <c r="B28" s="40">
        <v>23</v>
      </c>
      <c r="C28" s="98" t="s">
        <v>307</v>
      </c>
      <c r="D28" s="42" t="s">
        <v>308</v>
      </c>
      <c r="E28" s="43" t="s">
        <v>363</v>
      </c>
      <c r="F28" s="41" t="s">
        <v>309</v>
      </c>
      <c r="G28" s="107" t="s">
        <v>88</v>
      </c>
      <c r="H28" s="44" t="s">
        <v>38</v>
      </c>
      <c r="I28" s="45" t="s">
        <v>7</v>
      </c>
      <c r="J28" s="58" t="str">
        <f t="shared" si="1"/>
        <v>TER A</v>
      </c>
      <c r="K28" s="101">
        <f t="shared" si="2"/>
        <v>3639999.9</v>
      </c>
      <c r="L28" s="101">
        <f t="shared" si="9"/>
        <v>30575.999999999996</v>
      </c>
      <c r="M28" s="101">
        <f>'[26]MAINTENANCE-2'!AP33</f>
        <v>146320</v>
      </c>
      <c r="N28" s="101"/>
      <c r="O28" s="101"/>
      <c r="P28" s="101"/>
      <c r="Q28" s="46"/>
      <c r="R28" s="46"/>
      <c r="S28" s="46"/>
      <c r="T28" s="101">
        <f>'[26]MAINTENANCE-2'!X33</f>
        <v>67500</v>
      </c>
      <c r="U28" s="101"/>
      <c r="V28" s="101">
        <f>'[26]MAINTENANCE-2'!AH33</f>
        <v>0</v>
      </c>
      <c r="W28" s="46"/>
      <c r="X28" s="101">
        <f>'[26]MAINTENANCE-2'!AC33</f>
        <v>18000</v>
      </c>
      <c r="Y28" s="46"/>
      <c r="Z28" s="46"/>
      <c r="AA28" s="46"/>
      <c r="AB28" s="46"/>
      <c r="AC28" s="231">
        <v>0</v>
      </c>
      <c r="AD28" s="46"/>
      <c r="AE28" s="46"/>
      <c r="AF28" s="62">
        <f t="shared" si="10"/>
        <v>3902395</v>
      </c>
      <c r="AG28" s="63">
        <f t="shared" si="0"/>
        <v>0</v>
      </c>
      <c r="AH28" s="106">
        <f t="shared" si="3"/>
        <v>0</v>
      </c>
      <c r="AJ28" s="93">
        <f t="shared" si="4"/>
        <v>0</v>
      </c>
      <c r="AL28" s="206">
        <f>'[26]MAINTENANCE-2'!AK33</f>
        <v>3725499.9000000004</v>
      </c>
      <c r="AM28" s="207">
        <f t="shared" si="5"/>
        <v>3902395.9000000004</v>
      </c>
      <c r="AN28" s="151">
        <f t="shared" si="6"/>
        <v>0.90000000037252903</v>
      </c>
      <c r="AO28" s="93">
        <f t="shared" si="7"/>
        <v>3725499</v>
      </c>
      <c r="AP28" s="93">
        <f t="shared" si="8"/>
        <v>85500</v>
      </c>
    </row>
    <row r="29" spans="2:42" s="27" customFormat="1">
      <c r="B29" s="40">
        <v>24</v>
      </c>
      <c r="C29" s="98" t="s">
        <v>397</v>
      </c>
      <c r="D29" s="235" t="s">
        <v>398</v>
      </c>
      <c r="E29" s="209" t="s">
        <v>73</v>
      </c>
      <c r="F29" s="41" t="s">
        <v>399</v>
      </c>
      <c r="G29" s="107" t="s">
        <v>88</v>
      </c>
      <c r="H29" s="44" t="s">
        <v>39</v>
      </c>
      <c r="I29" s="45" t="s">
        <v>7</v>
      </c>
      <c r="J29" s="58" t="str">
        <f t="shared" si="1"/>
        <v>TER A</v>
      </c>
      <c r="K29" s="101">
        <f t="shared" si="2"/>
        <v>3639999.9</v>
      </c>
      <c r="L29" s="101">
        <f t="shared" si="9"/>
        <v>30575.999999999996</v>
      </c>
      <c r="M29" s="101">
        <f>'[26]MAINTENANCE-2'!AP34</f>
        <v>145700</v>
      </c>
      <c r="N29" s="101"/>
      <c r="O29" s="101"/>
      <c r="P29" s="101"/>
      <c r="Q29" s="46"/>
      <c r="R29" s="101"/>
      <c r="S29" s="101"/>
      <c r="T29" s="101">
        <f>'[26]MAINTENANCE-2'!X34</f>
        <v>60750</v>
      </c>
      <c r="U29" s="101"/>
      <c r="V29" s="101">
        <f>'[26]MAINTENANCE-2'!AH34</f>
        <v>0</v>
      </c>
      <c r="W29" s="46"/>
      <c r="X29" s="101">
        <f>'[26]MAINTENANCE-2'!AC34</f>
        <v>2500</v>
      </c>
      <c r="Y29" s="46"/>
      <c r="Z29" s="46"/>
      <c r="AA29" s="46"/>
      <c r="AB29" s="46"/>
      <c r="AC29" s="231">
        <v>-363999.99</v>
      </c>
      <c r="AD29" s="46"/>
      <c r="AE29" s="46"/>
      <c r="AF29" s="62">
        <f t="shared" si="10"/>
        <v>3515525</v>
      </c>
      <c r="AG29" s="63">
        <f t="shared" si="0"/>
        <v>0</v>
      </c>
      <c r="AH29" s="106">
        <f t="shared" si="3"/>
        <v>0</v>
      </c>
      <c r="AJ29" s="93"/>
      <c r="AL29" s="206">
        <f>'[26]MAINTENANCE-2'!AK34</f>
        <v>3339249.91</v>
      </c>
      <c r="AM29" s="207">
        <f t="shared" si="5"/>
        <v>3515525.91</v>
      </c>
      <c r="AN29" s="151">
        <f t="shared" si="6"/>
        <v>0.91000000014901161</v>
      </c>
      <c r="AO29" s="93">
        <f t="shared" si="7"/>
        <v>3339249</v>
      </c>
      <c r="AP29" s="93">
        <f t="shared" si="8"/>
        <v>-300749.99</v>
      </c>
    </row>
    <row r="30" spans="2:42" s="27" customFormat="1">
      <c r="B30" s="40">
        <v>25</v>
      </c>
      <c r="C30" s="98" t="s">
        <v>400</v>
      </c>
      <c r="D30" s="235" t="s">
        <v>401</v>
      </c>
      <c r="E30" s="43" t="s">
        <v>402</v>
      </c>
      <c r="F30" s="41" t="s">
        <v>403</v>
      </c>
      <c r="G30" s="107" t="s">
        <v>88</v>
      </c>
      <c r="H30" s="44" t="s">
        <v>39</v>
      </c>
      <c r="I30" s="45" t="s">
        <v>9</v>
      </c>
      <c r="J30" s="58" t="str">
        <f t="shared" si="1"/>
        <v>TER B</v>
      </c>
      <c r="K30" s="101">
        <f t="shared" si="2"/>
        <v>3639999.9</v>
      </c>
      <c r="L30" s="101">
        <f t="shared" si="9"/>
        <v>30575.999999999996</v>
      </c>
      <c r="M30" s="101">
        <f>'[26]MAINTENANCE-2'!AP35</f>
        <v>146560</v>
      </c>
      <c r="N30" s="101"/>
      <c r="O30" s="101"/>
      <c r="P30" s="101"/>
      <c r="Q30" s="46"/>
      <c r="R30" s="101"/>
      <c r="S30" s="101"/>
      <c r="T30" s="101">
        <f>'[26]MAINTENANCE-2'!X35</f>
        <v>126000</v>
      </c>
      <c r="U30" s="101"/>
      <c r="V30" s="101">
        <f>'[26]MAINTENANCE-2'!AH35</f>
        <v>0</v>
      </c>
      <c r="W30" s="46"/>
      <c r="X30" s="101">
        <f>'[26]MAINTENANCE-2'!AC35</f>
        <v>24000</v>
      </c>
      <c r="Y30" s="46"/>
      <c r="Z30" s="46"/>
      <c r="AA30" s="46"/>
      <c r="AB30" s="46"/>
      <c r="AC30" s="231">
        <v>-242666.66</v>
      </c>
      <c r="AD30" s="46"/>
      <c r="AE30" s="46"/>
      <c r="AF30" s="62">
        <f t="shared" si="10"/>
        <v>3724469</v>
      </c>
      <c r="AG30" s="63">
        <f t="shared" si="0"/>
        <v>0</v>
      </c>
      <c r="AH30" s="106">
        <f t="shared" si="3"/>
        <v>0</v>
      </c>
      <c r="AJ30" s="93"/>
      <c r="AL30" s="206">
        <f>'[26]MAINTENANCE-2'!AK35</f>
        <v>3547333.24</v>
      </c>
      <c r="AM30" s="207">
        <f t="shared" si="5"/>
        <v>3724469.24</v>
      </c>
      <c r="AN30" s="151">
        <f t="shared" si="6"/>
        <v>0.24000000022351742</v>
      </c>
      <c r="AO30" s="93">
        <f t="shared" si="7"/>
        <v>3547333</v>
      </c>
      <c r="AP30" s="93">
        <f t="shared" si="8"/>
        <v>-92666.66</v>
      </c>
    </row>
    <row r="31" spans="2:42" s="27" customFormat="1">
      <c r="B31" s="40">
        <v>26</v>
      </c>
      <c r="C31" s="98" t="s">
        <v>408</v>
      </c>
      <c r="D31" s="42" t="s">
        <v>409</v>
      </c>
      <c r="E31" s="43" t="s">
        <v>410</v>
      </c>
      <c r="F31" s="41" t="s">
        <v>411</v>
      </c>
      <c r="G31" s="107" t="s">
        <v>88</v>
      </c>
      <c r="H31" s="44" t="s">
        <v>39</v>
      </c>
      <c r="I31" s="45" t="s">
        <v>11</v>
      </c>
      <c r="J31" s="58" t="str">
        <f t="shared" si="1"/>
        <v>TER B</v>
      </c>
      <c r="K31" s="101">
        <f t="shared" si="2"/>
        <v>3639999.9</v>
      </c>
      <c r="L31" s="101">
        <f t="shared" si="9"/>
        <v>30575.999999999996</v>
      </c>
      <c r="M31" s="101">
        <f>'[26]MAINTENANCE-2'!AP36</f>
        <v>146920</v>
      </c>
      <c r="N31" s="101"/>
      <c r="O31" s="101"/>
      <c r="P31" s="101"/>
      <c r="Q31" s="46"/>
      <c r="R31" s="101"/>
      <c r="S31" s="101"/>
      <c r="T31" s="46">
        <f>'[26]MAINTENANCE-2'!X36</f>
        <v>151200</v>
      </c>
      <c r="U31" s="101"/>
      <c r="V31" s="101">
        <f>'[26]MAINTENANCE-2'!AH36</f>
        <v>0</v>
      </c>
      <c r="W31" s="46"/>
      <c r="X31" s="101">
        <f>'[26]MAINTENANCE-2'!AC36</f>
        <v>33000</v>
      </c>
      <c r="Y31" s="46"/>
      <c r="Z31" s="46"/>
      <c r="AA31" s="46"/>
      <c r="AB31" s="46"/>
      <c r="AC31" s="231">
        <v>-242666.66</v>
      </c>
      <c r="AD31" s="46"/>
      <c r="AE31" s="46"/>
      <c r="AF31" s="62">
        <f t="shared" si="10"/>
        <v>3759029</v>
      </c>
      <c r="AG31" s="63">
        <f t="shared" si="0"/>
        <v>0</v>
      </c>
      <c r="AH31" s="106">
        <f t="shared" si="3"/>
        <v>0</v>
      </c>
      <c r="AJ31" s="93"/>
      <c r="AL31" s="206">
        <f>'[26]MAINTENANCE-2'!AK36</f>
        <v>3581533.24</v>
      </c>
      <c r="AM31" s="207">
        <f t="shared" si="5"/>
        <v>3759029.24</v>
      </c>
      <c r="AN31" s="151">
        <f t="shared" si="6"/>
        <v>0.24000000022351742</v>
      </c>
      <c r="AO31" s="93">
        <f t="shared" si="7"/>
        <v>3581533</v>
      </c>
      <c r="AP31" s="93">
        <f t="shared" si="8"/>
        <v>-58466.66</v>
      </c>
    </row>
    <row r="32" spans="2:42" s="27" customFormat="1">
      <c r="B32" s="40">
        <v>27</v>
      </c>
      <c r="C32" s="98" t="s">
        <v>412</v>
      </c>
      <c r="D32" s="42" t="s">
        <v>413</v>
      </c>
      <c r="E32" s="43" t="s">
        <v>414</v>
      </c>
      <c r="F32" s="41" t="s">
        <v>415</v>
      </c>
      <c r="G32" s="107" t="s">
        <v>88</v>
      </c>
      <c r="H32" s="44" t="s">
        <v>39</v>
      </c>
      <c r="I32" s="45" t="s">
        <v>9</v>
      </c>
      <c r="J32" s="58" t="str">
        <f t="shared" si="1"/>
        <v>TER B</v>
      </c>
      <c r="K32" s="101">
        <f t="shared" si="2"/>
        <v>3639999.9</v>
      </c>
      <c r="L32" s="101">
        <f t="shared" si="9"/>
        <v>30575.999999999996</v>
      </c>
      <c r="M32" s="101">
        <f>'[26]MAINTENANCE-2'!AP37</f>
        <v>147480</v>
      </c>
      <c r="N32" s="101"/>
      <c r="O32" s="101"/>
      <c r="P32" s="101"/>
      <c r="Q32" s="46"/>
      <c r="R32" s="101"/>
      <c r="S32" s="101"/>
      <c r="T32" s="101">
        <f>'[26]MAINTENANCE-2'!X37</f>
        <v>156600</v>
      </c>
      <c r="U32" s="101"/>
      <c r="V32" s="101">
        <f>'[26]MAINTENANCE-2'!AH37</f>
        <v>0</v>
      </c>
      <c r="W32" s="46"/>
      <c r="X32" s="101">
        <f>'[26]MAINTENANCE-2'!AC37</f>
        <v>47000</v>
      </c>
      <c r="Y32" s="46"/>
      <c r="Z32" s="46"/>
      <c r="AA32" s="46"/>
      <c r="AB32" s="46"/>
      <c r="AC32" s="231">
        <v>-121333.33</v>
      </c>
      <c r="AD32" s="46"/>
      <c r="AE32" s="46"/>
      <c r="AF32" s="62">
        <f t="shared" si="10"/>
        <v>3900322</v>
      </c>
      <c r="AG32" s="63">
        <f t="shared" si="0"/>
        <v>0</v>
      </c>
      <c r="AH32" s="106">
        <f t="shared" si="3"/>
        <v>0</v>
      </c>
      <c r="AJ32" s="93"/>
      <c r="AL32" s="206">
        <f>'[26]MAINTENANCE-2'!AK37</f>
        <v>3722266.5700000003</v>
      </c>
      <c r="AM32" s="207">
        <f t="shared" si="5"/>
        <v>3900322.5700000003</v>
      </c>
      <c r="AN32" s="151">
        <f t="shared" si="6"/>
        <v>0.57000000029802322</v>
      </c>
      <c r="AO32" s="93">
        <f t="shared" si="7"/>
        <v>3722266</v>
      </c>
      <c r="AP32" s="93">
        <f t="shared" si="8"/>
        <v>82266.67</v>
      </c>
    </row>
    <row r="33" spans="2:42" s="27" customFormat="1">
      <c r="B33" s="40">
        <v>28</v>
      </c>
      <c r="C33" s="98" t="s">
        <v>316</v>
      </c>
      <c r="D33" s="42" t="s">
        <v>317</v>
      </c>
      <c r="E33" s="43" t="s">
        <v>370</v>
      </c>
      <c r="F33" s="41" t="s">
        <v>318</v>
      </c>
      <c r="G33" s="107" t="s">
        <v>87</v>
      </c>
      <c r="H33" s="44" t="s">
        <v>39</v>
      </c>
      <c r="I33" s="45" t="s">
        <v>9</v>
      </c>
      <c r="J33" s="58" t="str">
        <f t="shared" si="1"/>
        <v>TER B</v>
      </c>
      <c r="K33" s="101">
        <f t="shared" si="2"/>
        <v>3639999.9</v>
      </c>
      <c r="L33" s="46">
        <f>3640000*0.84%</f>
        <v>30575.999999999996</v>
      </c>
      <c r="M33" s="101">
        <f>[26]TRANSPORT!AJ11</f>
        <v>147480</v>
      </c>
      <c r="N33" s="101">
        <v>870820</v>
      </c>
      <c r="O33" s="101">
        <v>180000</v>
      </c>
      <c r="P33" s="101">
        <v>90000</v>
      </c>
      <c r="Q33" s="46">
        <v>189180</v>
      </c>
      <c r="R33" s="46"/>
      <c r="S33" s="46"/>
      <c r="T33" s="101">
        <f>[26]TRANSPORT!T11</f>
        <v>135000</v>
      </c>
      <c r="U33" s="101">
        <f>[26]TRANSPORT!W11</f>
        <v>69000</v>
      </c>
      <c r="V33" s="101">
        <f>[26]TRANSPORT!AA11</f>
        <v>1188785.99</v>
      </c>
      <c r="W33" s="46"/>
      <c r="X33" s="101">
        <f>[26]TRANSPORT!Y11</f>
        <v>47000</v>
      </c>
      <c r="Y33" s="46"/>
      <c r="Z33" s="46"/>
      <c r="AA33" s="46"/>
      <c r="AB33" s="46"/>
      <c r="AC33" s="231"/>
      <c r="AD33" s="46"/>
      <c r="AE33" s="46"/>
      <c r="AF33" s="62">
        <f t="shared" si="10"/>
        <v>6587841</v>
      </c>
      <c r="AG33" s="63">
        <f t="shared" ref="AG33:AG36" si="11">IF(J33="TER A",VLOOKUP(AF33,Ter_A,4,TRUE),IF(J33="TER B",VLOOKUP(AF33,Ter_B,4,TRUE),VLOOKUP(AF33,Ter_C,4,TRUE)))</f>
        <v>5.0000000000000001E-3</v>
      </c>
      <c r="AH33" s="106">
        <f t="shared" si="3"/>
        <v>32939</v>
      </c>
      <c r="AJ33" s="93">
        <f t="shared" si="4"/>
        <v>-32939</v>
      </c>
      <c r="AL33" s="92">
        <f>[26]TRANSPORT!AE11</f>
        <v>6409785.8900000006</v>
      </c>
      <c r="AM33" s="207">
        <f t="shared" si="5"/>
        <v>6587841.8900000006</v>
      </c>
      <c r="AN33" s="151">
        <f t="shared" si="6"/>
        <v>0.89000000059604645</v>
      </c>
      <c r="AO33" s="93">
        <f t="shared" si="7"/>
        <v>6409785</v>
      </c>
      <c r="AP33" s="93">
        <f t="shared" si="8"/>
        <v>2769785.99</v>
      </c>
    </row>
    <row r="34" spans="2:42" s="27" customFormat="1">
      <c r="B34" s="40">
        <v>29</v>
      </c>
      <c r="C34" s="98" t="s">
        <v>393</v>
      </c>
      <c r="D34" s="42" t="s">
        <v>320</v>
      </c>
      <c r="E34" s="43" t="s">
        <v>371</v>
      </c>
      <c r="F34" s="41" t="s">
        <v>423</v>
      </c>
      <c r="G34" s="107" t="s">
        <v>372</v>
      </c>
      <c r="H34" s="44" t="s">
        <v>39</v>
      </c>
      <c r="I34" s="45" t="s">
        <v>9</v>
      </c>
      <c r="J34" s="58" t="str">
        <f t="shared" si="1"/>
        <v>TER B</v>
      </c>
      <c r="K34" s="101">
        <f t="shared" si="2"/>
        <v>3639999.9</v>
      </c>
      <c r="L34" s="46">
        <f t="shared" ref="L34:L36" si="12">3640000*0.84%</f>
        <v>30575.999999999996</v>
      </c>
      <c r="M34" s="101">
        <f>[26]TRANSPORT!AJ12</f>
        <v>146800</v>
      </c>
      <c r="N34" s="101">
        <v>905780</v>
      </c>
      <c r="O34" s="101">
        <v>162000</v>
      </c>
      <c r="P34" s="101">
        <v>102500</v>
      </c>
      <c r="Q34" s="46">
        <v>205920</v>
      </c>
      <c r="R34" s="46"/>
      <c r="S34" s="46"/>
      <c r="T34" s="101">
        <f>[26]TRANSPORT!T12</f>
        <v>135000</v>
      </c>
      <c r="U34" s="101">
        <f>[26]TRANSPORT!W12</f>
        <v>46000</v>
      </c>
      <c r="V34" s="101">
        <f>[26]TRANSPORT!AA12</f>
        <v>1188785.99</v>
      </c>
      <c r="W34" s="46"/>
      <c r="X34" s="101">
        <f>[26]TRANSPORT!Y12</f>
        <v>30000</v>
      </c>
      <c r="Y34" s="46"/>
      <c r="Z34" s="46"/>
      <c r="AA34" s="46"/>
      <c r="AB34" s="46"/>
      <c r="AC34" s="231"/>
      <c r="AD34" s="46"/>
      <c r="AE34" s="46"/>
      <c r="AF34" s="62">
        <f t="shared" si="10"/>
        <v>6593361</v>
      </c>
      <c r="AG34" s="63">
        <f t="shared" si="11"/>
        <v>5.0000000000000001E-3</v>
      </c>
      <c r="AH34" s="106">
        <f t="shared" si="3"/>
        <v>32966</v>
      </c>
      <c r="AJ34" s="93">
        <f t="shared" si="4"/>
        <v>-32966</v>
      </c>
      <c r="AL34" s="92">
        <f>[26]TRANSPORT!AE12</f>
        <v>6415985.8900000006</v>
      </c>
      <c r="AM34" s="207">
        <f t="shared" si="5"/>
        <v>6593361.8900000006</v>
      </c>
      <c r="AN34" s="151">
        <f t="shared" si="6"/>
        <v>0.89000000059604645</v>
      </c>
      <c r="AO34" s="93">
        <f t="shared" si="7"/>
        <v>6415985</v>
      </c>
      <c r="AP34" s="93">
        <f t="shared" si="8"/>
        <v>2775985.99</v>
      </c>
    </row>
    <row r="35" spans="2:42" s="27" customFormat="1">
      <c r="B35" s="40">
        <v>30</v>
      </c>
      <c r="C35" s="98" t="s">
        <v>322</v>
      </c>
      <c r="D35" s="42" t="s">
        <v>323</v>
      </c>
      <c r="E35" s="43" t="s">
        <v>373</v>
      </c>
      <c r="F35" s="41" t="s">
        <v>223</v>
      </c>
      <c r="G35" s="107" t="s">
        <v>87</v>
      </c>
      <c r="H35" s="44" t="s">
        <v>39</v>
      </c>
      <c r="I35" s="45" t="s">
        <v>11</v>
      </c>
      <c r="J35" s="58" t="str">
        <f t="shared" si="1"/>
        <v>TER B</v>
      </c>
      <c r="K35" s="101">
        <f t="shared" si="2"/>
        <v>3639999.9</v>
      </c>
      <c r="L35" s="46">
        <f t="shared" si="12"/>
        <v>30575.999999999996</v>
      </c>
      <c r="M35" s="101">
        <f>[26]TRANSPORT!AJ13</f>
        <v>148040</v>
      </c>
      <c r="N35" s="101">
        <v>289725</v>
      </c>
      <c r="O35" s="101">
        <v>312000</v>
      </c>
      <c r="P35" s="101">
        <v>81000</v>
      </c>
      <c r="Q35" s="46">
        <v>388380</v>
      </c>
      <c r="R35" s="46"/>
      <c r="S35" s="46"/>
      <c r="T35" s="101">
        <f>[26]TRANSPORT!T13</f>
        <v>162000</v>
      </c>
      <c r="U35" s="101">
        <f>[26]TRANSPORT!W13</f>
        <v>72000</v>
      </c>
      <c r="V35" s="101">
        <f>[26]TRANSPORT!AA13</f>
        <v>1472832.2</v>
      </c>
      <c r="W35" s="46"/>
      <c r="X35" s="101">
        <f>[26]TRANSPORT!Y13</f>
        <v>61000</v>
      </c>
      <c r="Y35" s="46"/>
      <c r="Z35" s="46"/>
      <c r="AA35" s="46"/>
      <c r="AB35" s="46"/>
      <c r="AC35" s="231"/>
      <c r="AD35" s="46"/>
      <c r="AE35" s="46"/>
      <c r="AF35" s="62">
        <f t="shared" si="10"/>
        <v>6657553</v>
      </c>
      <c r="AG35" s="63">
        <f t="shared" si="11"/>
        <v>5.0000000000000001E-3</v>
      </c>
      <c r="AH35" s="106">
        <f t="shared" si="3"/>
        <v>33287</v>
      </c>
      <c r="AJ35" s="93">
        <f t="shared" si="4"/>
        <v>-33287</v>
      </c>
      <c r="AL35" s="92">
        <f>[26]TRANSPORT!AE13</f>
        <v>6478937.1000000006</v>
      </c>
      <c r="AM35" s="207">
        <f t="shared" si="5"/>
        <v>6657553.1000000006</v>
      </c>
      <c r="AN35" s="151">
        <f t="shared" si="6"/>
        <v>0.10000000055879354</v>
      </c>
      <c r="AO35" s="93">
        <f t="shared" si="7"/>
        <v>6478937</v>
      </c>
      <c r="AP35" s="93">
        <f t="shared" si="8"/>
        <v>2838937.2</v>
      </c>
    </row>
    <row r="36" spans="2:42" s="27" customFormat="1">
      <c r="B36" s="40">
        <v>31</v>
      </c>
      <c r="C36" s="98" t="s">
        <v>395</v>
      </c>
      <c r="D36" s="42" t="s">
        <v>325</v>
      </c>
      <c r="E36" s="43" t="s">
        <v>374</v>
      </c>
      <c r="F36" s="41" t="s">
        <v>223</v>
      </c>
      <c r="G36" s="107" t="s">
        <v>372</v>
      </c>
      <c r="H36" s="44" t="s">
        <v>39</v>
      </c>
      <c r="I36" s="45" t="s">
        <v>11</v>
      </c>
      <c r="J36" s="58" t="str">
        <f t="shared" si="1"/>
        <v>TER B</v>
      </c>
      <c r="K36" s="101">
        <f t="shared" si="2"/>
        <v>3639999.9</v>
      </c>
      <c r="L36" s="46">
        <f t="shared" si="12"/>
        <v>30575.999999999996</v>
      </c>
      <c r="M36" s="101">
        <f>[26]TRANSPORT!AJ14</f>
        <v>148040</v>
      </c>
      <c r="N36" s="101">
        <v>289725</v>
      </c>
      <c r="O36" s="101">
        <v>312000</v>
      </c>
      <c r="P36" s="101">
        <v>70000</v>
      </c>
      <c r="Q36" s="46">
        <v>375540</v>
      </c>
      <c r="R36" s="46"/>
      <c r="S36" s="46"/>
      <c r="T36" s="101">
        <f>[26]TRANSPORT!T14</f>
        <v>162000</v>
      </c>
      <c r="U36" s="101">
        <f>[26]TRANSPORT!W14</f>
        <v>46000</v>
      </c>
      <c r="V36" s="101">
        <f>[26]TRANSPORT!AA14</f>
        <v>1399190.5899999999</v>
      </c>
      <c r="W36" s="46"/>
      <c r="X36" s="101">
        <f>[26]TRANSPORT!Y14</f>
        <v>61000</v>
      </c>
      <c r="Y36" s="46"/>
      <c r="Z36" s="46"/>
      <c r="AA36" s="46"/>
      <c r="AB36" s="46"/>
      <c r="AC36" s="231"/>
      <c r="AD36" s="46"/>
      <c r="AE36" s="46"/>
      <c r="AF36" s="62">
        <f t="shared" si="10"/>
        <v>6534071</v>
      </c>
      <c r="AG36" s="63">
        <f t="shared" si="11"/>
        <v>5.0000000000000001E-3</v>
      </c>
      <c r="AH36" s="106">
        <f t="shared" si="3"/>
        <v>32670</v>
      </c>
      <c r="AJ36" s="93">
        <f t="shared" si="4"/>
        <v>-32670</v>
      </c>
      <c r="AL36" s="92">
        <f>[26]TRANSPORT!AE14</f>
        <v>6355455.4900000002</v>
      </c>
      <c r="AM36" s="207">
        <f t="shared" si="5"/>
        <v>6534071.4900000002</v>
      </c>
      <c r="AN36" s="151">
        <f t="shared" si="6"/>
        <v>0.49000000022351742</v>
      </c>
      <c r="AO36" s="93">
        <f t="shared" si="7"/>
        <v>6355455</v>
      </c>
      <c r="AP36" s="93">
        <f t="shared" si="8"/>
        <v>2715455.59</v>
      </c>
    </row>
    <row r="37" spans="2:42" s="27" customFormat="1">
      <c r="B37" s="40">
        <v>32</v>
      </c>
      <c r="C37" s="249" t="s">
        <v>435</v>
      </c>
      <c r="D37" s="250" t="s">
        <v>436</v>
      </c>
      <c r="E37" s="209" t="s">
        <v>73</v>
      </c>
      <c r="F37" s="98" t="s">
        <v>437</v>
      </c>
      <c r="G37" s="107" t="s">
        <v>88</v>
      </c>
      <c r="H37" s="99" t="s">
        <v>39</v>
      </c>
      <c r="I37" s="100" t="s">
        <v>7</v>
      </c>
      <c r="J37" s="251" t="str">
        <f t="shared" si="1"/>
        <v>TER A</v>
      </c>
      <c r="K37" s="101">
        <f t="shared" si="2"/>
        <v>3639999.9</v>
      </c>
      <c r="L37" s="101">
        <f t="shared" si="9"/>
        <v>30575.999999999996</v>
      </c>
      <c r="M37" s="101">
        <f>[26]PERCOBAAN!AP11</f>
        <v>145600</v>
      </c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230"/>
      <c r="AD37" s="101"/>
      <c r="AE37" s="101"/>
      <c r="AF37" s="62">
        <f t="shared" si="10"/>
        <v>3816175</v>
      </c>
      <c r="AG37" s="105">
        <f t="shared" ref="AG37:AG42" si="13">IF(J37="TER A",VLOOKUP(AF37,Ter_A,4,TRUE),IF(J37="TER B",VLOOKUP(AF37,Ter_B,4,TRUE),VLOOKUP(AF37,Ter_C,4,TRUE)))</f>
        <v>0</v>
      </c>
      <c r="AH37" s="106">
        <f t="shared" si="3"/>
        <v>0</v>
      </c>
      <c r="AJ37" s="93"/>
      <c r="AL37" s="206">
        <f>[26]PERCOBAAN!AK11</f>
        <v>3639999.9</v>
      </c>
      <c r="AM37" s="207">
        <f t="shared" si="5"/>
        <v>3816175.9</v>
      </c>
      <c r="AN37" s="151">
        <f t="shared" si="6"/>
        <v>0.89999999990686774</v>
      </c>
      <c r="AO37" s="93">
        <f t="shared" si="7"/>
        <v>3639999</v>
      </c>
      <c r="AP37" s="93">
        <f t="shared" si="8"/>
        <v>0</v>
      </c>
    </row>
    <row r="38" spans="2:42" s="27" customFormat="1" ht="13.5" thickBot="1">
      <c r="B38" s="40">
        <v>33</v>
      </c>
      <c r="C38" s="249" t="s">
        <v>440</v>
      </c>
      <c r="D38" s="250" t="s">
        <v>441</v>
      </c>
      <c r="E38" s="209" t="s">
        <v>73</v>
      </c>
      <c r="F38" s="98" t="s">
        <v>442</v>
      </c>
      <c r="G38" s="107" t="s">
        <v>88</v>
      </c>
      <c r="H38" s="99" t="s">
        <v>39</v>
      </c>
      <c r="I38" s="100" t="s">
        <v>7</v>
      </c>
      <c r="J38" s="251" t="str">
        <f t="shared" si="1"/>
        <v>TER A</v>
      </c>
      <c r="K38" s="101">
        <f t="shared" si="2"/>
        <v>3639999.9</v>
      </c>
      <c r="L38" s="101">
        <f t="shared" si="9"/>
        <v>30575.999999999996</v>
      </c>
      <c r="M38" s="101">
        <f>[26]PERCOBAAN!AP12</f>
        <v>145600</v>
      </c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230"/>
      <c r="AD38" s="101"/>
      <c r="AE38" s="101"/>
      <c r="AF38" s="62">
        <f t="shared" si="10"/>
        <v>3816175</v>
      </c>
      <c r="AG38" s="105">
        <f t="shared" si="13"/>
        <v>0</v>
      </c>
      <c r="AH38" s="106">
        <f t="shared" si="3"/>
        <v>0</v>
      </c>
      <c r="AJ38" s="93"/>
      <c r="AL38" s="206">
        <f>[26]PERCOBAAN!AK12</f>
        <v>3639999.9</v>
      </c>
      <c r="AM38" s="207">
        <f t="shared" si="5"/>
        <v>3816175.9</v>
      </c>
      <c r="AN38" s="151">
        <f t="shared" si="6"/>
        <v>0.89999999990686774</v>
      </c>
      <c r="AO38" s="93">
        <f t="shared" si="7"/>
        <v>3639999</v>
      </c>
      <c r="AP38" s="93">
        <f t="shared" si="8"/>
        <v>0</v>
      </c>
    </row>
    <row r="39" spans="2:42" s="27" customFormat="1" hidden="1">
      <c r="B39" s="40"/>
      <c r="C39" s="98" t="s">
        <v>365</v>
      </c>
      <c r="D39" s="42" t="s">
        <v>366</v>
      </c>
      <c r="E39" s="43" t="s">
        <v>367</v>
      </c>
      <c r="F39" s="41" t="s">
        <v>368</v>
      </c>
      <c r="G39" s="107" t="s">
        <v>88</v>
      </c>
      <c r="H39" s="44" t="s">
        <v>369</v>
      </c>
      <c r="I39" s="45" t="s">
        <v>11</v>
      </c>
      <c r="J39" s="58" t="str">
        <f t="shared" si="1"/>
        <v>TER B</v>
      </c>
      <c r="K39" s="101"/>
      <c r="L39" s="101"/>
      <c r="M39" s="101"/>
      <c r="N39" s="101"/>
      <c r="O39" s="101"/>
      <c r="P39" s="101"/>
      <c r="Q39" s="46"/>
      <c r="R39" s="101"/>
      <c r="S39" s="101"/>
      <c r="T39" s="101"/>
      <c r="U39" s="46"/>
      <c r="V39" s="101"/>
      <c r="W39" s="46"/>
      <c r="X39" s="101"/>
      <c r="Y39" s="46"/>
      <c r="Z39" s="46"/>
      <c r="AA39" s="46"/>
      <c r="AB39" s="46"/>
      <c r="AC39" s="231"/>
      <c r="AD39" s="46"/>
      <c r="AE39" s="46"/>
      <c r="AF39" s="62">
        <f t="shared" si="10"/>
        <v>0</v>
      </c>
      <c r="AG39" s="63">
        <f t="shared" si="13"/>
        <v>0</v>
      </c>
      <c r="AH39" s="106">
        <f t="shared" si="3"/>
        <v>0</v>
      </c>
      <c r="AJ39" s="93">
        <f>AI39-AH39</f>
        <v>0</v>
      </c>
      <c r="AL39" s="206"/>
      <c r="AM39" s="207">
        <f t="shared" si="5"/>
        <v>0</v>
      </c>
      <c r="AN39" s="151">
        <f t="shared" si="6"/>
        <v>0</v>
      </c>
      <c r="AO39" s="93">
        <f>SUM(AO6:AO38)</f>
        <v>133978516</v>
      </c>
    </row>
    <row r="40" spans="2:42" s="27" customFormat="1" hidden="1">
      <c r="B40" s="40"/>
      <c r="C40" s="98" t="s">
        <v>230</v>
      </c>
      <c r="D40" s="208" t="s">
        <v>231</v>
      </c>
      <c r="E40" s="209" t="s">
        <v>73</v>
      </c>
      <c r="F40" s="98" t="s">
        <v>232</v>
      </c>
      <c r="G40" s="107" t="s">
        <v>88</v>
      </c>
      <c r="H40" s="99" t="s">
        <v>39</v>
      </c>
      <c r="I40" s="100" t="s">
        <v>9</v>
      </c>
      <c r="J40" s="58" t="str">
        <f t="shared" si="1"/>
        <v>TER B</v>
      </c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230"/>
      <c r="AD40" s="101"/>
      <c r="AE40" s="101"/>
      <c r="AF40" s="62">
        <f t="shared" si="10"/>
        <v>0</v>
      </c>
      <c r="AG40" s="63">
        <f t="shared" si="13"/>
        <v>0</v>
      </c>
      <c r="AH40" s="106">
        <f t="shared" si="3"/>
        <v>0</v>
      </c>
      <c r="AJ40" s="93">
        <f>AI40-AH40</f>
        <v>0</v>
      </c>
      <c r="AL40" s="206"/>
      <c r="AM40" s="207">
        <f t="shared" si="5"/>
        <v>0</v>
      </c>
      <c r="AN40" s="151">
        <f t="shared" si="6"/>
        <v>0</v>
      </c>
    </row>
    <row r="41" spans="2:42" s="27" customFormat="1" hidden="1">
      <c r="B41" s="40"/>
      <c r="C41" s="98" t="s">
        <v>394</v>
      </c>
      <c r="D41" s="208" t="s">
        <v>255</v>
      </c>
      <c r="E41" s="209" t="s">
        <v>349</v>
      </c>
      <c r="F41" s="98" t="s">
        <v>256</v>
      </c>
      <c r="G41" s="107" t="s">
        <v>88</v>
      </c>
      <c r="H41" s="99" t="s">
        <v>38</v>
      </c>
      <c r="I41" s="100" t="s">
        <v>7</v>
      </c>
      <c r="J41" s="58" t="str">
        <f t="shared" si="1"/>
        <v>TER A</v>
      </c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230"/>
      <c r="AD41" s="101"/>
      <c r="AE41" s="101"/>
      <c r="AF41" s="62">
        <f t="shared" si="10"/>
        <v>0</v>
      </c>
      <c r="AG41" s="63">
        <f t="shared" si="13"/>
        <v>0</v>
      </c>
      <c r="AH41" s="106">
        <f t="shared" si="3"/>
        <v>0</v>
      </c>
      <c r="AJ41" s="93">
        <f>AI41-AH41</f>
        <v>0</v>
      </c>
      <c r="AL41" s="206"/>
      <c r="AM41" s="207">
        <f t="shared" si="5"/>
        <v>0</v>
      </c>
      <c r="AN41" s="151">
        <f t="shared" si="6"/>
        <v>0</v>
      </c>
    </row>
    <row r="42" spans="2:42" s="27" customFormat="1" hidden="1">
      <c r="B42" s="40"/>
      <c r="C42" s="98" t="s">
        <v>251</v>
      </c>
      <c r="D42" s="208" t="s">
        <v>252</v>
      </c>
      <c r="E42" s="209" t="s">
        <v>348</v>
      </c>
      <c r="F42" s="98" t="s">
        <v>253</v>
      </c>
      <c r="G42" s="107" t="s">
        <v>88</v>
      </c>
      <c r="H42" s="99" t="s">
        <v>39</v>
      </c>
      <c r="I42" s="100" t="s">
        <v>7</v>
      </c>
      <c r="J42" s="58" t="str">
        <f t="shared" si="1"/>
        <v>TER A</v>
      </c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230"/>
      <c r="AD42" s="101"/>
      <c r="AE42" s="101"/>
      <c r="AF42" s="62">
        <f t="shared" si="10"/>
        <v>0</v>
      </c>
      <c r="AG42" s="63">
        <f t="shared" si="13"/>
        <v>0</v>
      </c>
      <c r="AH42" s="106">
        <f t="shared" si="3"/>
        <v>0</v>
      </c>
      <c r="AJ42" s="93">
        <f>AI42-AH42</f>
        <v>0</v>
      </c>
      <c r="AL42" s="206"/>
      <c r="AM42" s="207">
        <f t="shared" si="5"/>
        <v>0</v>
      </c>
      <c r="AN42" s="151">
        <f t="shared" si="6"/>
        <v>0</v>
      </c>
    </row>
    <row r="43" spans="2:42" s="27" customFormat="1" hidden="1">
      <c r="B43" s="40"/>
      <c r="C43" s="98" t="s">
        <v>269</v>
      </c>
      <c r="D43" s="208" t="s">
        <v>270</v>
      </c>
      <c r="E43" s="209" t="s">
        <v>352</v>
      </c>
      <c r="F43" s="98" t="s">
        <v>271</v>
      </c>
      <c r="G43" s="107" t="s">
        <v>88</v>
      </c>
      <c r="H43" s="99" t="s">
        <v>38</v>
      </c>
      <c r="I43" s="100" t="s">
        <v>7</v>
      </c>
      <c r="J43" s="58" t="str">
        <f t="shared" si="1"/>
        <v>TER A</v>
      </c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231"/>
      <c r="AD43" s="101"/>
      <c r="AE43" s="101"/>
      <c r="AF43" s="62">
        <f t="shared" si="10"/>
        <v>0</v>
      </c>
      <c r="AG43" s="63">
        <f t="shared" ref="AG43" si="14">IF(J43="TER A",VLOOKUP(AF43,Ter_A,4,TRUE),IF(J43="TER B",VLOOKUP(AF43,Ter_B,4,TRUE),VLOOKUP(AF43,Ter_C,4,TRUE)))</f>
        <v>0</v>
      </c>
      <c r="AH43" s="106">
        <f t="shared" si="3"/>
        <v>0</v>
      </c>
      <c r="AJ43" s="93">
        <f t="shared" ref="AJ43" si="15">AI43-AH43</f>
        <v>0</v>
      </c>
      <c r="AL43" s="206"/>
      <c r="AM43" s="207">
        <f t="shared" si="5"/>
        <v>0</v>
      </c>
      <c r="AN43" s="151">
        <f t="shared" si="6"/>
        <v>0</v>
      </c>
    </row>
    <row r="44" spans="2:42" s="27" customFormat="1" hidden="1">
      <c r="B44" s="40"/>
      <c r="C44" s="249" t="s">
        <v>275</v>
      </c>
      <c r="D44" s="42" t="s">
        <v>276</v>
      </c>
      <c r="E44" s="43" t="s">
        <v>354</v>
      </c>
      <c r="F44" s="41" t="s">
        <v>247</v>
      </c>
      <c r="G44" s="107" t="s">
        <v>88</v>
      </c>
      <c r="H44" s="44" t="s">
        <v>39</v>
      </c>
      <c r="I44" s="45" t="s">
        <v>11</v>
      </c>
      <c r="J44" s="58" t="str">
        <f t="shared" si="1"/>
        <v>TER B</v>
      </c>
      <c r="K44" s="101"/>
      <c r="L44" s="101"/>
      <c r="M44" s="101"/>
      <c r="N44" s="101"/>
      <c r="O44" s="101"/>
      <c r="P44" s="101"/>
      <c r="Q44" s="46"/>
      <c r="R44" s="46"/>
      <c r="S44" s="46"/>
      <c r="T44" s="101"/>
      <c r="U44" s="101"/>
      <c r="V44" s="101"/>
      <c r="W44" s="46"/>
      <c r="X44" s="101"/>
      <c r="Y44" s="46"/>
      <c r="Z44" s="46"/>
      <c r="AA44" s="46"/>
      <c r="AB44" s="46"/>
      <c r="AC44" s="231"/>
      <c r="AD44" s="46"/>
      <c r="AE44" s="46"/>
      <c r="AF44" s="62">
        <f t="shared" si="10"/>
        <v>0</v>
      </c>
      <c r="AG44" s="63">
        <f t="shared" ref="AG44:AG49" si="16">IF(J44="TER A",VLOOKUP(AF44,Ter_A,4,TRUE),IF(J44="TER B",VLOOKUP(AF44,Ter_B,4,TRUE),VLOOKUP(AF44,Ter_C,4,TRUE)))</f>
        <v>0</v>
      </c>
      <c r="AH44" s="106">
        <f t="shared" si="3"/>
        <v>0</v>
      </c>
      <c r="AJ44" s="93">
        <f>AI44-AH44</f>
        <v>0</v>
      </c>
      <c r="AL44" s="206"/>
      <c r="AM44" s="207">
        <f t="shared" si="5"/>
        <v>0</v>
      </c>
      <c r="AN44" s="151">
        <f t="shared" si="6"/>
        <v>0</v>
      </c>
    </row>
    <row r="45" spans="2:42" s="27" customFormat="1" hidden="1">
      <c r="B45" s="40"/>
      <c r="C45" s="249" t="s">
        <v>280</v>
      </c>
      <c r="D45" s="235" t="s">
        <v>421</v>
      </c>
      <c r="E45" s="43" t="s">
        <v>356</v>
      </c>
      <c r="F45" s="41" t="s">
        <v>439</v>
      </c>
      <c r="G45" s="107" t="s">
        <v>88</v>
      </c>
      <c r="H45" s="44" t="s">
        <v>38</v>
      </c>
      <c r="I45" s="45" t="s">
        <v>7</v>
      </c>
      <c r="J45" s="58" t="str">
        <f t="shared" si="1"/>
        <v>TER A</v>
      </c>
      <c r="K45" s="101"/>
      <c r="L45" s="101"/>
      <c r="M45" s="101"/>
      <c r="N45" s="101"/>
      <c r="O45" s="101"/>
      <c r="P45" s="101"/>
      <c r="Q45" s="46"/>
      <c r="R45" s="46"/>
      <c r="S45" s="46"/>
      <c r="T45" s="101"/>
      <c r="U45" s="101"/>
      <c r="V45" s="101"/>
      <c r="W45" s="46"/>
      <c r="X45" s="101"/>
      <c r="Y45" s="46"/>
      <c r="Z45" s="46"/>
      <c r="AA45" s="46"/>
      <c r="AB45" s="46"/>
      <c r="AC45" s="231"/>
      <c r="AD45" s="46"/>
      <c r="AE45" s="46"/>
      <c r="AF45" s="62">
        <f t="shared" si="10"/>
        <v>0</v>
      </c>
      <c r="AG45" s="63">
        <f t="shared" si="16"/>
        <v>0</v>
      </c>
      <c r="AH45" s="106">
        <f t="shared" si="3"/>
        <v>0</v>
      </c>
      <c r="AJ45" s="93">
        <f>AI45-AH45</f>
        <v>0</v>
      </c>
      <c r="AL45" s="206"/>
      <c r="AM45" s="207">
        <f t="shared" si="5"/>
        <v>0</v>
      </c>
      <c r="AN45" s="151">
        <f t="shared" si="6"/>
        <v>0</v>
      </c>
    </row>
    <row r="46" spans="2:42" s="27" customFormat="1" hidden="1">
      <c r="B46" s="40"/>
      <c r="C46" s="249" t="s">
        <v>357</v>
      </c>
      <c r="D46" s="42" t="s">
        <v>284</v>
      </c>
      <c r="E46" s="43" t="s">
        <v>358</v>
      </c>
      <c r="F46" s="41" t="s">
        <v>285</v>
      </c>
      <c r="G46" s="107" t="s">
        <v>88</v>
      </c>
      <c r="H46" s="44" t="s">
        <v>38</v>
      </c>
      <c r="I46" s="45" t="s">
        <v>7</v>
      </c>
      <c r="J46" s="58" t="str">
        <f t="shared" si="1"/>
        <v>TER A</v>
      </c>
      <c r="K46" s="101"/>
      <c r="L46" s="101"/>
      <c r="M46" s="101"/>
      <c r="N46" s="101"/>
      <c r="O46" s="101"/>
      <c r="P46" s="101"/>
      <c r="Q46" s="46"/>
      <c r="R46" s="46"/>
      <c r="S46" s="46"/>
      <c r="T46" s="101"/>
      <c r="U46" s="101"/>
      <c r="V46" s="101"/>
      <c r="W46" s="46"/>
      <c r="X46" s="101"/>
      <c r="Y46" s="46"/>
      <c r="Z46" s="46"/>
      <c r="AA46" s="46"/>
      <c r="AB46" s="46"/>
      <c r="AC46" s="231"/>
      <c r="AD46" s="46"/>
      <c r="AE46" s="46"/>
      <c r="AF46" s="62">
        <f t="shared" si="10"/>
        <v>0</v>
      </c>
      <c r="AG46" s="63">
        <f t="shared" si="16"/>
        <v>0</v>
      </c>
      <c r="AH46" s="106">
        <f t="shared" si="3"/>
        <v>0</v>
      </c>
      <c r="AJ46" s="93">
        <f>AI46-AH46</f>
        <v>0</v>
      </c>
      <c r="AL46" s="206"/>
      <c r="AM46" s="207">
        <f t="shared" si="5"/>
        <v>0</v>
      </c>
      <c r="AN46" s="151">
        <f t="shared" si="6"/>
        <v>0</v>
      </c>
    </row>
    <row r="47" spans="2:42" s="27" customFormat="1" hidden="1">
      <c r="B47" s="40"/>
      <c r="C47" s="249" t="s">
        <v>313</v>
      </c>
      <c r="D47" s="42" t="s">
        <v>314</v>
      </c>
      <c r="E47" s="43" t="s">
        <v>364</v>
      </c>
      <c r="F47" s="41" t="s">
        <v>315</v>
      </c>
      <c r="G47" s="107" t="s">
        <v>88</v>
      </c>
      <c r="H47" s="44" t="s">
        <v>38</v>
      </c>
      <c r="I47" s="45" t="s">
        <v>7</v>
      </c>
      <c r="J47" s="58" t="str">
        <f t="shared" si="1"/>
        <v>TER A</v>
      </c>
      <c r="K47" s="101"/>
      <c r="L47" s="101"/>
      <c r="M47" s="101"/>
      <c r="N47" s="101"/>
      <c r="O47" s="101"/>
      <c r="P47" s="101"/>
      <c r="Q47" s="46"/>
      <c r="R47" s="46"/>
      <c r="S47" s="46"/>
      <c r="T47" s="101"/>
      <c r="U47" s="101"/>
      <c r="V47" s="101"/>
      <c r="W47" s="46"/>
      <c r="X47" s="101"/>
      <c r="Y47" s="46"/>
      <c r="Z47" s="46"/>
      <c r="AA47" s="46"/>
      <c r="AB47" s="46"/>
      <c r="AC47" s="231"/>
      <c r="AD47" s="46"/>
      <c r="AE47" s="46"/>
      <c r="AF47" s="62">
        <f t="shared" si="10"/>
        <v>0</v>
      </c>
      <c r="AG47" s="63">
        <f t="shared" si="16"/>
        <v>0</v>
      </c>
      <c r="AH47" s="106">
        <f t="shared" si="3"/>
        <v>0</v>
      </c>
      <c r="AJ47" s="93">
        <f>AI47-AH47</f>
        <v>0</v>
      </c>
      <c r="AL47" s="206"/>
      <c r="AM47" s="207">
        <f t="shared" si="5"/>
        <v>0</v>
      </c>
      <c r="AN47" s="151">
        <f t="shared" si="6"/>
        <v>0</v>
      </c>
    </row>
    <row r="48" spans="2:42" s="27" customFormat="1" hidden="1">
      <c r="B48" s="40"/>
      <c r="C48" s="249" t="s">
        <v>404</v>
      </c>
      <c r="D48" s="235" t="s">
        <v>405</v>
      </c>
      <c r="E48" s="43" t="s">
        <v>406</v>
      </c>
      <c r="F48" s="41" t="s">
        <v>407</v>
      </c>
      <c r="G48" s="107" t="s">
        <v>88</v>
      </c>
      <c r="H48" s="44" t="s">
        <v>38</v>
      </c>
      <c r="I48" s="45" t="s">
        <v>7</v>
      </c>
      <c r="J48" s="58" t="str">
        <f t="shared" si="1"/>
        <v>TER A</v>
      </c>
      <c r="K48" s="101"/>
      <c r="L48" s="101"/>
      <c r="M48" s="101"/>
      <c r="N48" s="101"/>
      <c r="O48" s="101"/>
      <c r="P48" s="101"/>
      <c r="Q48" s="46"/>
      <c r="R48" s="101"/>
      <c r="S48" s="101"/>
      <c r="T48" s="101"/>
      <c r="U48" s="101"/>
      <c r="V48" s="101"/>
      <c r="W48" s="46"/>
      <c r="X48" s="101"/>
      <c r="Y48" s="46"/>
      <c r="Z48" s="46"/>
      <c r="AA48" s="46"/>
      <c r="AB48" s="46"/>
      <c r="AC48" s="231"/>
      <c r="AD48" s="46"/>
      <c r="AE48" s="46"/>
      <c r="AF48" s="62">
        <f t="shared" si="10"/>
        <v>0</v>
      </c>
      <c r="AG48" s="63">
        <f t="shared" si="16"/>
        <v>0</v>
      </c>
      <c r="AH48" s="106">
        <f t="shared" si="3"/>
        <v>0</v>
      </c>
      <c r="AJ48" s="93"/>
      <c r="AL48" s="206"/>
      <c r="AM48" s="207">
        <f t="shared" si="5"/>
        <v>0</v>
      </c>
      <c r="AN48" s="151">
        <f t="shared" si="6"/>
        <v>0</v>
      </c>
    </row>
    <row r="49" spans="2:59" s="27" customFormat="1" ht="13.5" hidden="1" thickBot="1">
      <c r="B49" s="97"/>
      <c r="C49" s="98" t="s">
        <v>416</v>
      </c>
      <c r="D49" s="235" t="s">
        <v>417</v>
      </c>
      <c r="E49" s="43" t="s">
        <v>418</v>
      </c>
      <c r="F49" s="41" t="s">
        <v>419</v>
      </c>
      <c r="G49" s="107" t="s">
        <v>88</v>
      </c>
      <c r="H49" s="44" t="s">
        <v>39</v>
      </c>
      <c r="I49" s="45" t="s">
        <v>11</v>
      </c>
      <c r="J49" s="58" t="str">
        <f t="shared" si="1"/>
        <v>TER B</v>
      </c>
      <c r="K49" s="101"/>
      <c r="L49" s="101"/>
      <c r="M49" s="101"/>
      <c r="N49" s="101"/>
      <c r="O49" s="101"/>
      <c r="P49" s="101"/>
      <c r="Q49" s="46"/>
      <c r="R49" s="101"/>
      <c r="S49" s="101"/>
      <c r="T49" s="101"/>
      <c r="U49" s="101"/>
      <c r="V49" s="101"/>
      <c r="W49" s="46"/>
      <c r="X49" s="101"/>
      <c r="Y49" s="46"/>
      <c r="Z49" s="46"/>
      <c r="AA49" s="46"/>
      <c r="AB49" s="46"/>
      <c r="AC49" s="231"/>
      <c r="AD49" s="46"/>
      <c r="AE49" s="46"/>
      <c r="AF49" s="62">
        <f t="shared" si="10"/>
        <v>0</v>
      </c>
      <c r="AG49" s="63">
        <f t="shared" si="16"/>
        <v>0</v>
      </c>
      <c r="AH49" s="106">
        <f t="shared" si="3"/>
        <v>0</v>
      </c>
      <c r="AJ49" s="93"/>
      <c r="AL49" s="206"/>
      <c r="AM49" s="207">
        <f t="shared" si="5"/>
        <v>0</v>
      </c>
      <c r="AN49" s="151">
        <f t="shared" si="6"/>
        <v>0</v>
      </c>
    </row>
    <row r="50" spans="2:59" s="52" customFormat="1" ht="30.75" customHeight="1" thickBot="1">
      <c r="B50" s="82"/>
      <c r="C50" s="83"/>
      <c r="D50" s="83"/>
      <c r="E50" s="83"/>
      <c r="F50" s="83"/>
      <c r="G50" s="83"/>
      <c r="H50" s="83"/>
      <c r="I50" s="83"/>
      <c r="J50" s="83"/>
      <c r="K50" s="84">
        <f t="shared" ref="K50:AH50" si="17">SUM(K6:K49)</f>
        <v>120149996.70000006</v>
      </c>
      <c r="L50" s="84">
        <f t="shared" si="17"/>
        <v>1009259.9999999999</v>
      </c>
      <c r="M50" s="84">
        <f t="shared" si="17"/>
        <v>4851120</v>
      </c>
      <c r="N50" s="84">
        <f t="shared" si="17"/>
        <v>2391010</v>
      </c>
      <c r="O50" s="84">
        <f t="shared" si="17"/>
        <v>966000</v>
      </c>
      <c r="P50" s="84">
        <f t="shared" si="17"/>
        <v>366000</v>
      </c>
      <c r="Q50" s="84">
        <f t="shared" si="17"/>
        <v>1188600</v>
      </c>
      <c r="R50" s="84">
        <f t="shared" si="17"/>
        <v>0</v>
      </c>
      <c r="S50" s="84">
        <f t="shared" si="17"/>
        <v>0</v>
      </c>
      <c r="T50" s="84">
        <f t="shared" si="17"/>
        <v>3098700</v>
      </c>
      <c r="U50" s="84">
        <f t="shared" si="17"/>
        <v>338000</v>
      </c>
      <c r="V50" s="84">
        <f t="shared" si="17"/>
        <v>6659565.71</v>
      </c>
      <c r="W50" s="84">
        <f t="shared" si="17"/>
        <v>0</v>
      </c>
      <c r="X50" s="84">
        <f t="shared" si="17"/>
        <v>1128000</v>
      </c>
      <c r="Y50" s="84">
        <f t="shared" si="17"/>
        <v>0</v>
      </c>
      <c r="Z50" s="84">
        <f t="shared" si="17"/>
        <v>0</v>
      </c>
      <c r="AA50" s="84">
        <f t="shared" si="17"/>
        <v>0</v>
      </c>
      <c r="AB50" s="84">
        <f t="shared" si="17"/>
        <v>0</v>
      </c>
      <c r="AC50" s="84">
        <f t="shared" si="17"/>
        <v>-2307333.27</v>
      </c>
      <c r="AD50" s="84">
        <f t="shared" si="17"/>
        <v>0</v>
      </c>
      <c r="AE50" s="84">
        <f t="shared" si="17"/>
        <v>0</v>
      </c>
      <c r="AF50" s="84">
        <f t="shared" si="17"/>
        <v>139838896</v>
      </c>
      <c r="AG50" s="84">
        <f t="shared" si="17"/>
        <v>0.02</v>
      </c>
      <c r="AH50" s="252">
        <f t="shared" si="17"/>
        <v>131862</v>
      </c>
      <c r="AI50" s="51"/>
      <c r="AJ50" s="51"/>
      <c r="AK50" s="51"/>
      <c r="AL50" s="211">
        <f>SUM(AL6:AL49)</f>
        <v>133978539.14</v>
      </c>
      <c r="AM50" s="211">
        <f>SUM(AM6:AM49)</f>
        <v>139838919.13999999</v>
      </c>
      <c r="AN50" s="211"/>
    </row>
    <row r="51" spans="2:59" ht="15" customHeight="1">
      <c r="K51" s="28">
        <v>120149996.70000002</v>
      </c>
      <c r="M51" s="28">
        <v>4851120</v>
      </c>
      <c r="AC51" s="28">
        <f>2307333/121333</f>
        <v>19.01653301245333</v>
      </c>
      <c r="AF51" s="28">
        <f>AF50-L50-M50</f>
        <v>133978516</v>
      </c>
      <c r="AH51" s="28">
        <v>131862</v>
      </c>
      <c r="AL51" s="232">
        <v>133978539.14</v>
      </c>
    </row>
    <row r="52" spans="2:59" ht="15" customHeight="1">
      <c r="B52" s="51"/>
      <c r="M52" s="54"/>
      <c r="N52" s="54"/>
      <c r="O52" s="54"/>
      <c r="P52" s="54"/>
      <c r="Q52" s="232"/>
      <c r="R52" s="54"/>
      <c r="S52" s="232"/>
      <c r="T52" s="54"/>
      <c r="U52" s="54"/>
      <c r="V52" s="54"/>
      <c r="AF52" s="28">
        <f>[26]TRANSPORT!$AE$15+'[26]MAINTENANCE-2'!$AK$38+[26]PERCOBAAN!$AK$13</f>
        <v>133978539.14</v>
      </c>
    </row>
    <row r="53" spans="2:59" ht="15" customHeight="1">
      <c r="AF53" s="28">
        <f>AF51-AF52</f>
        <v>-23.140000000596046</v>
      </c>
      <c r="AG53" s="28"/>
      <c r="AI53" s="28"/>
      <c r="AJ53" s="28"/>
      <c r="AK53" s="28"/>
      <c r="AL53" s="28"/>
    </row>
    <row r="54" spans="2:59" ht="15" customHeight="1">
      <c r="M54" s="54"/>
      <c r="N54" s="54"/>
      <c r="O54" s="54"/>
      <c r="P54" s="54"/>
      <c r="Q54" s="54"/>
      <c r="R54" s="54"/>
      <c r="S54" s="54"/>
      <c r="T54" s="54"/>
      <c r="U54" s="54"/>
      <c r="V54" s="54"/>
    </row>
    <row r="55" spans="2:59" ht="15" customHeight="1">
      <c r="M55" s="54"/>
      <c r="N55" s="54"/>
      <c r="O55" s="54"/>
      <c r="P55" s="54"/>
      <c r="Q55" s="54"/>
      <c r="R55" s="54"/>
      <c r="S55" s="54"/>
      <c r="T55" s="54"/>
      <c r="U55" s="54"/>
      <c r="V55" s="54"/>
    </row>
    <row r="56" spans="2:59" s="31" customFormat="1" ht="15" customHeight="1">
      <c r="B56" s="27"/>
      <c r="C56" s="28"/>
      <c r="D56" s="194"/>
      <c r="E56" s="29"/>
      <c r="F56" s="28"/>
      <c r="G56" s="30"/>
      <c r="H56" s="195"/>
      <c r="I56" s="195"/>
      <c r="J56" s="195"/>
      <c r="K56" s="28"/>
      <c r="L56" s="28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57"/>
      <c r="AH56" s="28"/>
      <c r="AI56" s="27"/>
      <c r="AJ56" s="27"/>
      <c r="AK56" s="27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</row>
    <row r="57" spans="2:59" s="31" customFormat="1" ht="15" customHeight="1">
      <c r="B57" s="27"/>
      <c r="C57" s="28"/>
      <c r="D57" s="194"/>
      <c r="E57" s="29"/>
      <c r="F57" s="28"/>
      <c r="G57" s="30"/>
      <c r="H57" s="195"/>
      <c r="I57" s="195"/>
      <c r="J57" s="195"/>
      <c r="K57" s="28"/>
      <c r="L57" s="28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57"/>
      <c r="AH57" s="28"/>
      <c r="AI57" s="27"/>
      <c r="AJ57" s="27"/>
      <c r="AK57" s="27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</row>
    <row r="58" spans="2:59" s="31" customFormat="1" ht="15" customHeight="1">
      <c r="B58" s="27"/>
      <c r="C58" s="28"/>
      <c r="D58" s="194"/>
      <c r="E58" s="29"/>
      <c r="F58" s="28"/>
      <c r="G58" s="30"/>
      <c r="H58" s="195"/>
      <c r="I58" s="195"/>
      <c r="J58" s="195"/>
      <c r="K58" s="28"/>
      <c r="L58" s="28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57"/>
      <c r="AH58" s="28"/>
      <c r="AI58" s="27"/>
      <c r="AJ58" s="27"/>
      <c r="AK58" s="27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</row>
    <row r="59" spans="2:59">
      <c r="AL59" s="232">
        <v>193598715.25000003</v>
      </c>
    </row>
    <row r="60" spans="2:59" ht="18">
      <c r="C60" s="214" t="s">
        <v>378</v>
      </c>
      <c r="Z60" s="215"/>
      <c r="AA60" s="215"/>
      <c r="AB60" s="215"/>
      <c r="AC60" s="601" t="s">
        <v>379</v>
      </c>
      <c r="AD60" s="601"/>
      <c r="AE60" s="601"/>
      <c r="AF60" s="601"/>
    </row>
    <row r="61" spans="2:59" ht="20.25" customHeight="1">
      <c r="C61" s="214"/>
      <c r="Z61" s="215"/>
      <c r="AA61" s="215"/>
      <c r="AB61" s="215"/>
      <c r="AC61" s="216"/>
      <c r="AD61" s="216"/>
      <c r="AE61" s="216"/>
    </row>
    <row r="62" spans="2:59" ht="20.25" customHeight="1">
      <c r="C62" s="214"/>
      <c r="Z62" s="215"/>
      <c r="AA62" s="215"/>
      <c r="AB62" s="215"/>
      <c r="AC62" s="216"/>
      <c r="AD62" s="216"/>
      <c r="AE62" s="216"/>
    </row>
    <row r="63" spans="2:59" ht="20.25" hidden="1" customHeight="1">
      <c r="C63" s="214"/>
      <c r="Z63" s="215"/>
      <c r="AA63" s="215"/>
      <c r="AB63" s="215"/>
      <c r="AC63" s="216"/>
      <c r="AD63" s="216"/>
      <c r="AE63" s="216"/>
    </row>
    <row r="64" spans="2:59" ht="20.25" hidden="1" customHeight="1">
      <c r="C64" s="214"/>
      <c r="Z64" s="215"/>
      <c r="AA64" s="215"/>
      <c r="AB64" s="215"/>
      <c r="AC64" s="216"/>
      <c r="AD64" s="216"/>
      <c r="AE64" s="216"/>
    </row>
    <row r="65" spans="1:59" s="57" customFormat="1" ht="20.25" customHeight="1">
      <c r="A65" s="53"/>
      <c r="B65" s="27"/>
      <c r="C65" s="214"/>
      <c r="D65" s="194"/>
      <c r="E65" s="29"/>
      <c r="F65" s="28"/>
      <c r="G65" s="30"/>
      <c r="H65" s="195"/>
      <c r="I65" s="195"/>
      <c r="J65" s="195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15"/>
      <c r="AA65" s="215"/>
      <c r="AB65" s="215"/>
      <c r="AC65" s="216"/>
      <c r="AD65" s="216"/>
      <c r="AE65" s="216"/>
      <c r="AF65" s="28"/>
      <c r="AH65" s="28"/>
      <c r="AI65" s="27"/>
      <c r="AJ65" s="27"/>
      <c r="AK65" s="27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</row>
    <row r="66" spans="1:59" s="57" customFormat="1" ht="20.25">
      <c r="A66" s="53"/>
      <c r="B66" s="27"/>
      <c r="C66" s="217" t="s">
        <v>380</v>
      </c>
      <c r="D66" s="194"/>
      <c r="E66" s="29"/>
      <c r="F66" s="28"/>
      <c r="G66" s="30"/>
      <c r="H66" s="195"/>
      <c r="I66" s="195"/>
      <c r="J66" s="195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18"/>
      <c r="AB66" s="218"/>
      <c r="AC66" s="602" t="s">
        <v>381</v>
      </c>
      <c r="AD66" s="602"/>
      <c r="AE66" s="602"/>
      <c r="AF66" s="602"/>
      <c r="AH66" s="28"/>
      <c r="AI66" s="27"/>
      <c r="AJ66" s="27"/>
      <c r="AK66" s="27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</row>
    <row r="67" spans="1:59" s="57" customFormat="1" ht="18">
      <c r="A67" s="53"/>
      <c r="B67" s="27"/>
      <c r="C67" s="214" t="s">
        <v>382</v>
      </c>
      <c r="D67" s="194"/>
      <c r="E67" s="29"/>
      <c r="F67" s="28"/>
      <c r="G67" s="30"/>
      <c r="H67" s="195"/>
      <c r="I67" s="195"/>
      <c r="J67" s="195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15"/>
      <c r="AB67" s="215"/>
      <c r="AC67" s="601" t="s">
        <v>383</v>
      </c>
      <c r="AD67" s="601"/>
      <c r="AE67" s="601"/>
      <c r="AF67" s="601"/>
      <c r="AH67" s="28"/>
      <c r="AI67" s="27"/>
      <c r="AJ67" s="27"/>
      <c r="AK67" s="27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</row>
    <row r="81" spans="1:59" s="28" customFormat="1" ht="13.5" thickBot="1">
      <c r="A81" s="53"/>
      <c r="B81" s="27"/>
      <c r="D81" s="194"/>
      <c r="E81" s="29"/>
      <c r="G81" s="30"/>
      <c r="H81" s="195"/>
      <c r="I81" s="195"/>
      <c r="J81" s="195"/>
      <c r="AG81" s="57"/>
      <c r="AI81" s="27"/>
      <c r="AJ81" s="27"/>
      <c r="AK81" s="27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</row>
    <row r="82" spans="1:59" s="28" customFormat="1" ht="26.25" thickBot="1">
      <c r="A82" s="53"/>
      <c r="B82" s="27"/>
      <c r="C82" s="191" t="s">
        <v>25</v>
      </c>
      <c r="D82" s="192" t="s">
        <v>26</v>
      </c>
      <c r="E82" s="193" t="s">
        <v>27</v>
      </c>
      <c r="F82" s="191" t="s">
        <v>28</v>
      </c>
      <c r="G82" s="190" t="s">
        <v>29</v>
      </c>
      <c r="H82" s="80" t="s">
        <v>37</v>
      </c>
      <c r="I82" s="81" t="s">
        <v>6</v>
      </c>
      <c r="J82" s="81" t="s">
        <v>15</v>
      </c>
      <c r="AG82" s="57"/>
      <c r="AI82" s="27"/>
      <c r="AJ82" s="27"/>
      <c r="AK82" s="27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</row>
    <row r="83" spans="1:59" s="28" customFormat="1">
      <c r="A83" s="53"/>
      <c r="B83" s="27"/>
      <c r="C83" s="98" t="s">
        <v>365</v>
      </c>
      <c r="D83" s="42" t="s">
        <v>366</v>
      </c>
      <c r="E83" s="43" t="s">
        <v>367</v>
      </c>
      <c r="F83" s="41" t="s">
        <v>368</v>
      </c>
      <c r="G83" s="107" t="s">
        <v>88</v>
      </c>
      <c r="H83" s="44" t="s">
        <v>369</v>
      </c>
      <c r="I83" s="45" t="s">
        <v>11</v>
      </c>
      <c r="J83" s="58" t="str">
        <f t="shared" ref="J83" si="18">IF(ISBLANK(I83),"",IF(OR(I83="TK/0",I83="TK/1",I83="K/0"),"TER A",IF(I83="K/3","TER C","TER B")))</f>
        <v>TER B</v>
      </c>
      <c r="AG83" s="57"/>
      <c r="AI83" s="27"/>
      <c r="AJ83" s="27"/>
      <c r="AK83" s="27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</row>
    <row r="85" spans="1:59" s="28" customFormat="1">
      <c r="A85" s="53"/>
      <c r="B85" s="27"/>
      <c r="C85" s="28" t="s">
        <v>420</v>
      </c>
      <c r="D85" s="194"/>
      <c r="E85" s="29"/>
      <c r="G85" s="30"/>
      <c r="H85" s="195"/>
      <c r="I85" s="195"/>
      <c r="J85" s="195"/>
      <c r="AG85" s="57"/>
      <c r="AI85" s="27"/>
      <c r="AJ85" s="27"/>
      <c r="AK85" s="27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</row>
  </sheetData>
  <mergeCells count="3">
    <mergeCell ref="AC60:AF60"/>
    <mergeCell ref="AC66:AF66"/>
    <mergeCell ref="AC67:AF67"/>
  </mergeCells>
  <dataValidations count="2">
    <dataValidation type="list" allowBlank="1" showInputMessage="1" showErrorMessage="1" sqref="I83 I6:I49">
      <formula1>"TK/0,TK/1,TK/2,TK/3,K/0,K/1,K/2,K/3"</formula1>
    </dataValidation>
    <dataValidation type="list" allowBlank="1" showInputMessage="1" showErrorMessage="1" sqref="H83 H6:H49">
      <formula1>"L,P"</formula1>
    </dataValidation>
  </dataValidations>
  <pageMargins left="0.31496062992125984" right="0.31496062992125984" top="0.15748031496062992" bottom="0.15748031496062992" header="0.31496062992125984" footer="0.31496062992125984"/>
  <pageSetup paperSize="9" scale="40" orientation="landscape" horizont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4"/>
  <sheetViews>
    <sheetView zoomScale="67" zoomScaleNormal="67" workbookViewId="0">
      <selection activeCell="G51" sqref="G51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19.7109375" style="28" customWidth="1"/>
    <col min="4" max="4" width="22.85546875" style="148" customWidth="1" outlineLevel="1"/>
    <col min="5" max="5" width="22.85546875" style="29" customWidth="1" outlineLevel="1"/>
    <col min="6" max="6" width="26" style="28" customWidth="1" outlineLevel="1"/>
    <col min="7" max="7" width="26" style="30" customWidth="1" outlineLevel="1"/>
    <col min="8" max="8" width="5.5703125" style="149" customWidth="1" outlineLevel="1"/>
    <col min="9" max="9" width="8.5703125" style="149" customWidth="1" outlineLevel="1"/>
    <col min="10" max="10" width="10.85546875" style="149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57" customWidth="1"/>
    <col min="28" max="28" width="12.7109375" style="28" customWidth="1"/>
    <col min="29" max="31" width="16.5703125" style="27" customWidth="1"/>
    <col min="32" max="16384" width="9.28515625" style="53"/>
  </cols>
  <sheetData>
    <row r="1" spans="2:28" ht="35.1" customHeight="1">
      <c r="B1" s="27" t="s">
        <v>71</v>
      </c>
    </row>
    <row r="2" spans="2:28" ht="35.1" customHeight="1">
      <c r="B2" s="27" t="s">
        <v>170</v>
      </c>
    </row>
    <row r="3" spans="2:28" ht="35.1" customHeight="1">
      <c r="B3" s="27" t="s">
        <v>171</v>
      </c>
    </row>
    <row r="4" spans="2:28" s="27" customFormat="1" ht="35.1" customHeight="1" thickBot="1">
      <c r="C4" s="56" t="s">
        <v>40</v>
      </c>
      <c r="D4" s="148"/>
      <c r="E4" s="29"/>
      <c r="F4" s="28"/>
      <c r="G4" s="30"/>
      <c r="H4" s="149"/>
      <c r="I4" s="149"/>
      <c r="J4" s="149"/>
      <c r="K4" s="28"/>
      <c r="L4" s="28"/>
      <c r="M4" s="28"/>
      <c r="N4" s="28" t="s">
        <v>91</v>
      </c>
      <c r="O4" s="28" t="s">
        <v>90</v>
      </c>
      <c r="P4" s="28" t="s">
        <v>89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57"/>
      <c r="AB4" s="28"/>
    </row>
    <row r="5" spans="2:28" s="27" customFormat="1" ht="59.25" customHeight="1" thickBot="1">
      <c r="B5" s="144" t="s">
        <v>64</v>
      </c>
      <c r="C5" s="144" t="s">
        <v>25</v>
      </c>
      <c r="D5" s="145" t="s">
        <v>26</v>
      </c>
      <c r="E5" s="146" t="s">
        <v>27</v>
      </c>
      <c r="F5" s="144" t="s">
        <v>28</v>
      </c>
      <c r="G5" s="143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47" t="s">
        <v>67</v>
      </c>
      <c r="M5" s="147" t="s">
        <v>68</v>
      </c>
      <c r="N5" s="147" t="s">
        <v>76</v>
      </c>
      <c r="O5" s="147" t="s">
        <v>77</v>
      </c>
      <c r="P5" s="147" t="s">
        <v>81</v>
      </c>
      <c r="Q5" s="147" t="s">
        <v>163</v>
      </c>
      <c r="R5" s="147" t="s">
        <v>164</v>
      </c>
      <c r="S5" s="94" t="s">
        <v>82</v>
      </c>
      <c r="T5" s="94" t="s">
        <v>83</v>
      </c>
      <c r="U5" s="94" t="s">
        <v>84</v>
      </c>
      <c r="V5" s="94" t="s">
        <v>85</v>
      </c>
      <c r="W5" s="94" t="s">
        <v>78</v>
      </c>
      <c r="X5" s="94" t="s">
        <v>79</v>
      </c>
      <c r="Y5" s="94" t="s">
        <v>80</v>
      </c>
      <c r="Z5" s="94" t="s">
        <v>41</v>
      </c>
      <c r="AA5" s="102" t="s">
        <v>42</v>
      </c>
      <c r="AB5" s="103" t="s">
        <v>43</v>
      </c>
    </row>
    <row r="6" spans="2:28" s="27" customFormat="1" ht="35.1" customHeight="1">
      <c r="B6" s="127">
        <v>1</v>
      </c>
      <c r="C6" s="122" t="s">
        <v>92</v>
      </c>
      <c r="D6" s="109" t="s">
        <v>114</v>
      </c>
      <c r="E6" s="110">
        <v>972282958305000</v>
      </c>
      <c r="F6" s="111" t="s">
        <v>138</v>
      </c>
      <c r="G6" s="107" t="s">
        <v>88</v>
      </c>
      <c r="H6" s="37" t="s">
        <v>39</v>
      </c>
      <c r="I6" s="38" t="s">
        <v>17</v>
      </c>
      <c r="J6" s="128" t="str">
        <f>IF(ISBLANK(I6),"",IF(OR(I6="TK/0",I6="TK/1",I6="K/0"),"TER A",IF(I6="K/3","TER C","TER B")))</f>
        <v>TER A</v>
      </c>
      <c r="K6" s="39">
        <f>31*121333.33</f>
        <v>3761333.23</v>
      </c>
      <c r="L6" s="39">
        <f>3640000*0.84%</f>
        <v>30575.999999999996</v>
      </c>
      <c r="M6" s="141">
        <f>(3640000+61000)*4%</f>
        <v>148040</v>
      </c>
      <c r="N6" s="39"/>
      <c r="O6" s="39"/>
      <c r="P6" s="39"/>
      <c r="Q6" s="39"/>
      <c r="R6" s="39"/>
      <c r="S6" s="39"/>
      <c r="T6" s="101"/>
      <c r="U6" s="101"/>
      <c r="V6" s="101"/>
      <c r="W6" s="39"/>
      <c r="X6" s="39"/>
      <c r="Y6" s="39"/>
      <c r="Z6" s="104">
        <f>ROUNDDOWN(SUM(K6:Y6),0)</f>
        <v>3939949</v>
      </c>
      <c r="AA6" s="105">
        <f t="shared" ref="AA6:AA32" si="0">IF(J6="TER A",VLOOKUP(Z6,Ter_A,4,TRUE),IF(J6="TER B",VLOOKUP(Z6,Ter_B,4,TRUE),VLOOKUP(Z6,Ter_C,4,TRUE)))</f>
        <v>0</v>
      </c>
      <c r="AB6" s="106">
        <f t="shared" ref="AB6:AB32" si="1">ROUND(IF(E6=0,Z6*AA6*120%,Z6*AA6),0)</f>
        <v>0</v>
      </c>
    </row>
    <row r="7" spans="2:28" s="27" customFormat="1" ht="35.1" customHeight="1">
      <c r="B7" s="129">
        <v>2</v>
      </c>
      <c r="C7" s="123" t="s">
        <v>93</v>
      </c>
      <c r="D7" s="112" t="s">
        <v>115</v>
      </c>
      <c r="E7" s="113">
        <v>972282982305000</v>
      </c>
      <c r="F7" s="114" t="s">
        <v>139</v>
      </c>
      <c r="G7" s="107" t="s">
        <v>88</v>
      </c>
      <c r="H7" s="99" t="s">
        <v>38</v>
      </c>
      <c r="I7" s="100" t="s">
        <v>7</v>
      </c>
      <c r="J7" s="132" t="str">
        <f t="shared" ref="J7:J32" si="2">IF(ISBLANK(I7),"",IF(OR(I7="TK/0",I7="TK/1",I7="K/0"),"TER A",IF(I7="K/3","TER C","TER B")))</f>
        <v>TER A</v>
      </c>
      <c r="K7" s="46">
        <f t="shared" ref="K7:K21" si="3">31*121333.33</f>
        <v>3761333.23</v>
      </c>
      <c r="L7" s="46">
        <f t="shared" ref="L7:L21" si="4">3640000*0.84%</f>
        <v>30575.999999999996</v>
      </c>
      <c r="M7" s="142">
        <f>(3640000+61000)*4%</f>
        <v>148040</v>
      </c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62">
        <f>ROUNDDOWN(SUM(K7:Y7),0)</f>
        <v>3939949</v>
      </c>
      <c r="AA7" s="63">
        <f t="shared" si="0"/>
        <v>0</v>
      </c>
      <c r="AB7" s="108">
        <f t="shared" si="1"/>
        <v>0</v>
      </c>
    </row>
    <row r="8" spans="2:28" s="27" customFormat="1" ht="35.1" customHeight="1">
      <c r="B8" s="129">
        <v>3</v>
      </c>
      <c r="C8" s="123" t="s">
        <v>94</v>
      </c>
      <c r="D8" s="112" t="s">
        <v>116</v>
      </c>
      <c r="E8" s="113">
        <v>972283055305000</v>
      </c>
      <c r="F8" s="114" t="s">
        <v>140</v>
      </c>
      <c r="G8" s="107" t="s">
        <v>88</v>
      </c>
      <c r="H8" s="99" t="s">
        <v>39</v>
      </c>
      <c r="I8" s="100" t="s">
        <v>9</v>
      </c>
      <c r="J8" s="132" t="str">
        <f t="shared" si="2"/>
        <v>TER B</v>
      </c>
      <c r="K8" s="46">
        <f t="shared" si="3"/>
        <v>3761333.23</v>
      </c>
      <c r="L8" s="46">
        <f t="shared" si="4"/>
        <v>30575.999999999996</v>
      </c>
      <c r="M8" s="142">
        <f>(3640000+43500)*4%</f>
        <v>147340</v>
      </c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62">
        <f t="shared" ref="Z8:Z32" si="5">ROUNDDOWN(SUM(K8:Y8),0)</f>
        <v>3939249</v>
      </c>
      <c r="AA8" s="63">
        <f t="shared" si="0"/>
        <v>0</v>
      </c>
      <c r="AB8" s="108">
        <f t="shared" si="1"/>
        <v>0</v>
      </c>
    </row>
    <row r="9" spans="2:28" s="27" customFormat="1" ht="35.1" customHeight="1">
      <c r="B9" s="129">
        <v>4</v>
      </c>
      <c r="C9" s="123" t="s">
        <v>95</v>
      </c>
      <c r="D9" s="112" t="s">
        <v>117</v>
      </c>
      <c r="E9" s="113">
        <v>972282974305000</v>
      </c>
      <c r="F9" s="114" t="s">
        <v>74</v>
      </c>
      <c r="G9" s="107" t="s">
        <v>88</v>
      </c>
      <c r="H9" s="99" t="s">
        <v>39</v>
      </c>
      <c r="I9" s="100" t="s">
        <v>9</v>
      </c>
      <c r="J9" s="132" t="str">
        <f t="shared" si="2"/>
        <v>TER B</v>
      </c>
      <c r="K9" s="46">
        <f t="shared" si="3"/>
        <v>3761333.23</v>
      </c>
      <c r="L9" s="46">
        <f t="shared" si="4"/>
        <v>30575.999999999996</v>
      </c>
      <c r="M9" s="142">
        <f>(3640000+43500)*4%</f>
        <v>147340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62">
        <f>ROUNDDOWN(SUM(K9:Y9),0)</f>
        <v>3939249</v>
      </c>
      <c r="AA9" s="63">
        <f t="shared" si="0"/>
        <v>0</v>
      </c>
      <c r="AB9" s="108">
        <f t="shared" si="1"/>
        <v>0</v>
      </c>
    </row>
    <row r="10" spans="2:28" s="27" customFormat="1" ht="35.1" customHeight="1">
      <c r="B10" s="129">
        <v>5</v>
      </c>
      <c r="C10" s="124" t="s">
        <v>96</v>
      </c>
      <c r="D10" s="112" t="s">
        <v>118</v>
      </c>
      <c r="E10" s="113">
        <v>972280226305000</v>
      </c>
      <c r="F10" s="114" t="s">
        <v>141</v>
      </c>
      <c r="G10" s="107" t="s">
        <v>86</v>
      </c>
      <c r="H10" s="99" t="s">
        <v>38</v>
      </c>
      <c r="I10" s="100" t="s">
        <v>7</v>
      </c>
      <c r="J10" s="132" t="str">
        <f t="shared" si="2"/>
        <v>TER A</v>
      </c>
      <c r="K10" s="46">
        <f t="shared" si="3"/>
        <v>3761333.23</v>
      </c>
      <c r="L10" s="46">
        <f t="shared" si="4"/>
        <v>30575.999999999996</v>
      </c>
      <c r="M10" s="142">
        <f>(3640000+43500)*4%</f>
        <v>147340</v>
      </c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62">
        <f t="shared" si="5"/>
        <v>3939249</v>
      </c>
      <c r="AA10" s="63">
        <f t="shared" si="0"/>
        <v>0</v>
      </c>
      <c r="AB10" s="108">
        <f t="shared" si="1"/>
        <v>0</v>
      </c>
    </row>
    <row r="11" spans="2:28" s="27" customFormat="1" ht="35.1" customHeight="1">
      <c r="B11" s="129">
        <v>6</v>
      </c>
      <c r="C11" s="123" t="s">
        <v>97</v>
      </c>
      <c r="D11" s="112" t="s">
        <v>119</v>
      </c>
      <c r="E11" s="113">
        <v>972283014305000</v>
      </c>
      <c r="F11" s="114" t="s">
        <v>142</v>
      </c>
      <c r="G11" s="107" t="s">
        <v>88</v>
      </c>
      <c r="H11" s="99" t="s">
        <v>39</v>
      </c>
      <c r="I11" s="100" t="s">
        <v>11</v>
      </c>
      <c r="J11" s="132" t="str">
        <f t="shared" si="2"/>
        <v>TER B</v>
      </c>
      <c r="K11" s="46">
        <f t="shared" si="3"/>
        <v>3761333.23</v>
      </c>
      <c r="L11" s="46">
        <f t="shared" si="4"/>
        <v>30575.999999999996</v>
      </c>
      <c r="M11" s="142">
        <f>(3640000+47000)*4%</f>
        <v>147480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62">
        <f t="shared" si="5"/>
        <v>3939389</v>
      </c>
      <c r="AA11" s="63">
        <f t="shared" si="0"/>
        <v>0</v>
      </c>
      <c r="AB11" s="108">
        <f t="shared" si="1"/>
        <v>0</v>
      </c>
    </row>
    <row r="12" spans="2:28" s="27" customFormat="1" ht="35.1" customHeight="1">
      <c r="B12" s="129">
        <v>7</v>
      </c>
      <c r="C12" s="123" t="s">
        <v>98</v>
      </c>
      <c r="D12" s="112" t="s">
        <v>120</v>
      </c>
      <c r="E12" s="113">
        <v>972283048305000</v>
      </c>
      <c r="F12" s="114" t="s">
        <v>143</v>
      </c>
      <c r="G12" s="107" t="s">
        <v>88</v>
      </c>
      <c r="H12" s="99" t="s">
        <v>38</v>
      </c>
      <c r="I12" s="100" t="s">
        <v>7</v>
      </c>
      <c r="J12" s="132" t="str">
        <f t="shared" si="2"/>
        <v>TER A</v>
      </c>
      <c r="K12" s="46">
        <f t="shared" si="3"/>
        <v>3761333.23</v>
      </c>
      <c r="L12" s="46">
        <f t="shared" si="4"/>
        <v>30575.999999999996</v>
      </c>
      <c r="M12" s="142">
        <f>(3640000+36500)*4%</f>
        <v>147060</v>
      </c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62">
        <f t="shared" si="5"/>
        <v>3938969</v>
      </c>
      <c r="AA12" s="63">
        <f t="shared" si="0"/>
        <v>0</v>
      </c>
      <c r="AB12" s="108">
        <f t="shared" si="1"/>
        <v>0</v>
      </c>
    </row>
    <row r="13" spans="2:28" s="27" customFormat="1" ht="35.1" customHeight="1">
      <c r="B13" s="129">
        <v>8</v>
      </c>
      <c r="C13" s="123" t="s">
        <v>99</v>
      </c>
      <c r="D13" s="112" t="s">
        <v>121</v>
      </c>
      <c r="E13" s="113">
        <v>972280150305000</v>
      </c>
      <c r="F13" s="114" t="s">
        <v>144</v>
      </c>
      <c r="G13" s="107" t="s">
        <v>88</v>
      </c>
      <c r="H13" s="99" t="s">
        <v>39</v>
      </c>
      <c r="I13" s="100" t="s">
        <v>11</v>
      </c>
      <c r="J13" s="132" t="str">
        <f t="shared" si="2"/>
        <v>TER B</v>
      </c>
      <c r="K13" s="46">
        <f t="shared" si="3"/>
        <v>3761333.23</v>
      </c>
      <c r="L13" s="46">
        <f t="shared" si="4"/>
        <v>30575.999999999996</v>
      </c>
      <c r="M13" s="142">
        <f>(3640000+43500)*4%</f>
        <v>147340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62">
        <f t="shared" si="5"/>
        <v>3939249</v>
      </c>
      <c r="AA13" s="63">
        <f t="shared" si="0"/>
        <v>0</v>
      </c>
      <c r="AB13" s="108">
        <f t="shared" si="1"/>
        <v>0</v>
      </c>
    </row>
    <row r="14" spans="2:28" s="27" customFormat="1" ht="35.1" customHeight="1">
      <c r="B14" s="129">
        <v>9</v>
      </c>
      <c r="C14" s="123" t="s">
        <v>102</v>
      </c>
      <c r="D14" s="112" t="s">
        <v>124</v>
      </c>
      <c r="E14" s="113">
        <v>972285720305000</v>
      </c>
      <c r="F14" s="114" t="s">
        <v>147</v>
      </c>
      <c r="G14" s="107" t="s">
        <v>88</v>
      </c>
      <c r="H14" s="99" t="s">
        <v>39</v>
      </c>
      <c r="I14" s="100" t="s">
        <v>17</v>
      </c>
      <c r="J14" s="132" t="str">
        <f t="shared" si="2"/>
        <v>TER A</v>
      </c>
      <c r="K14" s="46">
        <f t="shared" si="3"/>
        <v>3761333.23</v>
      </c>
      <c r="L14" s="46">
        <f t="shared" si="4"/>
        <v>30575.999999999996</v>
      </c>
      <c r="M14" s="142">
        <f>(3640000+61000)*4%</f>
        <v>148040</v>
      </c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62">
        <f t="shared" si="5"/>
        <v>3939949</v>
      </c>
      <c r="AA14" s="63">
        <f t="shared" si="0"/>
        <v>0</v>
      </c>
      <c r="AB14" s="108">
        <f t="shared" si="1"/>
        <v>0</v>
      </c>
    </row>
    <row r="15" spans="2:28" s="27" customFormat="1" ht="35.1" customHeight="1">
      <c r="B15" s="129">
        <v>10</v>
      </c>
      <c r="C15" s="123" t="s">
        <v>103</v>
      </c>
      <c r="D15" s="112" t="s">
        <v>125</v>
      </c>
      <c r="E15" s="113">
        <v>743653768305000</v>
      </c>
      <c r="F15" s="114" t="s">
        <v>148</v>
      </c>
      <c r="G15" s="107" t="s">
        <v>88</v>
      </c>
      <c r="H15" s="99" t="s">
        <v>39</v>
      </c>
      <c r="I15" s="100" t="s">
        <v>9</v>
      </c>
      <c r="J15" s="132" t="str">
        <f t="shared" si="2"/>
        <v>TER B</v>
      </c>
      <c r="K15" s="46">
        <f t="shared" si="3"/>
        <v>3761333.23</v>
      </c>
      <c r="L15" s="46">
        <f t="shared" si="4"/>
        <v>30575.999999999996</v>
      </c>
      <c r="M15" s="142">
        <f>(3640000+30000)*4%</f>
        <v>146800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62">
        <f t="shared" si="5"/>
        <v>3938709</v>
      </c>
      <c r="AA15" s="63">
        <f t="shared" si="0"/>
        <v>0</v>
      </c>
      <c r="AB15" s="108">
        <f t="shared" si="1"/>
        <v>0</v>
      </c>
    </row>
    <row r="16" spans="2:28" s="27" customFormat="1" ht="35.1" customHeight="1">
      <c r="B16" s="129">
        <v>11</v>
      </c>
      <c r="C16" s="123" t="s">
        <v>104</v>
      </c>
      <c r="D16" s="112" t="s">
        <v>126</v>
      </c>
      <c r="E16" s="113">
        <v>972283287305000</v>
      </c>
      <c r="F16" s="114" t="s">
        <v>149</v>
      </c>
      <c r="G16" s="107" t="s">
        <v>88</v>
      </c>
      <c r="H16" s="99" t="s">
        <v>39</v>
      </c>
      <c r="I16" s="100" t="s">
        <v>9</v>
      </c>
      <c r="J16" s="132" t="str">
        <f t="shared" si="2"/>
        <v>TER B</v>
      </c>
      <c r="K16" s="46">
        <f t="shared" si="3"/>
        <v>3761333.23</v>
      </c>
      <c r="L16" s="46">
        <f t="shared" si="4"/>
        <v>30575.999999999996</v>
      </c>
      <c r="M16" s="46">
        <v>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62">
        <f t="shared" si="5"/>
        <v>3791909</v>
      </c>
      <c r="AA16" s="63">
        <f t="shared" si="0"/>
        <v>0</v>
      </c>
      <c r="AB16" s="108">
        <f t="shared" si="1"/>
        <v>0</v>
      </c>
    </row>
    <row r="17" spans="2:28" s="27" customFormat="1" ht="35.1" customHeight="1">
      <c r="B17" s="129">
        <v>12</v>
      </c>
      <c r="C17" s="123" t="s">
        <v>105</v>
      </c>
      <c r="D17" s="112" t="s">
        <v>127</v>
      </c>
      <c r="E17" s="115">
        <v>972282966305000</v>
      </c>
      <c r="F17" s="114" t="s">
        <v>150</v>
      </c>
      <c r="G17" s="107" t="s">
        <v>88</v>
      </c>
      <c r="H17" s="99" t="s">
        <v>39</v>
      </c>
      <c r="I17" s="100" t="s">
        <v>9</v>
      </c>
      <c r="J17" s="132" t="str">
        <f t="shared" si="2"/>
        <v>TER B</v>
      </c>
      <c r="K17" s="46">
        <f t="shared" si="3"/>
        <v>3761333.23</v>
      </c>
      <c r="L17" s="46">
        <f t="shared" si="4"/>
        <v>30575.999999999996</v>
      </c>
      <c r="M17" s="142">
        <f>(3640000+61000)*4%</f>
        <v>148040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62">
        <f>ROUNDDOWN(SUM(K17:Y17),0)</f>
        <v>3939949</v>
      </c>
      <c r="AA17" s="63">
        <f t="shared" si="0"/>
        <v>0</v>
      </c>
      <c r="AB17" s="108">
        <f t="shared" si="1"/>
        <v>0</v>
      </c>
    </row>
    <row r="18" spans="2:28" s="27" customFormat="1" ht="35.1" customHeight="1">
      <c r="B18" s="129">
        <v>13</v>
      </c>
      <c r="C18" s="123" t="s">
        <v>100</v>
      </c>
      <c r="D18" s="116" t="s">
        <v>122</v>
      </c>
      <c r="E18" s="113">
        <v>972280218305000</v>
      </c>
      <c r="F18" s="114" t="s">
        <v>145</v>
      </c>
      <c r="G18" s="107" t="s">
        <v>88</v>
      </c>
      <c r="H18" s="99" t="s">
        <v>39</v>
      </c>
      <c r="I18" s="100" t="s">
        <v>17</v>
      </c>
      <c r="J18" s="132" t="str">
        <f t="shared" si="2"/>
        <v>TER A</v>
      </c>
      <c r="K18" s="46">
        <f t="shared" si="3"/>
        <v>3761333.23</v>
      </c>
      <c r="L18" s="46">
        <f t="shared" si="4"/>
        <v>30575.999999999996</v>
      </c>
      <c r="M18" s="142">
        <f>(3640000+47000)*4%</f>
        <v>147480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62">
        <f t="shared" si="5"/>
        <v>3939389</v>
      </c>
      <c r="AA18" s="63">
        <f t="shared" si="0"/>
        <v>0</v>
      </c>
      <c r="AB18" s="108">
        <f t="shared" si="1"/>
        <v>0</v>
      </c>
    </row>
    <row r="19" spans="2:28" s="27" customFormat="1" ht="35.1" customHeight="1">
      <c r="B19" s="129">
        <v>14</v>
      </c>
      <c r="C19" s="123" t="s">
        <v>106</v>
      </c>
      <c r="D19" s="112" t="s">
        <v>128</v>
      </c>
      <c r="E19" s="115">
        <v>972285506305000</v>
      </c>
      <c r="F19" s="114" t="s">
        <v>151</v>
      </c>
      <c r="G19" s="107" t="s">
        <v>88</v>
      </c>
      <c r="H19" s="99" t="s">
        <v>39</v>
      </c>
      <c r="I19" s="100" t="s">
        <v>9</v>
      </c>
      <c r="J19" s="132" t="str">
        <f t="shared" si="2"/>
        <v>TER B</v>
      </c>
      <c r="K19" s="46">
        <f t="shared" si="3"/>
        <v>3761333.23</v>
      </c>
      <c r="L19" s="46">
        <f t="shared" si="4"/>
        <v>30575.999999999996</v>
      </c>
      <c r="M19" s="142">
        <f>(3640000+43500)*4%</f>
        <v>147340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62">
        <f t="shared" si="5"/>
        <v>3939249</v>
      </c>
      <c r="AA19" s="63">
        <f t="shared" si="0"/>
        <v>0</v>
      </c>
      <c r="AB19" s="108">
        <f t="shared" si="1"/>
        <v>0</v>
      </c>
    </row>
    <row r="20" spans="2:28" s="27" customFormat="1" ht="35.1" customHeight="1">
      <c r="B20" s="129">
        <v>15</v>
      </c>
      <c r="C20" s="123" t="s">
        <v>108</v>
      </c>
      <c r="D20" s="112" t="s">
        <v>130</v>
      </c>
      <c r="E20" s="115">
        <v>972374425305000</v>
      </c>
      <c r="F20" s="114" t="s">
        <v>153</v>
      </c>
      <c r="G20" s="107" t="s">
        <v>161</v>
      </c>
      <c r="H20" s="99" t="s">
        <v>39</v>
      </c>
      <c r="I20" s="100" t="s">
        <v>11</v>
      </c>
      <c r="J20" s="132" t="str">
        <f t="shared" si="2"/>
        <v>TER B</v>
      </c>
      <c r="K20" s="46">
        <f t="shared" si="3"/>
        <v>3761333.23</v>
      </c>
      <c r="L20" s="46">
        <f t="shared" si="4"/>
        <v>30575.999999999996</v>
      </c>
      <c r="M20" s="142">
        <f>(3640000+50500)*4%</f>
        <v>147620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62">
        <f t="shared" si="5"/>
        <v>3939529</v>
      </c>
      <c r="AA20" s="63">
        <f t="shared" si="0"/>
        <v>0</v>
      </c>
      <c r="AB20" s="108">
        <f t="shared" si="1"/>
        <v>0</v>
      </c>
    </row>
    <row r="21" spans="2:28" s="27" customFormat="1" ht="35.1" customHeight="1">
      <c r="B21" s="129">
        <v>16</v>
      </c>
      <c r="C21" s="123" t="s">
        <v>111</v>
      </c>
      <c r="D21" s="112" t="s">
        <v>133</v>
      </c>
      <c r="E21" s="115">
        <v>972285704305000</v>
      </c>
      <c r="F21" s="114" t="s">
        <v>155</v>
      </c>
      <c r="G21" s="107" t="s">
        <v>88</v>
      </c>
      <c r="H21" s="44" t="s">
        <v>39</v>
      </c>
      <c r="I21" s="45" t="s">
        <v>9</v>
      </c>
      <c r="J21" s="132" t="str">
        <f t="shared" si="2"/>
        <v>TER B</v>
      </c>
      <c r="K21" s="46">
        <f t="shared" si="3"/>
        <v>3761333.23</v>
      </c>
      <c r="L21" s="46">
        <f t="shared" si="4"/>
        <v>30575.999999999996</v>
      </c>
      <c r="M21" s="140">
        <f>(3640000+61000)*4%</f>
        <v>148040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62">
        <f t="shared" si="5"/>
        <v>3939949</v>
      </c>
      <c r="AA21" s="63">
        <f t="shared" si="0"/>
        <v>0</v>
      </c>
      <c r="AB21" s="108">
        <f t="shared" si="1"/>
        <v>0</v>
      </c>
    </row>
    <row r="22" spans="2:28" s="27" customFormat="1" ht="35.1" customHeight="1">
      <c r="B22" s="129">
        <v>17</v>
      </c>
      <c r="C22" s="124" t="s">
        <v>162</v>
      </c>
      <c r="D22" s="112" t="s">
        <v>134</v>
      </c>
      <c r="E22" s="121" t="s">
        <v>73</v>
      </c>
      <c r="F22" s="114" t="s">
        <v>156</v>
      </c>
      <c r="G22" s="107" t="s">
        <v>160</v>
      </c>
      <c r="H22" s="44" t="s">
        <v>39</v>
      </c>
      <c r="I22" s="45" t="s">
        <v>7</v>
      </c>
      <c r="J22" s="132" t="str">
        <f t="shared" si="2"/>
        <v>TER A</v>
      </c>
      <c r="K22" s="138">
        <f>31*123833.33</f>
        <v>3838833.23</v>
      </c>
      <c r="L22" s="139">
        <f>3715000*0.84%</f>
        <v>31205.999999999996</v>
      </c>
      <c r="M22" s="142">
        <f>(3715000+2500)*4%</f>
        <v>148700</v>
      </c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62">
        <f t="shared" si="5"/>
        <v>4018739</v>
      </c>
      <c r="AA22" s="63">
        <f t="shared" si="0"/>
        <v>0</v>
      </c>
      <c r="AB22" s="108">
        <f t="shared" si="1"/>
        <v>0</v>
      </c>
    </row>
    <row r="23" spans="2:28" s="27" customFormat="1" ht="35.1" customHeight="1">
      <c r="B23" s="129">
        <v>18</v>
      </c>
      <c r="C23" s="125" t="s">
        <v>113</v>
      </c>
      <c r="D23" s="117" t="s">
        <v>137</v>
      </c>
      <c r="E23" s="118">
        <v>972285225305000</v>
      </c>
      <c r="F23" s="114" t="s">
        <v>159</v>
      </c>
      <c r="G23" s="107" t="s">
        <v>88</v>
      </c>
      <c r="H23" s="44" t="s">
        <v>39</v>
      </c>
      <c r="I23" s="45" t="s">
        <v>17</v>
      </c>
      <c r="J23" s="132" t="str">
        <f t="shared" si="2"/>
        <v>TER A</v>
      </c>
      <c r="K23" s="60">
        <f>31*121333.33</f>
        <v>3761333.23</v>
      </c>
      <c r="L23" s="46">
        <f>3640000*0.84%</f>
        <v>30575.999999999996</v>
      </c>
      <c r="M23" s="142">
        <f>(3640000+43500)*4%</f>
        <v>147340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62">
        <f t="shared" si="5"/>
        <v>3939249</v>
      </c>
      <c r="AA23" s="63">
        <f t="shared" si="0"/>
        <v>0</v>
      </c>
      <c r="AB23" s="108">
        <f t="shared" si="1"/>
        <v>0</v>
      </c>
    </row>
    <row r="24" spans="2:28" s="27" customFormat="1" ht="35.1" customHeight="1">
      <c r="B24" s="129">
        <v>19</v>
      </c>
      <c r="C24" s="123" t="s">
        <v>101</v>
      </c>
      <c r="D24" s="116" t="s">
        <v>123</v>
      </c>
      <c r="E24" s="113">
        <v>972280259305000</v>
      </c>
      <c r="F24" s="114" t="s">
        <v>146</v>
      </c>
      <c r="G24" s="107" t="s">
        <v>87</v>
      </c>
      <c r="H24" s="99" t="s">
        <v>39</v>
      </c>
      <c r="I24" s="100" t="s">
        <v>11</v>
      </c>
      <c r="J24" s="132" t="str">
        <f t="shared" si="2"/>
        <v>TER B</v>
      </c>
      <c r="K24" s="60">
        <f t="shared" ref="K24:K29" si="6">31*121333.33</f>
        <v>3761333.23</v>
      </c>
      <c r="L24" s="46">
        <f t="shared" ref="L24:L29" si="7">3640000*0.84%</f>
        <v>30575.999999999996</v>
      </c>
      <c r="M24" s="142">
        <f>(3640000+47000)*4%</f>
        <v>147480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62">
        <f t="shared" si="5"/>
        <v>3939389</v>
      </c>
      <c r="AA24" s="63">
        <f t="shared" si="0"/>
        <v>0</v>
      </c>
      <c r="AB24" s="108">
        <f t="shared" si="1"/>
        <v>0</v>
      </c>
    </row>
    <row r="25" spans="2:28" s="27" customFormat="1" ht="35.1" customHeight="1">
      <c r="B25" s="129">
        <v>20</v>
      </c>
      <c r="C25" s="123" t="s">
        <v>107</v>
      </c>
      <c r="D25" s="112" t="s">
        <v>129</v>
      </c>
      <c r="E25" s="115">
        <v>972286066305000</v>
      </c>
      <c r="F25" s="114" t="s">
        <v>152</v>
      </c>
      <c r="G25" s="107" t="s">
        <v>87</v>
      </c>
      <c r="H25" s="99" t="s">
        <v>39</v>
      </c>
      <c r="I25" s="100" t="s">
        <v>11</v>
      </c>
      <c r="J25" s="132" t="str">
        <f t="shared" si="2"/>
        <v>TER B</v>
      </c>
      <c r="K25" s="60">
        <f t="shared" si="6"/>
        <v>3761333.23</v>
      </c>
      <c r="L25" s="46">
        <f t="shared" si="7"/>
        <v>30575.999999999996</v>
      </c>
      <c r="M25" s="142">
        <f>(3640000+61000)*4%</f>
        <v>148040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62">
        <f t="shared" si="5"/>
        <v>3939949</v>
      </c>
      <c r="AA25" s="63">
        <f t="shared" si="0"/>
        <v>0</v>
      </c>
      <c r="AB25" s="108">
        <f t="shared" si="1"/>
        <v>0</v>
      </c>
    </row>
    <row r="26" spans="2:28" s="27" customFormat="1" ht="35.1" customHeight="1">
      <c r="B26" s="129">
        <v>21</v>
      </c>
      <c r="C26" s="123" t="s">
        <v>109</v>
      </c>
      <c r="D26" s="112" t="s">
        <v>131</v>
      </c>
      <c r="E26" s="115">
        <v>743653420305000</v>
      </c>
      <c r="F26" s="114" t="s">
        <v>154</v>
      </c>
      <c r="G26" s="107" t="s">
        <v>87</v>
      </c>
      <c r="H26" s="44" t="s">
        <v>39</v>
      </c>
      <c r="I26" s="45" t="s">
        <v>17</v>
      </c>
      <c r="J26" s="132" t="str">
        <f t="shared" si="2"/>
        <v>TER A</v>
      </c>
      <c r="K26" s="60">
        <f t="shared" si="6"/>
        <v>3761333.23</v>
      </c>
      <c r="L26" s="46">
        <f t="shared" si="7"/>
        <v>30575.999999999996</v>
      </c>
      <c r="M26" s="142">
        <f>(3640000+24000)*4%</f>
        <v>146560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62">
        <f t="shared" si="5"/>
        <v>3938469</v>
      </c>
      <c r="AA26" s="63">
        <f t="shared" si="0"/>
        <v>0</v>
      </c>
      <c r="AB26" s="108">
        <f t="shared" si="1"/>
        <v>0</v>
      </c>
    </row>
    <row r="27" spans="2:28" s="27" customFormat="1" ht="35.1" customHeight="1">
      <c r="B27" s="129">
        <v>22</v>
      </c>
      <c r="C27" s="126" t="s">
        <v>110</v>
      </c>
      <c r="D27" s="112" t="s">
        <v>132</v>
      </c>
      <c r="E27" s="115">
        <v>972285597305000</v>
      </c>
      <c r="F27" s="114" t="s">
        <v>147</v>
      </c>
      <c r="G27" s="107" t="s">
        <v>87</v>
      </c>
      <c r="H27" s="44" t="s">
        <v>39</v>
      </c>
      <c r="I27" s="45" t="s">
        <v>9</v>
      </c>
      <c r="J27" s="132" t="str">
        <f t="shared" si="2"/>
        <v>TER B</v>
      </c>
      <c r="K27" s="60">
        <f t="shared" si="6"/>
        <v>3761333.23</v>
      </c>
      <c r="L27" s="46">
        <f t="shared" si="7"/>
        <v>30575.999999999996</v>
      </c>
      <c r="M27" s="140">
        <f>(3640000+43500)*4%</f>
        <v>147340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62">
        <f t="shared" si="5"/>
        <v>3939249</v>
      </c>
      <c r="AA27" s="63">
        <f t="shared" si="0"/>
        <v>0</v>
      </c>
      <c r="AB27" s="108">
        <f t="shared" si="1"/>
        <v>0</v>
      </c>
    </row>
    <row r="28" spans="2:28" s="27" customFormat="1" ht="35.1" customHeight="1">
      <c r="B28" s="129">
        <v>23</v>
      </c>
      <c r="C28" s="126" t="s">
        <v>112</v>
      </c>
      <c r="D28" s="112" t="s">
        <v>135</v>
      </c>
      <c r="E28" s="113">
        <v>972280192305000</v>
      </c>
      <c r="F28" s="114" t="s">
        <v>157</v>
      </c>
      <c r="G28" s="107" t="s">
        <v>87</v>
      </c>
      <c r="H28" s="44" t="s">
        <v>39</v>
      </c>
      <c r="I28" s="45" t="s">
        <v>9</v>
      </c>
      <c r="J28" s="132" t="str">
        <f t="shared" si="2"/>
        <v>TER B</v>
      </c>
      <c r="K28" s="60">
        <f t="shared" si="6"/>
        <v>3761333.23</v>
      </c>
      <c r="L28" s="46">
        <f t="shared" si="7"/>
        <v>30575.999999999996</v>
      </c>
      <c r="M28" s="142">
        <f>(3640000+43500)*4%</f>
        <v>147340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62">
        <f t="shared" si="5"/>
        <v>3939249</v>
      </c>
      <c r="AA28" s="63">
        <f t="shared" si="0"/>
        <v>0</v>
      </c>
      <c r="AB28" s="108">
        <f t="shared" si="1"/>
        <v>0</v>
      </c>
    </row>
    <row r="29" spans="2:28" s="27" customFormat="1" ht="35.1" customHeight="1">
      <c r="B29" s="129">
        <v>24</v>
      </c>
      <c r="C29" s="126" t="s">
        <v>106</v>
      </c>
      <c r="D29" s="112" t="s">
        <v>136</v>
      </c>
      <c r="E29" s="115">
        <v>972283733305000</v>
      </c>
      <c r="F29" s="114" t="s">
        <v>158</v>
      </c>
      <c r="G29" s="107" t="s">
        <v>87</v>
      </c>
      <c r="H29" s="44" t="s">
        <v>39</v>
      </c>
      <c r="I29" s="45" t="s">
        <v>9</v>
      </c>
      <c r="J29" s="132" t="str">
        <f t="shared" si="2"/>
        <v>TER B</v>
      </c>
      <c r="K29" s="60">
        <f t="shared" si="6"/>
        <v>3761333.23</v>
      </c>
      <c r="L29" s="46">
        <f t="shared" si="7"/>
        <v>30575.999999999996</v>
      </c>
      <c r="M29" s="142">
        <f>(3640000+43500)*4%</f>
        <v>147340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62">
        <f t="shared" si="5"/>
        <v>3939249</v>
      </c>
      <c r="AA29" s="63">
        <f t="shared" si="0"/>
        <v>0</v>
      </c>
      <c r="AB29" s="108">
        <f t="shared" si="1"/>
        <v>0</v>
      </c>
    </row>
    <row r="30" spans="2:28" s="27" customFormat="1" ht="35.1" customHeight="1">
      <c r="B30" s="129">
        <v>25</v>
      </c>
      <c r="C30" s="130"/>
      <c r="D30" s="133"/>
      <c r="E30" s="134"/>
      <c r="F30" s="135"/>
      <c r="G30" s="131"/>
      <c r="H30" s="136"/>
      <c r="I30" s="137"/>
      <c r="J30" s="132" t="str">
        <f t="shared" si="2"/>
        <v/>
      </c>
      <c r="K30" s="60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62">
        <f t="shared" si="5"/>
        <v>0</v>
      </c>
      <c r="AA30" s="63">
        <f t="shared" si="0"/>
        <v>0</v>
      </c>
      <c r="AB30" s="108">
        <f t="shared" si="1"/>
        <v>0</v>
      </c>
    </row>
    <row r="31" spans="2:28" s="27" customFormat="1" ht="35.1" customHeight="1">
      <c r="B31" s="97">
        <v>26</v>
      </c>
      <c r="C31" s="98"/>
      <c r="D31" s="42"/>
      <c r="E31" s="43"/>
      <c r="F31" s="41"/>
      <c r="G31" s="107"/>
      <c r="H31" s="44"/>
      <c r="I31" s="45"/>
      <c r="J31" s="58" t="str">
        <f t="shared" si="2"/>
        <v/>
      </c>
      <c r="K31" s="60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62">
        <f t="shared" si="5"/>
        <v>0</v>
      </c>
      <c r="AA31" s="63">
        <f t="shared" si="0"/>
        <v>0</v>
      </c>
      <c r="AB31" s="108">
        <f t="shared" si="1"/>
        <v>0</v>
      </c>
    </row>
    <row r="32" spans="2:28" s="27" customFormat="1" ht="35.1" customHeight="1" thickBot="1">
      <c r="B32" s="97">
        <v>27</v>
      </c>
      <c r="C32" s="98"/>
      <c r="D32" s="42"/>
      <c r="E32" s="43"/>
      <c r="F32" s="41"/>
      <c r="G32" s="107"/>
      <c r="H32" s="44"/>
      <c r="I32" s="45"/>
      <c r="J32" s="58" t="str">
        <f t="shared" si="2"/>
        <v/>
      </c>
      <c r="K32" s="60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62">
        <f t="shared" si="5"/>
        <v>0</v>
      </c>
      <c r="AA32" s="63">
        <f t="shared" si="0"/>
        <v>0</v>
      </c>
      <c r="AB32" s="108">
        <f t="shared" si="1"/>
        <v>0</v>
      </c>
    </row>
    <row r="33" spans="2:53" s="52" customFormat="1" ht="22.15" customHeight="1" thickBot="1">
      <c r="B33" s="82"/>
      <c r="C33" s="83"/>
      <c r="D33" s="83"/>
      <c r="E33" s="83"/>
      <c r="F33" s="83"/>
      <c r="G33" s="83"/>
      <c r="H33" s="83"/>
      <c r="I33" s="83"/>
      <c r="J33" s="83"/>
      <c r="K33" s="84">
        <f>SUM(K6:K32)</f>
        <v>90349497.519999996</v>
      </c>
      <c r="L33" s="84">
        <f>SUM(L6:L32)</f>
        <v>734453.99999999988</v>
      </c>
      <c r="M33" s="84">
        <f>SUM(M6:M32)</f>
        <v>3393480</v>
      </c>
      <c r="N33" s="84"/>
      <c r="O33" s="84"/>
      <c r="P33" s="84"/>
      <c r="Q33" s="84"/>
      <c r="R33" s="84">
        <f>SUM(R6:R32)</f>
        <v>0</v>
      </c>
      <c r="S33" s="84"/>
      <c r="T33" s="84"/>
      <c r="U33" s="84"/>
      <c r="V33" s="84"/>
      <c r="W33" s="84"/>
      <c r="X33" s="84"/>
      <c r="Y33" s="84"/>
      <c r="Z33" s="84">
        <f>SUM(Z6:Z32)</f>
        <v>94477426</v>
      </c>
      <c r="AA33" s="84">
        <f>SUM(AA6:AA32)</f>
        <v>0</v>
      </c>
      <c r="AB33" s="84">
        <f>SUM(AB6:AB32)</f>
        <v>0</v>
      </c>
      <c r="AC33" s="51"/>
      <c r="AD33" s="51"/>
      <c r="AE33" s="51"/>
    </row>
    <row r="34" spans="2:53" ht="15" customHeight="1">
      <c r="K34" s="28">
        <f>+'[27]PPH21-STAFF'!$F$81</f>
        <v>118230083.31999999</v>
      </c>
      <c r="L34" s="28">
        <f>+'[27]PPH21-STAFF'!$G$81</f>
        <v>1055149.8998880002</v>
      </c>
      <c r="M34" s="28">
        <f>+'[27]PPH21-STAFF'!$H$81</f>
        <v>5024523.3328</v>
      </c>
      <c r="Z34" s="28">
        <f>+'[27]PPH21-STAFF'!$S$81</f>
        <v>146559230.55268797</v>
      </c>
    </row>
    <row r="35" spans="2:53" ht="15" hidden="1" customHeight="1">
      <c r="B35" s="51" t="s">
        <v>48</v>
      </c>
      <c r="M35" s="54"/>
      <c r="N35" s="54"/>
      <c r="O35" s="54"/>
      <c r="P35" s="54"/>
      <c r="Q35" s="54"/>
    </row>
    <row r="36" spans="2:53" ht="15" hidden="1" customHeight="1">
      <c r="B36" s="27" t="s">
        <v>49</v>
      </c>
      <c r="M36" s="54"/>
      <c r="N36" s="54"/>
      <c r="O36" s="54"/>
      <c r="P36" s="54"/>
      <c r="Q36" s="54"/>
    </row>
    <row r="37" spans="2:53" ht="15" hidden="1" customHeight="1">
      <c r="B37" s="27" t="s">
        <v>57</v>
      </c>
      <c r="M37" s="54"/>
      <c r="N37" s="54"/>
      <c r="O37" s="54"/>
      <c r="P37" s="54"/>
      <c r="Q37" s="54"/>
    </row>
    <row r="38" spans="2:53" ht="15" hidden="1" customHeight="1">
      <c r="B38" s="27" t="s">
        <v>50</v>
      </c>
      <c r="M38" s="54"/>
      <c r="N38" s="54"/>
      <c r="O38" s="54"/>
      <c r="P38" s="54"/>
      <c r="Q38" s="54"/>
    </row>
    <row r="39" spans="2:53" s="31" customFormat="1" ht="15" hidden="1" customHeight="1">
      <c r="B39" s="27" t="s">
        <v>58</v>
      </c>
      <c r="C39" s="28"/>
      <c r="D39" s="148"/>
      <c r="E39" s="29"/>
      <c r="F39" s="28"/>
      <c r="G39" s="30"/>
      <c r="H39" s="149"/>
      <c r="I39" s="149"/>
      <c r="J39" s="149"/>
      <c r="K39" s="28"/>
      <c r="L39" s="28"/>
      <c r="M39" s="54"/>
      <c r="N39" s="54"/>
      <c r="O39" s="54"/>
      <c r="P39" s="54"/>
      <c r="Q39" s="54"/>
      <c r="R39" s="28"/>
      <c r="S39" s="28"/>
      <c r="T39" s="28"/>
      <c r="U39" s="28"/>
      <c r="V39" s="28"/>
      <c r="W39" s="28"/>
      <c r="X39" s="28"/>
      <c r="Y39" s="28"/>
      <c r="Z39" s="28"/>
      <c r="AA39" s="57"/>
      <c r="AB39" s="28"/>
      <c r="AC39" s="27"/>
      <c r="AD39" s="27"/>
      <c r="AE39" s="27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</row>
    <row r="40" spans="2:53" s="31" customFormat="1" ht="15" hidden="1" customHeight="1">
      <c r="B40" s="27" t="s">
        <v>51</v>
      </c>
      <c r="C40" s="28"/>
      <c r="D40" s="148"/>
      <c r="E40" s="29"/>
      <c r="F40" s="28"/>
      <c r="G40" s="30"/>
      <c r="H40" s="149"/>
      <c r="I40" s="149"/>
      <c r="J40" s="149"/>
      <c r="K40" s="28"/>
      <c r="L40" s="28"/>
      <c r="M40" s="54"/>
      <c r="N40" s="54"/>
      <c r="O40" s="54"/>
      <c r="P40" s="54"/>
      <c r="Q40" s="54"/>
      <c r="R40" s="28"/>
      <c r="S40" s="28"/>
      <c r="T40" s="28"/>
      <c r="U40" s="28"/>
      <c r="V40" s="28"/>
      <c r="W40" s="28"/>
      <c r="X40" s="28"/>
      <c r="Y40" s="28"/>
      <c r="Z40" s="28"/>
      <c r="AA40" s="57"/>
      <c r="AB40" s="28"/>
      <c r="AC40" s="27"/>
      <c r="AD40" s="27"/>
      <c r="AE40" s="27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</row>
    <row r="41" spans="2:53" s="31" customFormat="1" ht="15" hidden="1" customHeight="1">
      <c r="B41" s="27" t="s">
        <v>52</v>
      </c>
      <c r="C41" s="28"/>
      <c r="D41" s="148"/>
      <c r="E41" s="29"/>
      <c r="F41" s="28"/>
      <c r="G41" s="30"/>
      <c r="H41" s="149"/>
      <c r="I41" s="149"/>
      <c r="J41" s="149"/>
      <c r="K41" s="28"/>
      <c r="L41" s="28"/>
      <c r="M41" s="54"/>
      <c r="N41" s="54"/>
      <c r="O41" s="54"/>
      <c r="P41" s="54"/>
      <c r="Q41" s="54"/>
      <c r="R41" s="28"/>
      <c r="S41" s="28"/>
      <c r="T41" s="28"/>
      <c r="U41" s="28"/>
      <c r="V41" s="28"/>
      <c r="W41" s="28"/>
      <c r="X41" s="28"/>
      <c r="Y41" s="28"/>
      <c r="Z41" s="28"/>
      <c r="AA41" s="57"/>
      <c r="AB41" s="28"/>
      <c r="AC41" s="27"/>
      <c r="AD41" s="27"/>
      <c r="AE41" s="27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</row>
    <row r="42" spans="2:53" s="31" customFormat="1" ht="15" hidden="1" customHeight="1">
      <c r="B42" s="27" t="s">
        <v>53</v>
      </c>
      <c r="C42" s="28"/>
      <c r="D42" s="148"/>
      <c r="E42" s="29"/>
      <c r="F42" s="28"/>
      <c r="G42" s="30"/>
      <c r="H42" s="149"/>
      <c r="I42" s="149"/>
      <c r="J42" s="149"/>
      <c r="K42" s="28"/>
      <c r="L42" s="28"/>
      <c r="M42" s="54"/>
      <c r="N42" s="54"/>
      <c r="O42" s="54"/>
      <c r="P42" s="54"/>
      <c r="Q42" s="54"/>
      <c r="R42" s="28"/>
      <c r="S42" s="28"/>
      <c r="T42" s="28"/>
      <c r="U42" s="28"/>
      <c r="V42" s="28"/>
      <c r="W42" s="28"/>
      <c r="X42" s="28"/>
      <c r="Y42" s="28"/>
      <c r="Z42" s="28"/>
      <c r="AA42" s="57"/>
      <c r="AB42" s="28"/>
      <c r="AC42" s="27"/>
      <c r="AD42" s="27"/>
      <c r="AE42" s="27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</row>
    <row r="43" spans="2:53" s="31" customFormat="1" ht="15" hidden="1" customHeight="1">
      <c r="B43" s="27" t="s">
        <v>59</v>
      </c>
      <c r="C43" s="28"/>
      <c r="D43" s="148"/>
      <c r="E43" s="29"/>
      <c r="F43" s="28"/>
      <c r="G43" s="30"/>
      <c r="H43" s="149"/>
      <c r="I43" s="149"/>
      <c r="J43" s="149"/>
      <c r="K43" s="28"/>
      <c r="L43" s="28"/>
      <c r="M43" s="54"/>
      <c r="N43" s="54"/>
      <c r="O43" s="54"/>
      <c r="P43" s="54"/>
      <c r="Q43" s="54"/>
      <c r="R43" s="28"/>
      <c r="S43" s="28"/>
      <c r="T43" s="28"/>
      <c r="U43" s="28"/>
      <c r="V43" s="28"/>
      <c r="W43" s="28"/>
      <c r="X43" s="28"/>
      <c r="Y43" s="28"/>
      <c r="Z43" s="28"/>
      <c r="AA43" s="57"/>
      <c r="AB43" s="28"/>
      <c r="AC43" s="27"/>
      <c r="AD43" s="27"/>
      <c r="AE43" s="27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</row>
    <row r="44" spans="2:53" s="31" customFormat="1" ht="15" hidden="1" customHeight="1">
      <c r="B44" s="27" t="s">
        <v>60</v>
      </c>
      <c r="C44" s="28"/>
      <c r="D44" s="148"/>
      <c r="E44" s="29"/>
      <c r="F44" s="28"/>
      <c r="G44" s="30"/>
      <c r="H44" s="149"/>
      <c r="I44" s="149"/>
      <c r="J44" s="149"/>
      <c r="K44" s="28"/>
      <c r="L44" s="28"/>
      <c r="M44" s="54"/>
      <c r="N44" s="54"/>
      <c r="O44" s="54"/>
      <c r="P44" s="54"/>
      <c r="Q44" s="54"/>
      <c r="R44" s="28"/>
      <c r="S44" s="28"/>
      <c r="T44" s="28"/>
      <c r="U44" s="28"/>
      <c r="V44" s="28"/>
      <c r="W44" s="28"/>
      <c r="X44" s="28"/>
      <c r="Y44" s="28"/>
      <c r="Z44" s="28"/>
      <c r="AA44" s="57"/>
      <c r="AB44" s="28"/>
      <c r="AC44" s="27"/>
      <c r="AD44" s="27"/>
      <c r="AE44" s="27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</row>
    <row r="45" spans="2:53" s="31" customFormat="1" ht="15" hidden="1" customHeight="1">
      <c r="B45" s="27" t="s">
        <v>65</v>
      </c>
      <c r="C45" s="28"/>
      <c r="D45" s="148"/>
      <c r="E45" s="29"/>
      <c r="F45" s="28"/>
      <c r="G45" s="30"/>
      <c r="H45" s="149"/>
      <c r="I45" s="149"/>
      <c r="J45" s="149"/>
      <c r="K45" s="28"/>
      <c r="L45" s="28"/>
      <c r="M45" s="54"/>
      <c r="N45" s="54"/>
      <c r="O45" s="54"/>
      <c r="P45" s="54"/>
      <c r="Q45" s="54"/>
      <c r="R45" s="28"/>
      <c r="S45" s="28"/>
      <c r="T45" s="28"/>
      <c r="U45" s="28"/>
      <c r="V45" s="28"/>
      <c r="W45" s="28"/>
      <c r="X45" s="28"/>
      <c r="Y45" s="28"/>
      <c r="Z45" s="28"/>
      <c r="AA45" s="57"/>
      <c r="AB45" s="28"/>
      <c r="AC45" s="27"/>
      <c r="AD45" s="27"/>
      <c r="AE45" s="27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</row>
    <row r="46" spans="2:53" s="31" customFormat="1" ht="15" hidden="1" customHeight="1">
      <c r="B46" s="27"/>
      <c r="C46" s="28"/>
      <c r="D46" s="148"/>
      <c r="E46" s="29"/>
      <c r="F46" s="28"/>
      <c r="G46" s="30"/>
      <c r="H46" s="149"/>
      <c r="I46" s="149"/>
      <c r="J46" s="149"/>
      <c r="K46" s="28"/>
      <c r="L46" s="28"/>
      <c r="M46" s="54"/>
      <c r="N46" s="54"/>
      <c r="O46" s="54"/>
      <c r="P46" s="54"/>
      <c r="Q46" s="54"/>
      <c r="R46" s="28"/>
      <c r="S46" s="28"/>
      <c r="T46" s="28"/>
      <c r="U46" s="28"/>
      <c r="V46" s="28"/>
      <c r="W46" s="28"/>
      <c r="X46" s="28"/>
      <c r="Y46" s="28"/>
      <c r="Z46" s="28"/>
      <c r="AA46" s="57"/>
      <c r="AB46" s="28"/>
      <c r="AC46" s="27"/>
      <c r="AD46" s="27"/>
      <c r="AE46" s="27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</row>
    <row r="47" spans="2:53" s="31" customFormat="1" ht="15" hidden="1" customHeight="1">
      <c r="B47" s="27"/>
      <c r="C47" s="28"/>
      <c r="D47" s="148"/>
      <c r="E47" s="29"/>
      <c r="F47" s="28"/>
      <c r="G47" s="30"/>
      <c r="H47" s="149"/>
      <c r="I47" s="149"/>
      <c r="J47" s="149"/>
      <c r="K47" s="28"/>
      <c r="L47" s="28"/>
      <c r="M47" s="54"/>
      <c r="N47" s="54"/>
      <c r="O47" s="54"/>
      <c r="P47" s="54"/>
      <c r="Q47" s="54"/>
      <c r="R47" s="28"/>
      <c r="S47" s="28"/>
      <c r="T47" s="28"/>
      <c r="U47" s="28"/>
      <c r="V47" s="28"/>
      <c r="W47" s="28"/>
      <c r="X47" s="28"/>
      <c r="Y47" s="28"/>
      <c r="Z47" s="28"/>
      <c r="AA47" s="57"/>
      <c r="AB47" s="28"/>
      <c r="AC47" s="27"/>
      <c r="AD47" s="27"/>
      <c r="AE47" s="27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</row>
    <row r="48" spans="2:53" s="31" customFormat="1" ht="24.95" customHeight="1">
      <c r="B48" s="27"/>
      <c r="C48" s="28"/>
      <c r="D48" s="148"/>
      <c r="E48" s="29"/>
      <c r="F48" s="28"/>
      <c r="G48" s="30"/>
      <c r="H48" s="149"/>
      <c r="I48" s="149"/>
      <c r="J48" s="149"/>
      <c r="K48" s="28"/>
      <c r="L48" s="28"/>
      <c r="M48" s="54"/>
      <c r="N48" s="54"/>
      <c r="O48" s="54"/>
      <c r="P48" s="54"/>
      <c r="Q48" s="54"/>
      <c r="R48" s="28"/>
      <c r="S48" s="28"/>
      <c r="T48" s="28"/>
      <c r="U48" s="28"/>
      <c r="V48" s="28"/>
      <c r="W48" s="28"/>
      <c r="X48" s="28"/>
      <c r="Y48" s="28"/>
      <c r="Z48" s="28"/>
      <c r="AA48" s="57"/>
      <c r="AB48" s="28"/>
      <c r="AC48" s="27"/>
      <c r="AD48" s="27"/>
      <c r="AE48" s="27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</row>
    <row r="49" spans="4:17" ht="35.1" customHeight="1">
      <c r="D49" s="603" t="s">
        <v>165</v>
      </c>
      <c r="E49" s="603"/>
      <c r="K49" s="603" t="s">
        <v>167</v>
      </c>
      <c r="L49" s="603"/>
      <c r="M49" s="603"/>
      <c r="N49" s="603"/>
      <c r="O49" s="54"/>
      <c r="P49" s="54"/>
      <c r="Q49" s="54"/>
    </row>
    <row r="50" spans="4:17" ht="35.1" customHeight="1"/>
    <row r="51" spans="4:17" ht="35.1" customHeight="1"/>
    <row r="52" spans="4:17" ht="35.1" customHeight="1">
      <c r="D52" s="603" t="s">
        <v>96</v>
      </c>
      <c r="E52" s="603"/>
      <c r="K52" s="603" t="s">
        <v>168</v>
      </c>
      <c r="L52" s="603"/>
      <c r="M52" s="603"/>
      <c r="N52" s="603"/>
    </row>
    <row r="53" spans="4:17" ht="35.1" customHeight="1">
      <c r="D53" s="603" t="s">
        <v>166</v>
      </c>
      <c r="E53" s="603"/>
      <c r="K53" s="603" t="s">
        <v>169</v>
      </c>
      <c r="L53" s="603"/>
      <c r="M53" s="603"/>
      <c r="N53" s="603"/>
    </row>
    <row r="54" spans="4:17" ht="24.95" customHeight="1"/>
  </sheetData>
  <mergeCells count="6">
    <mergeCell ref="D49:E49"/>
    <mergeCell ref="K49:N49"/>
    <mergeCell ref="D52:E52"/>
    <mergeCell ref="K52:N52"/>
    <mergeCell ref="D53:E53"/>
    <mergeCell ref="K53:N53"/>
  </mergeCells>
  <dataValidations count="2">
    <dataValidation type="list" allowBlank="1" showInputMessage="1" showErrorMessage="1" sqref="I6:I32">
      <formula1>"TK/0,TK/1,TK/2,TK/3,K/0,K/1,K/2,K/3"</formula1>
    </dataValidation>
    <dataValidation type="list" allowBlank="1" showInputMessage="1" showErrorMessage="1" sqref="H6:H32">
      <formula1>"L,P"</formula1>
    </dataValidation>
  </dataValidations>
  <pageMargins left="0.31496062992125984" right="0.31496062992125984" top="0.35433070866141736" bottom="0.35433070866141736" header="0.31496062992125984" footer="0.31496062992125984"/>
  <pageSetup paperSize="9" scale="4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4"/>
  <sheetViews>
    <sheetView zoomScale="67" zoomScaleNormal="67" workbookViewId="0">
      <selection activeCell="G14" sqref="G14"/>
    </sheetView>
  </sheetViews>
  <sheetFormatPr defaultColWidth="9.28515625" defaultRowHeight="12.75" outlineLevelCol="1"/>
  <cols>
    <col min="1" max="1" width="1.5703125" style="53" customWidth="1"/>
    <col min="2" max="2" width="5.7109375" style="27" customWidth="1"/>
    <col min="3" max="3" width="19.7109375" style="28" customWidth="1"/>
    <col min="4" max="4" width="22.85546875" style="148" customWidth="1" outlineLevel="1"/>
    <col min="5" max="5" width="22.85546875" style="29" customWidth="1" outlineLevel="1"/>
    <col min="6" max="6" width="26" style="28" customWidth="1" outlineLevel="1"/>
    <col min="7" max="7" width="26" style="30" customWidth="1" outlineLevel="1"/>
    <col min="8" max="8" width="5.5703125" style="149" customWidth="1" outlineLevel="1"/>
    <col min="9" max="9" width="8.5703125" style="149" customWidth="1" outlineLevel="1"/>
    <col min="10" max="10" width="10.85546875" style="149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57" customWidth="1"/>
    <col min="28" max="28" width="12.7109375" style="28" customWidth="1"/>
    <col min="29" max="31" width="16.5703125" style="27" customWidth="1"/>
    <col min="32" max="16384" width="9.28515625" style="53"/>
  </cols>
  <sheetData>
    <row r="1" spans="2:28" ht="35.1" customHeight="1">
      <c r="B1" s="27" t="s">
        <v>71</v>
      </c>
    </row>
    <row r="2" spans="2:28" ht="35.1" customHeight="1">
      <c r="B2" s="27" t="s">
        <v>170</v>
      </c>
    </row>
    <row r="3" spans="2:28" ht="35.1" customHeight="1">
      <c r="B3" s="27" t="s">
        <v>171</v>
      </c>
    </row>
    <row r="4" spans="2:28" s="27" customFormat="1" ht="35.1" customHeight="1" thickBot="1">
      <c r="C4" s="56" t="s">
        <v>40</v>
      </c>
      <c r="D4" s="148"/>
      <c r="E4" s="29"/>
      <c r="F4" s="28"/>
      <c r="G4" s="30"/>
      <c r="H4" s="149"/>
      <c r="I4" s="149"/>
      <c r="J4" s="149"/>
      <c r="K4" s="28"/>
      <c r="L4" s="28"/>
      <c r="M4" s="28"/>
      <c r="N4" s="28" t="s">
        <v>91</v>
      </c>
      <c r="O4" s="28" t="s">
        <v>90</v>
      </c>
      <c r="P4" s="28" t="s">
        <v>89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57"/>
      <c r="AB4" s="28"/>
    </row>
    <row r="5" spans="2:28" s="27" customFormat="1" ht="59.25" customHeight="1" thickBot="1">
      <c r="B5" s="144" t="s">
        <v>64</v>
      </c>
      <c r="C5" s="144" t="s">
        <v>25</v>
      </c>
      <c r="D5" s="145" t="s">
        <v>26</v>
      </c>
      <c r="E5" s="146" t="s">
        <v>27</v>
      </c>
      <c r="F5" s="144" t="s">
        <v>28</v>
      </c>
      <c r="G5" s="143" t="s">
        <v>29</v>
      </c>
      <c r="H5" s="80" t="s">
        <v>37</v>
      </c>
      <c r="I5" s="81" t="s">
        <v>6</v>
      </c>
      <c r="J5" s="81" t="s">
        <v>15</v>
      </c>
      <c r="K5" s="78" t="s">
        <v>36</v>
      </c>
      <c r="L5" s="147" t="s">
        <v>67</v>
      </c>
      <c r="M5" s="147" t="s">
        <v>68</v>
      </c>
      <c r="N5" s="147" t="s">
        <v>76</v>
      </c>
      <c r="O5" s="147" t="s">
        <v>77</v>
      </c>
      <c r="P5" s="147" t="s">
        <v>81</v>
      </c>
      <c r="Q5" s="147" t="s">
        <v>163</v>
      </c>
      <c r="R5" s="147" t="s">
        <v>164</v>
      </c>
      <c r="S5" s="94" t="s">
        <v>82</v>
      </c>
      <c r="T5" s="94" t="s">
        <v>83</v>
      </c>
      <c r="U5" s="94" t="s">
        <v>84</v>
      </c>
      <c r="V5" s="94" t="s">
        <v>85</v>
      </c>
      <c r="W5" s="94" t="s">
        <v>78</v>
      </c>
      <c r="X5" s="94" t="s">
        <v>79</v>
      </c>
      <c r="Y5" s="94" t="s">
        <v>80</v>
      </c>
      <c r="Z5" s="94" t="s">
        <v>41</v>
      </c>
      <c r="AA5" s="102" t="s">
        <v>42</v>
      </c>
      <c r="AB5" s="103" t="s">
        <v>43</v>
      </c>
    </row>
    <row r="6" spans="2:28" s="27" customFormat="1" ht="35.1" customHeight="1">
      <c r="B6" s="127">
        <v>1</v>
      </c>
      <c r="C6" s="122" t="s">
        <v>92</v>
      </c>
      <c r="D6" s="109" t="s">
        <v>114</v>
      </c>
      <c r="E6" s="110">
        <v>972282958305000</v>
      </c>
      <c r="F6" s="111" t="s">
        <v>138</v>
      </c>
      <c r="G6" s="107" t="s">
        <v>88</v>
      </c>
      <c r="H6" s="37" t="s">
        <v>39</v>
      </c>
      <c r="I6" s="38" t="s">
        <v>17</v>
      </c>
      <c r="J6" s="128" t="str">
        <f>IF(ISBLANK(I6),"",IF(OR(I6="TK/0",I6="TK/1",I6="K/0"),"TER A",IF(I6="K/3","TER C","TER B")))</f>
        <v>TER A</v>
      </c>
      <c r="K6" s="39">
        <f>31*121333.33</f>
        <v>3761333.23</v>
      </c>
      <c r="L6" s="39">
        <f>3640000*0.84%</f>
        <v>30575.999999999996</v>
      </c>
      <c r="M6" s="141">
        <f>(3640000+61000)*4%</f>
        <v>148040</v>
      </c>
      <c r="N6" s="39"/>
      <c r="O6" s="39"/>
      <c r="P6" s="39"/>
      <c r="Q6" s="39"/>
      <c r="R6" s="39"/>
      <c r="S6" s="39"/>
      <c r="T6" s="101"/>
      <c r="U6" s="101"/>
      <c r="V6" s="101"/>
      <c r="W6" s="39"/>
      <c r="X6" s="39"/>
      <c r="Y6" s="39"/>
      <c r="Z6" s="104">
        <f>ROUNDDOWN(SUM(K6:Y6),0)</f>
        <v>3939949</v>
      </c>
      <c r="AA6" s="105">
        <f t="shared" ref="AA6:AA32" si="0">IF(J6="TER A",VLOOKUP(Z6,Ter_A,4,TRUE),IF(J6="TER B",VLOOKUP(Z6,Ter_B,4,TRUE),VLOOKUP(Z6,Ter_C,4,TRUE)))</f>
        <v>0</v>
      </c>
      <c r="AB6" s="106">
        <f t="shared" ref="AB6:AB32" si="1">ROUND(IF(E6=0,Z6*AA6*120%,Z6*AA6),0)</f>
        <v>0</v>
      </c>
    </row>
    <row r="7" spans="2:28" s="27" customFormat="1" ht="35.1" customHeight="1">
      <c r="B7" s="129">
        <v>2</v>
      </c>
      <c r="C7" s="123" t="s">
        <v>93</v>
      </c>
      <c r="D7" s="112" t="s">
        <v>115</v>
      </c>
      <c r="E7" s="113">
        <v>972282982305000</v>
      </c>
      <c r="F7" s="114" t="s">
        <v>139</v>
      </c>
      <c r="G7" s="107" t="s">
        <v>88</v>
      </c>
      <c r="H7" s="99" t="s">
        <v>38</v>
      </c>
      <c r="I7" s="100" t="s">
        <v>7</v>
      </c>
      <c r="J7" s="132" t="str">
        <f t="shared" ref="J7:J32" si="2">IF(ISBLANK(I7),"",IF(OR(I7="TK/0",I7="TK/1",I7="K/0"),"TER A",IF(I7="K/3","TER C","TER B")))</f>
        <v>TER A</v>
      </c>
      <c r="K7" s="46">
        <f t="shared" ref="K7:K21" si="3">31*121333.33</f>
        <v>3761333.23</v>
      </c>
      <c r="L7" s="46">
        <f t="shared" ref="L7:L21" si="4">3640000*0.84%</f>
        <v>30575.999999999996</v>
      </c>
      <c r="M7" s="142">
        <f>(3640000+61000)*4%</f>
        <v>148040</v>
      </c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62">
        <f>ROUNDDOWN(SUM(K7:Y7),0)</f>
        <v>3939949</v>
      </c>
      <c r="AA7" s="63">
        <f t="shared" si="0"/>
        <v>0</v>
      </c>
      <c r="AB7" s="108">
        <f t="shared" si="1"/>
        <v>0</v>
      </c>
    </row>
    <row r="8" spans="2:28" s="27" customFormat="1" ht="35.1" customHeight="1">
      <c r="B8" s="129">
        <v>3</v>
      </c>
      <c r="C8" s="123" t="s">
        <v>94</v>
      </c>
      <c r="D8" s="112" t="s">
        <v>116</v>
      </c>
      <c r="E8" s="113">
        <v>972283055305000</v>
      </c>
      <c r="F8" s="114" t="s">
        <v>140</v>
      </c>
      <c r="G8" s="107" t="s">
        <v>88</v>
      </c>
      <c r="H8" s="99" t="s">
        <v>39</v>
      </c>
      <c r="I8" s="100" t="s">
        <v>9</v>
      </c>
      <c r="J8" s="132" t="str">
        <f t="shared" si="2"/>
        <v>TER B</v>
      </c>
      <c r="K8" s="46">
        <f t="shared" si="3"/>
        <v>3761333.23</v>
      </c>
      <c r="L8" s="46">
        <f t="shared" si="4"/>
        <v>30575.999999999996</v>
      </c>
      <c r="M8" s="142">
        <f>(3640000+43500)*4%</f>
        <v>147340</v>
      </c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62">
        <f t="shared" ref="Z8:Z32" si="5">ROUNDDOWN(SUM(K8:Y8),0)</f>
        <v>3939249</v>
      </c>
      <c r="AA8" s="63">
        <f t="shared" si="0"/>
        <v>0</v>
      </c>
      <c r="AB8" s="108">
        <f t="shared" si="1"/>
        <v>0</v>
      </c>
    </row>
    <row r="9" spans="2:28" s="27" customFormat="1" ht="35.1" customHeight="1">
      <c r="B9" s="129">
        <v>4</v>
      </c>
      <c r="C9" s="123" t="s">
        <v>95</v>
      </c>
      <c r="D9" s="112" t="s">
        <v>117</v>
      </c>
      <c r="E9" s="113">
        <v>972282974305000</v>
      </c>
      <c r="F9" s="114" t="s">
        <v>74</v>
      </c>
      <c r="G9" s="107" t="s">
        <v>88</v>
      </c>
      <c r="H9" s="99" t="s">
        <v>39</v>
      </c>
      <c r="I9" s="100" t="s">
        <v>9</v>
      </c>
      <c r="J9" s="132" t="str">
        <f t="shared" si="2"/>
        <v>TER B</v>
      </c>
      <c r="K9" s="46">
        <f t="shared" si="3"/>
        <v>3761333.23</v>
      </c>
      <c r="L9" s="46">
        <f t="shared" si="4"/>
        <v>30575.999999999996</v>
      </c>
      <c r="M9" s="142">
        <f>(3640000+43500)*4%</f>
        <v>147340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62">
        <f>ROUNDDOWN(SUM(K9:Y9),0)</f>
        <v>3939249</v>
      </c>
      <c r="AA9" s="63">
        <f t="shared" si="0"/>
        <v>0</v>
      </c>
      <c r="AB9" s="108">
        <f t="shared" si="1"/>
        <v>0</v>
      </c>
    </row>
    <row r="10" spans="2:28" s="27" customFormat="1" ht="35.1" customHeight="1">
      <c r="B10" s="129">
        <v>5</v>
      </c>
      <c r="C10" s="124" t="s">
        <v>96</v>
      </c>
      <c r="D10" s="112" t="s">
        <v>118</v>
      </c>
      <c r="E10" s="113">
        <v>972280226305000</v>
      </c>
      <c r="F10" s="114" t="s">
        <v>141</v>
      </c>
      <c r="G10" s="107" t="s">
        <v>86</v>
      </c>
      <c r="H10" s="99" t="s">
        <v>38</v>
      </c>
      <c r="I10" s="100" t="s">
        <v>7</v>
      </c>
      <c r="J10" s="132" t="str">
        <f t="shared" si="2"/>
        <v>TER A</v>
      </c>
      <c r="K10" s="46">
        <f t="shared" si="3"/>
        <v>3761333.23</v>
      </c>
      <c r="L10" s="46">
        <f t="shared" si="4"/>
        <v>30575.999999999996</v>
      </c>
      <c r="M10" s="142">
        <f>(3640000+43500)*4%</f>
        <v>147340</v>
      </c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62">
        <f t="shared" si="5"/>
        <v>3939249</v>
      </c>
      <c r="AA10" s="63">
        <f t="shared" si="0"/>
        <v>0</v>
      </c>
      <c r="AB10" s="108">
        <f t="shared" si="1"/>
        <v>0</v>
      </c>
    </row>
    <row r="11" spans="2:28" s="27" customFormat="1" ht="35.1" customHeight="1">
      <c r="B11" s="129">
        <v>6</v>
      </c>
      <c r="C11" s="123" t="s">
        <v>97</v>
      </c>
      <c r="D11" s="112" t="s">
        <v>119</v>
      </c>
      <c r="E11" s="113">
        <v>972283014305000</v>
      </c>
      <c r="F11" s="114" t="s">
        <v>142</v>
      </c>
      <c r="G11" s="107" t="s">
        <v>88</v>
      </c>
      <c r="H11" s="99" t="s">
        <v>39</v>
      </c>
      <c r="I11" s="100" t="s">
        <v>11</v>
      </c>
      <c r="J11" s="132" t="str">
        <f t="shared" si="2"/>
        <v>TER B</v>
      </c>
      <c r="K11" s="46">
        <f t="shared" si="3"/>
        <v>3761333.23</v>
      </c>
      <c r="L11" s="46">
        <f t="shared" si="4"/>
        <v>30575.999999999996</v>
      </c>
      <c r="M11" s="142">
        <f>(3640000+47000)*4%</f>
        <v>147480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62">
        <f t="shared" si="5"/>
        <v>3939389</v>
      </c>
      <c r="AA11" s="63">
        <f t="shared" si="0"/>
        <v>0</v>
      </c>
      <c r="AB11" s="108">
        <f t="shared" si="1"/>
        <v>0</v>
      </c>
    </row>
    <row r="12" spans="2:28" s="27" customFormat="1" ht="35.1" customHeight="1">
      <c r="B12" s="129">
        <v>7</v>
      </c>
      <c r="C12" s="123" t="s">
        <v>98</v>
      </c>
      <c r="D12" s="112" t="s">
        <v>120</v>
      </c>
      <c r="E12" s="113">
        <v>972283048305000</v>
      </c>
      <c r="F12" s="114" t="s">
        <v>143</v>
      </c>
      <c r="G12" s="107" t="s">
        <v>88</v>
      </c>
      <c r="H12" s="99" t="s">
        <v>38</v>
      </c>
      <c r="I12" s="100" t="s">
        <v>7</v>
      </c>
      <c r="J12" s="132" t="str">
        <f t="shared" si="2"/>
        <v>TER A</v>
      </c>
      <c r="K12" s="46">
        <f t="shared" si="3"/>
        <v>3761333.23</v>
      </c>
      <c r="L12" s="46">
        <f t="shared" si="4"/>
        <v>30575.999999999996</v>
      </c>
      <c r="M12" s="142">
        <f>(3640000+36500)*4%</f>
        <v>147060</v>
      </c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62">
        <f t="shared" si="5"/>
        <v>3938969</v>
      </c>
      <c r="AA12" s="63">
        <f t="shared" si="0"/>
        <v>0</v>
      </c>
      <c r="AB12" s="108">
        <f t="shared" si="1"/>
        <v>0</v>
      </c>
    </row>
    <row r="13" spans="2:28" s="27" customFormat="1" ht="35.1" customHeight="1">
      <c r="B13" s="129">
        <v>8</v>
      </c>
      <c r="C13" s="123" t="s">
        <v>99</v>
      </c>
      <c r="D13" s="112" t="s">
        <v>121</v>
      </c>
      <c r="E13" s="113">
        <v>972280150305000</v>
      </c>
      <c r="F13" s="114" t="s">
        <v>144</v>
      </c>
      <c r="G13" s="107" t="s">
        <v>88</v>
      </c>
      <c r="H13" s="99" t="s">
        <v>39</v>
      </c>
      <c r="I13" s="100" t="s">
        <v>11</v>
      </c>
      <c r="J13" s="132" t="str">
        <f t="shared" si="2"/>
        <v>TER B</v>
      </c>
      <c r="K13" s="46">
        <f t="shared" si="3"/>
        <v>3761333.23</v>
      </c>
      <c r="L13" s="46">
        <f t="shared" si="4"/>
        <v>30575.999999999996</v>
      </c>
      <c r="M13" s="142">
        <f>(3640000+43500)*4%</f>
        <v>147340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62">
        <f t="shared" si="5"/>
        <v>3939249</v>
      </c>
      <c r="AA13" s="63">
        <f t="shared" si="0"/>
        <v>0</v>
      </c>
      <c r="AB13" s="108">
        <f t="shared" si="1"/>
        <v>0</v>
      </c>
    </row>
    <row r="14" spans="2:28" s="27" customFormat="1" ht="35.1" customHeight="1">
      <c r="B14" s="129">
        <v>9</v>
      </c>
      <c r="C14" s="123" t="s">
        <v>102</v>
      </c>
      <c r="D14" s="112" t="s">
        <v>124</v>
      </c>
      <c r="E14" s="113">
        <v>972285720305000</v>
      </c>
      <c r="F14" s="114" t="s">
        <v>147</v>
      </c>
      <c r="G14" s="107" t="s">
        <v>88</v>
      </c>
      <c r="H14" s="99" t="s">
        <v>39</v>
      </c>
      <c r="I14" s="100" t="s">
        <v>17</v>
      </c>
      <c r="J14" s="132" t="str">
        <f t="shared" si="2"/>
        <v>TER A</v>
      </c>
      <c r="K14" s="46">
        <f t="shared" si="3"/>
        <v>3761333.23</v>
      </c>
      <c r="L14" s="46">
        <f t="shared" si="4"/>
        <v>30575.999999999996</v>
      </c>
      <c r="M14" s="142">
        <f>(3640000+61000)*4%</f>
        <v>148040</v>
      </c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62">
        <f t="shared" si="5"/>
        <v>3939949</v>
      </c>
      <c r="AA14" s="63">
        <f t="shared" si="0"/>
        <v>0</v>
      </c>
      <c r="AB14" s="108">
        <f t="shared" si="1"/>
        <v>0</v>
      </c>
    </row>
    <row r="15" spans="2:28" s="27" customFormat="1" ht="35.1" customHeight="1">
      <c r="B15" s="129">
        <v>10</v>
      </c>
      <c r="C15" s="123" t="s">
        <v>103</v>
      </c>
      <c r="D15" s="112" t="s">
        <v>125</v>
      </c>
      <c r="E15" s="113">
        <v>743653768305000</v>
      </c>
      <c r="F15" s="114" t="s">
        <v>148</v>
      </c>
      <c r="G15" s="107" t="s">
        <v>88</v>
      </c>
      <c r="H15" s="99" t="s">
        <v>39</v>
      </c>
      <c r="I15" s="100" t="s">
        <v>9</v>
      </c>
      <c r="J15" s="132" t="str">
        <f t="shared" si="2"/>
        <v>TER B</v>
      </c>
      <c r="K15" s="46">
        <f t="shared" si="3"/>
        <v>3761333.23</v>
      </c>
      <c r="L15" s="46">
        <f t="shared" si="4"/>
        <v>30575.999999999996</v>
      </c>
      <c r="M15" s="142">
        <f>(3640000+30000)*4%</f>
        <v>146800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62">
        <f t="shared" si="5"/>
        <v>3938709</v>
      </c>
      <c r="AA15" s="63">
        <f t="shared" si="0"/>
        <v>0</v>
      </c>
      <c r="AB15" s="108">
        <f t="shared" si="1"/>
        <v>0</v>
      </c>
    </row>
    <row r="16" spans="2:28" s="27" customFormat="1" ht="35.1" customHeight="1">
      <c r="B16" s="129">
        <v>11</v>
      </c>
      <c r="C16" s="123" t="s">
        <v>104</v>
      </c>
      <c r="D16" s="112" t="s">
        <v>126</v>
      </c>
      <c r="E16" s="113">
        <v>972283287305000</v>
      </c>
      <c r="F16" s="114" t="s">
        <v>149</v>
      </c>
      <c r="G16" s="107" t="s">
        <v>88</v>
      </c>
      <c r="H16" s="99" t="s">
        <v>39</v>
      </c>
      <c r="I16" s="100" t="s">
        <v>9</v>
      </c>
      <c r="J16" s="132" t="str">
        <f t="shared" si="2"/>
        <v>TER B</v>
      </c>
      <c r="K16" s="46">
        <f t="shared" si="3"/>
        <v>3761333.23</v>
      </c>
      <c r="L16" s="46">
        <f t="shared" si="4"/>
        <v>30575.999999999996</v>
      </c>
      <c r="M16" s="46">
        <v>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62">
        <f t="shared" si="5"/>
        <v>3791909</v>
      </c>
      <c r="AA16" s="63">
        <f t="shared" si="0"/>
        <v>0</v>
      </c>
      <c r="AB16" s="108">
        <f t="shared" si="1"/>
        <v>0</v>
      </c>
    </row>
    <row r="17" spans="2:28" s="27" customFormat="1" ht="35.1" customHeight="1">
      <c r="B17" s="129">
        <v>12</v>
      </c>
      <c r="C17" s="123" t="s">
        <v>105</v>
      </c>
      <c r="D17" s="112" t="s">
        <v>127</v>
      </c>
      <c r="E17" s="115">
        <v>972282966305000</v>
      </c>
      <c r="F17" s="114" t="s">
        <v>150</v>
      </c>
      <c r="G17" s="107" t="s">
        <v>88</v>
      </c>
      <c r="H17" s="99" t="s">
        <v>39</v>
      </c>
      <c r="I17" s="100" t="s">
        <v>9</v>
      </c>
      <c r="J17" s="132" t="str">
        <f t="shared" si="2"/>
        <v>TER B</v>
      </c>
      <c r="K17" s="46">
        <f t="shared" si="3"/>
        <v>3761333.23</v>
      </c>
      <c r="L17" s="46">
        <f t="shared" si="4"/>
        <v>30575.999999999996</v>
      </c>
      <c r="M17" s="142">
        <f>(3640000+61000)*4%</f>
        <v>148040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62">
        <f>ROUNDDOWN(SUM(K17:Y17),0)</f>
        <v>3939949</v>
      </c>
      <c r="AA17" s="63">
        <f t="shared" si="0"/>
        <v>0</v>
      </c>
      <c r="AB17" s="108">
        <f t="shared" si="1"/>
        <v>0</v>
      </c>
    </row>
    <row r="18" spans="2:28" s="27" customFormat="1" ht="35.1" customHeight="1">
      <c r="B18" s="129">
        <v>13</v>
      </c>
      <c r="C18" s="123" t="s">
        <v>100</v>
      </c>
      <c r="D18" s="116" t="s">
        <v>122</v>
      </c>
      <c r="E18" s="113">
        <v>972280218305000</v>
      </c>
      <c r="F18" s="114" t="s">
        <v>145</v>
      </c>
      <c r="G18" s="107" t="s">
        <v>88</v>
      </c>
      <c r="H18" s="99" t="s">
        <v>39</v>
      </c>
      <c r="I18" s="100" t="s">
        <v>17</v>
      </c>
      <c r="J18" s="132" t="str">
        <f t="shared" si="2"/>
        <v>TER A</v>
      </c>
      <c r="K18" s="46">
        <f t="shared" si="3"/>
        <v>3761333.23</v>
      </c>
      <c r="L18" s="46">
        <f t="shared" si="4"/>
        <v>30575.999999999996</v>
      </c>
      <c r="M18" s="142">
        <f>(3640000+47000)*4%</f>
        <v>147480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62">
        <f t="shared" si="5"/>
        <v>3939389</v>
      </c>
      <c r="AA18" s="63">
        <f t="shared" si="0"/>
        <v>0</v>
      </c>
      <c r="AB18" s="108">
        <f t="shared" si="1"/>
        <v>0</v>
      </c>
    </row>
    <row r="19" spans="2:28" s="27" customFormat="1" ht="35.1" customHeight="1">
      <c r="B19" s="129">
        <v>14</v>
      </c>
      <c r="C19" s="123" t="s">
        <v>106</v>
      </c>
      <c r="D19" s="112" t="s">
        <v>128</v>
      </c>
      <c r="E19" s="115">
        <v>972285506305000</v>
      </c>
      <c r="F19" s="114" t="s">
        <v>151</v>
      </c>
      <c r="G19" s="107" t="s">
        <v>88</v>
      </c>
      <c r="H19" s="99" t="s">
        <v>39</v>
      </c>
      <c r="I19" s="100" t="s">
        <v>9</v>
      </c>
      <c r="J19" s="132" t="str">
        <f t="shared" si="2"/>
        <v>TER B</v>
      </c>
      <c r="K19" s="46">
        <f t="shared" si="3"/>
        <v>3761333.23</v>
      </c>
      <c r="L19" s="46">
        <f t="shared" si="4"/>
        <v>30575.999999999996</v>
      </c>
      <c r="M19" s="142">
        <f>(3640000+43500)*4%</f>
        <v>147340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62">
        <f t="shared" si="5"/>
        <v>3939249</v>
      </c>
      <c r="AA19" s="63">
        <f t="shared" si="0"/>
        <v>0</v>
      </c>
      <c r="AB19" s="108">
        <f t="shared" si="1"/>
        <v>0</v>
      </c>
    </row>
    <row r="20" spans="2:28" s="27" customFormat="1" ht="35.1" customHeight="1">
      <c r="B20" s="129">
        <v>15</v>
      </c>
      <c r="C20" s="123" t="s">
        <v>108</v>
      </c>
      <c r="D20" s="112" t="s">
        <v>130</v>
      </c>
      <c r="E20" s="115">
        <v>972374425305000</v>
      </c>
      <c r="F20" s="114" t="s">
        <v>153</v>
      </c>
      <c r="G20" s="107" t="s">
        <v>161</v>
      </c>
      <c r="H20" s="99" t="s">
        <v>39</v>
      </c>
      <c r="I20" s="100" t="s">
        <v>11</v>
      </c>
      <c r="J20" s="132" t="str">
        <f t="shared" si="2"/>
        <v>TER B</v>
      </c>
      <c r="K20" s="46">
        <f t="shared" si="3"/>
        <v>3761333.23</v>
      </c>
      <c r="L20" s="46">
        <f t="shared" si="4"/>
        <v>30575.999999999996</v>
      </c>
      <c r="M20" s="142">
        <f>(3640000+50500)*4%</f>
        <v>147620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62">
        <f t="shared" si="5"/>
        <v>3939529</v>
      </c>
      <c r="AA20" s="63">
        <f t="shared" si="0"/>
        <v>0</v>
      </c>
      <c r="AB20" s="108">
        <f t="shared" si="1"/>
        <v>0</v>
      </c>
    </row>
    <row r="21" spans="2:28" s="27" customFormat="1" ht="35.1" customHeight="1">
      <c r="B21" s="129">
        <v>16</v>
      </c>
      <c r="C21" s="123" t="s">
        <v>111</v>
      </c>
      <c r="D21" s="112" t="s">
        <v>133</v>
      </c>
      <c r="E21" s="115">
        <v>972285704305000</v>
      </c>
      <c r="F21" s="114" t="s">
        <v>155</v>
      </c>
      <c r="G21" s="107" t="s">
        <v>88</v>
      </c>
      <c r="H21" s="44" t="s">
        <v>39</v>
      </c>
      <c r="I21" s="45" t="s">
        <v>9</v>
      </c>
      <c r="J21" s="132" t="str">
        <f t="shared" si="2"/>
        <v>TER B</v>
      </c>
      <c r="K21" s="46">
        <f t="shared" si="3"/>
        <v>3761333.23</v>
      </c>
      <c r="L21" s="46">
        <f t="shared" si="4"/>
        <v>30575.999999999996</v>
      </c>
      <c r="M21" s="140">
        <f>(3640000+61000)*4%</f>
        <v>148040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62">
        <f t="shared" si="5"/>
        <v>3939949</v>
      </c>
      <c r="AA21" s="63">
        <f t="shared" si="0"/>
        <v>0</v>
      </c>
      <c r="AB21" s="108">
        <f t="shared" si="1"/>
        <v>0</v>
      </c>
    </row>
    <row r="22" spans="2:28" s="27" customFormat="1" ht="35.1" customHeight="1">
      <c r="B22" s="129">
        <v>17</v>
      </c>
      <c r="C22" s="124" t="s">
        <v>162</v>
      </c>
      <c r="D22" s="112" t="s">
        <v>134</v>
      </c>
      <c r="E22" s="121" t="s">
        <v>73</v>
      </c>
      <c r="F22" s="114" t="s">
        <v>156</v>
      </c>
      <c r="G22" s="107" t="s">
        <v>160</v>
      </c>
      <c r="H22" s="44" t="s">
        <v>39</v>
      </c>
      <c r="I22" s="45" t="s">
        <v>7</v>
      </c>
      <c r="J22" s="132" t="str">
        <f t="shared" si="2"/>
        <v>TER A</v>
      </c>
      <c r="K22" s="138">
        <f>31*123833.33</f>
        <v>3838833.23</v>
      </c>
      <c r="L22" s="139">
        <f>3715000*0.84%</f>
        <v>31205.999999999996</v>
      </c>
      <c r="M22" s="142">
        <f>(3715000+2500)*4%</f>
        <v>148700</v>
      </c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62">
        <f t="shared" si="5"/>
        <v>4018739</v>
      </c>
      <c r="AA22" s="63">
        <f t="shared" si="0"/>
        <v>0</v>
      </c>
      <c r="AB22" s="108">
        <f t="shared" si="1"/>
        <v>0</v>
      </c>
    </row>
    <row r="23" spans="2:28" s="27" customFormat="1" ht="35.1" customHeight="1">
      <c r="B23" s="129">
        <v>18</v>
      </c>
      <c r="C23" s="125" t="s">
        <v>113</v>
      </c>
      <c r="D23" s="117" t="s">
        <v>137</v>
      </c>
      <c r="E23" s="118">
        <v>972285225305000</v>
      </c>
      <c r="F23" s="114" t="s">
        <v>159</v>
      </c>
      <c r="G23" s="107" t="s">
        <v>88</v>
      </c>
      <c r="H23" s="44" t="s">
        <v>39</v>
      </c>
      <c r="I23" s="45" t="s">
        <v>17</v>
      </c>
      <c r="J23" s="132" t="str">
        <f t="shared" si="2"/>
        <v>TER A</v>
      </c>
      <c r="K23" s="60">
        <f>31*121333.33</f>
        <v>3761333.23</v>
      </c>
      <c r="L23" s="46">
        <f>3640000*0.84%</f>
        <v>30575.999999999996</v>
      </c>
      <c r="M23" s="142">
        <f>(3640000+43500)*4%</f>
        <v>147340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62">
        <f t="shared" si="5"/>
        <v>3939249</v>
      </c>
      <c r="AA23" s="63">
        <f t="shared" si="0"/>
        <v>0</v>
      </c>
      <c r="AB23" s="108">
        <f t="shared" si="1"/>
        <v>0</v>
      </c>
    </row>
    <row r="24" spans="2:28" s="27" customFormat="1" ht="35.1" customHeight="1">
      <c r="B24" s="129">
        <v>19</v>
      </c>
      <c r="C24" s="123" t="s">
        <v>101</v>
      </c>
      <c r="D24" s="116" t="s">
        <v>123</v>
      </c>
      <c r="E24" s="113">
        <v>972280259305000</v>
      </c>
      <c r="F24" s="114" t="s">
        <v>146</v>
      </c>
      <c r="G24" s="107" t="s">
        <v>87</v>
      </c>
      <c r="H24" s="99" t="s">
        <v>39</v>
      </c>
      <c r="I24" s="100" t="s">
        <v>11</v>
      </c>
      <c r="J24" s="132" t="str">
        <f t="shared" si="2"/>
        <v>TER B</v>
      </c>
      <c r="K24" s="60">
        <f t="shared" ref="K24:K29" si="6">31*121333.33</f>
        <v>3761333.23</v>
      </c>
      <c r="L24" s="46">
        <f t="shared" ref="L24:L29" si="7">3640000*0.84%</f>
        <v>30575.999999999996</v>
      </c>
      <c r="M24" s="142">
        <f>(3640000+47000)*4%</f>
        <v>147480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62">
        <f t="shared" si="5"/>
        <v>3939389</v>
      </c>
      <c r="AA24" s="63">
        <f t="shared" si="0"/>
        <v>0</v>
      </c>
      <c r="AB24" s="108">
        <f t="shared" si="1"/>
        <v>0</v>
      </c>
    </row>
    <row r="25" spans="2:28" s="27" customFormat="1" ht="35.1" customHeight="1">
      <c r="B25" s="129">
        <v>20</v>
      </c>
      <c r="C25" s="123" t="s">
        <v>107</v>
      </c>
      <c r="D25" s="112" t="s">
        <v>129</v>
      </c>
      <c r="E25" s="115">
        <v>972286066305000</v>
      </c>
      <c r="F25" s="114" t="s">
        <v>152</v>
      </c>
      <c r="G25" s="107" t="s">
        <v>87</v>
      </c>
      <c r="H25" s="99" t="s">
        <v>39</v>
      </c>
      <c r="I25" s="100" t="s">
        <v>11</v>
      </c>
      <c r="J25" s="132" t="str">
        <f t="shared" si="2"/>
        <v>TER B</v>
      </c>
      <c r="K25" s="60">
        <f t="shared" si="6"/>
        <v>3761333.23</v>
      </c>
      <c r="L25" s="46">
        <f t="shared" si="7"/>
        <v>30575.999999999996</v>
      </c>
      <c r="M25" s="142">
        <f>(3640000+61000)*4%</f>
        <v>148040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62">
        <f t="shared" si="5"/>
        <v>3939949</v>
      </c>
      <c r="AA25" s="63">
        <f t="shared" si="0"/>
        <v>0</v>
      </c>
      <c r="AB25" s="108">
        <f t="shared" si="1"/>
        <v>0</v>
      </c>
    </row>
    <row r="26" spans="2:28" s="27" customFormat="1" ht="35.1" customHeight="1">
      <c r="B26" s="129">
        <v>21</v>
      </c>
      <c r="C26" s="123" t="s">
        <v>109</v>
      </c>
      <c r="D26" s="112" t="s">
        <v>131</v>
      </c>
      <c r="E26" s="115">
        <v>743653420305000</v>
      </c>
      <c r="F26" s="114" t="s">
        <v>154</v>
      </c>
      <c r="G26" s="107" t="s">
        <v>87</v>
      </c>
      <c r="H26" s="44" t="s">
        <v>39</v>
      </c>
      <c r="I26" s="45" t="s">
        <v>17</v>
      </c>
      <c r="J26" s="132" t="str">
        <f t="shared" si="2"/>
        <v>TER A</v>
      </c>
      <c r="K26" s="60">
        <f t="shared" si="6"/>
        <v>3761333.23</v>
      </c>
      <c r="L26" s="46">
        <f t="shared" si="7"/>
        <v>30575.999999999996</v>
      </c>
      <c r="M26" s="142">
        <f>(3640000+24000)*4%</f>
        <v>146560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62">
        <f t="shared" si="5"/>
        <v>3938469</v>
      </c>
      <c r="AA26" s="63">
        <f t="shared" si="0"/>
        <v>0</v>
      </c>
      <c r="AB26" s="108">
        <f t="shared" si="1"/>
        <v>0</v>
      </c>
    </row>
    <row r="27" spans="2:28" s="27" customFormat="1" ht="35.1" customHeight="1">
      <c r="B27" s="129">
        <v>22</v>
      </c>
      <c r="C27" s="126" t="s">
        <v>110</v>
      </c>
      <c r="D27" s="112" t="s">
        <v>132</v>
      </c>
      <c r="E27" s="115">
        <v>972285597305000</v>
      </c>
      <c r="F27" s="114" t="s">
        <v>147</v>
      </c>
      <c r="G27" s="107" t="s">
        <v>87</v>
      </c>
      <c r="H27" s="44" t="s">
        <v>39</v>
      </c>
      <c r="I27" s="45" t="s">
        <v>9</v>
      </c>
      <c r="J27" s="132" t="str">
        <f t="shared" si="2"/>
        <v>TER B</v>
      </c>
      <c r="K27" s="60">
        <f t="shared" si="6"/>
        <v>3761333.23</v>
      </c>
      <c r="L27" s="46">
        <f t="shared" si="7"/>
        <v>30575.999999999996</v>
      </c>
      <c r="M27" s="140">
        <f>(3640000+43500)*4%</f>
        <v>147340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62">
        <f t="shared" si="5"/>
        <v>3939249</v>
      </c>
      <c r="AA27" s="63">
        <f t="shared" si="0"/>
        <v>0</v>
      </c>
      <c r="AB27" s="108">
        <f t="shared" si="1"/>
        <v>0</v>
      </c>
    </row>
    <row r="28" spans="2:28" s="27" customFormat="1" ht="35.1" customHeight="1">
      <c r="B28" s="129">
        <v>23</v>
      </c>
      <c r="C28" s="126" t="s">
        <v>112</v>
      </c>
      <c r="D28" s="112" t="s">
        <v>135</v>
      </c>
      <c r="E28" s="113">
        <v>972280192305000</v>
      </c>
      <c r="F28" s="114" t="s">
        <v>157</v>
      </c>
      <c r="G28" s="107" t="s">
        <v>87</v>
      </c>
      <c r="H28" s="44" t="s">
        <v>39</v>
      </c>
      <c r="I28" s="45" t="s">
        <v>9</v>
      </c>
      <c r="J28" s="132" t="str">
        <f t="shared" si="2"/>
        <v>TER B</v>
      </c>
      <c r="K28" s="60">
        <f t="shared" si="6"/>
        <v>3761333.23</v>
      </c>
      <c r="L28" s="46">
        <f t="shared" si="7"/>
        <v>30575.999999999996</v>
      </c>
      <c r="M28" s="142">
        <f>(3640000+43500)*4%</f>
        <v>147340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62">
        <f t="shared" si="5"/>
        <v>3939249</v>
      </c>
      <c r="AA28" s="63">
        <f t="shared" si="0"/>
        <v>0</v>
      </c>
      <c r="AB28" s="108">
        <f t="shared" si="1"/>
        <v>0</v>
      </c>
    </row>
    <row r="29" spans="2:28" s="27" customFormat="1" ht="35.1" customHeight="1">
      <c r="B29" s="129">
        <v>24</v>
      </c>
      <c r="C29" s="126" t="s">
        <v>106</v>
      </c>
      <c r="D29" s="112" t="s">
        <v>136</v>
      </c>
      <c r="E29" s="115">
        <v>972283733305000</v>
      </c>
      <c r="F29" s="114" t="s">
        <v>158</v>
      </c>
      <c r="G29" s="107" t="s">
        <v>87</v>
      </c>
      <c r="H29" s="44" t="s">
        <v>39</v>
      </c>
      <c r="I29" s="45" t="s">
        <v>9</v>
      </c>
      <c r="J29" s="132" t="str">
        <f t="shared" si="2"/>
        <v>TER B</v>
      </c>
      <c r="K29" s="60">
        <f t="shared" si="6"/>
        <v>3761333.23</v>
      </c>
      <c r="L29" s="46">
        <f t="shared" si="7"/>
        <v>30575.999999999996</v>
      </c>
      <c r="M29" s="142">
        <f>(3640000+43500)*4%</f>
        <v>147340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62">
        <f t="shared" si="5"/>
        <v>3939249</v>
      </c>
      <c r="AA29" s="63">
        <f t="shared" si="0"/>
        <v>0</v>
      </c>
      <c r="AB29" s="108">
        <f t="shared" si="1"/>
        <v>0</v>
      </c>
    </row>
    <row r="30" spans="2:28" s="27" customFormat="1" ht="35.1" customHeight="1">
      <c r="B30" s="129">
        <v>25</v>
      </c>
      <c r="C30" s="130"/>
      <c r="D30" s="133"/>
      <c r="E30" s="134"/>
      <c r="F30" s="135"/>
      <c r="G30" s="131"/>
      <c r="H30" s="136"/>
      <c r="I30" s="137"/>
      <c r="J30" s="132" t="str">
        <f t="shared" si="2"/>
        <v/>
      </c>
      <c r="K30" s="60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62">
        <f t="shared" si="5"/>
        <v>0</v>
      </c>
      <c r="AA30" s="63">
        <f t="shared" si="0"/>
        <v>0</v>
      </c>
      <c r="AB30" s="108">
        <f t="shared" si="1"/>
        <v>0</v>
      </c>
    </row>
    <row r="31" spans="2:28" s="27" customFormat="1" ht="35.1" customHeight="1">
      <c r="B31" s="97">
        <v>26</v>
      </c>
      <c r="C31" s="98"/>
      <c r="D31" s="42"/>
      <c r="E31" s="43"/>
      <c r="F31" s="41"/>
      <c r="G31" s="107"/>
      <c r="H31" s="44"/>
      <c r="I31" s="45"/>
      <c r="J31" s="58" t="str">
        <f t="shared" si="2"/>
        <v/>
      </c>
      <c r="K31" s="60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62">
        <f t="shared" si="5"/>
        <v>0</v>
      </c>
      <c r="AA31" s="63">
        <f t="shared" si="0"/>
        <v>0</v>
      </c>
      <c r="AB31" s="108">
        <f t="shared" si="1"/>
        <v>0</v>
      </c>
    </row>
    <row r="32" spans="2:28" s="27" customFormat="1" ht="35.1" customHeight="1" thickBot="1">
      <c r="B32" s="97">
        <v>27</v>
      </c>
      <c r="C32" s="98"/>
      <c r="D32" s="42"/>
      <c r="E32" s="43"/>
      <c r="F32" s="41"/>
      <c r="G32" s="107"/>
      <c r="H32" s="44"/>
      <c r="I32" s="45"/>
      <c r="J32" s="58" t="str">
        <f t="shared" si="2"/>
        <v/>
      </c>
      <c r="K32" s="60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62">
        <f t="shared" si="5"/>
        <v>0</v>
      </c>
      <c r="AA32" s="63">
        <f t="shared" si="0"/>
        <v>0</v>
      </c>
      <c r="AB32" s="108">
        <f t="shared" si="1"/>
        <v>0</v>
      </c>
    </row>
    <row r="33" spans="2:53" s="52" customFormat="1" ht="22.15" customHeight="1" thickBot="1">
      <c r="B33" s="82"/>
      <c r="C33" s="83"/>
      <c r="D33" s="83"/>
      <c r="E33" s="83"/>
      <c r="F33" s="83"/>
      <c r="G33" s="83"/>
      <c r="H33" s="83"/>
      <c r="I33" s="83"/>
      <c r="J33" s="83"/>
      <c r="K33" s="84">
        <f>SUM(K6:K32)</f>
        <v>90349497.519999996</v>
      </c>
      <c r="L33" s="84">
        <f>SUM(L6:L32)</f>
        <v>734453.99999999988</v>
      </c>
      <c r="M33" s="84">
        <f>SUM(M6:M32)</f>
        <v>3393480</v>
      </c>
      <c r="N33" s="84"/>
      <c r="O33" s="84"/>
      <c r="P33" s="84"/>
      <c r="Q33" s="84"/>
      <c r="R33" s="84">
        <f>SUM(R6:R32)</f>
        <v>0</v>
      </c>
      <c r="S33" s="84"/>
      <c r="T33" s="84"/>
      <c r="U33" s="84"/>
      <c r="V33" s="84"/>
      <c r="W33" s="84"/>
      <c r="X33" s="84"/>
      <c r="Y33" s="84"/>
      <c r="Z33" s="84">
        <f>SUM(Z6:Z32)</f>
        <v>94477426</v>
      </c>
      <c r="AA33" s="84">
        <f>SUM(AA6:AA32)</f>
        <v>0</v>
      </c>
      <c r="AB33" s="84">
        <f>SUM(AB6:AB32)</f>
        <v>0</v>
      </c>
      <c r="AC33" s="51"/>
      <c r="AD33" s="51"/>
      <c r="AE33" s="51"/>
    </row>
    <row r="34" spans="2:53" ht="15" customHeight="1">
      <c r="K34" s="28">
        <f>+'[27]PPH21-STAFF'!$F$81</f>
        <v>118230083.31999999</v>
      </c>
      <c r="L34" s="28">
        <f>+'[27]PPH21-STAFF'!$G$81</f>
        <v>1055149.8998880002</v>
      </c>
      <c r="M34" s="28">
        <f>+'[27]PPH21-STAFF'!$H$81</f>
        <v>5024523.3328</v>
      </c>
      <c r="Z34" s="28">
        <f>+'[27]PPH21-STAFF'!$S$81</f>
        <v>146559230.55268797</v>
      </c>
    </row>
    <row r="35" spans="2:53" ht="15" hidden="1" customHeight="1">
      <c r="B35" s="51" t="s">
        <v>48</v>
      </c>
      <c r="M35" s="54"/>
      <c r="N35" s="54"/>
      <c r="O35" s="54"/>
      <c r="P35" s="54"/>
      <c r="Q35" s="54"/>
    </row>
    <row r="36" spans="2:53" ht="15" hidden="1" customHeight="1">
      <c r="B36" s="27" t="s">
        <v>49</v>
      </c>
      <c r="M36" s="54"/>
      <c r="N36" s="54"/>
      <c r="O36" s="54"/>
      <c r="P36" s="54"/>
      <c r="Q36" s="54"/>
    </row>
    <row r="37" spans="2:53" ht="15" hidden="1" customHeight="1">
      <c r="B37" s="27" t="s">
        <v>57</v>
      </c>
      <c r="M37" s="54"/>
      <c r="N37" s="54"/>
      <c r="O37" s="54"/>
      <c r="P37" s="54"/>
      <c r="Q37" s="54"/>
    </row>
    <row r="38" spans="2:53" ht="15" hidden="1" customHeight="1">
      <c r="B38" s="27" t="s">
        <v>50</v>
      </c>
      <c r="M38" s="54"/>
      <c r="N38" s="54"/>
      <c r="O38" s="54"/>
      <c r="P38" s="54"/>
      <c r="Q38" s="54"/>
    </row>
    <row r="39" spans="2:53" s="31" customFormat="1" ht="15" hidden="1" customHeight="1">
      <c r="B39" s="27" t="s">
        <v>58</v>
      </c>
      <c r="C39" s="28"/>
      <c r="D39" s="148"/>
      <c r="E39" s="29"/>
      <c r="F39" s="28"/>
      <c r="G39" s="30"/>
      <c r="H39" s="149"/>
      <c r="I39" s="149"/>
      <c r="J39" s="149"/>
      <c r="K39" s="28"/>
      <c r="L39" s="28"/>
      <c r="M39" s="54"/>
      <c r="N39" s="54"/>
      <c r="O39" s="54"/>
      <c r="P39" s="54"/>
      <c r="Q39" s="54"/>
      <c r="R39" s="28"/>
      <c r="S39" s="28"/>
      <c r="T39" s="28"/>
      <c r="U39" s="28"/>
      <c r="V39" s="28"/>
      <c r="W39" s="28"/>
      <c r="X39" s="28"/>
      <c r="Y39" s="28"/>
      <c r="Z39" s="28"/>
      <c r="AA39" s="57"/>
      <c r="AB39" s="28"/>
      <c r="AC39" s="27"/>
      <c r="AD39" s="27"/>
      <c r="AE39" s="27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</row>
    <row r="40" spans="2:53" s="31" customFormat="1" ht="15" hidden="1" customHeight="1">
      <c r="B40" s="27" t="s">
        <v>51</v>
      </c>
      <c r="C40" s="28"/>
      <c r="D40" s="148"/>
      <c r="E40" s="29"/>
      <c r="F40" s="28"/>
      <c r="G40" s="30"/>
      <c r="H40" s="149"/>
      <c r="I40" s="149"/>
      <c r="J40" s="149"/>
      <c r="K40" s="28"/>
      <c r="L40" s="28"/>
      <c r="M40" s="54"/>
      <c r="N40" s="54"/>
      <c r="O40" s="54"/>
      <c r="P40" s="54"/>
      <c r="Q40" s="54"/>
      <c r="R40" s="28"/>
      <c r="S40" s="28"/>
      <c r="T40" s="28"/>
      <c r="U40" s="28"/>
      <c r="V40" s="28"/>
      <c r="W40" s="28"/>
      <c r="X40" s="28"/>
      <c r="Y40" s="28"/>
      <c r="Z40" s="28"/>
      <c r="AA40" s="57"/>
      <c r="AB40" s="28"/>
      <c r="AC40" s="27"/>
      <c r="AD40" s="27"/>
      <c r="AE40" s="27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</row>
    <row r="41" spans="2:53" s="31" customFormat="1" ht="15" hidden="1" customHeight="1">
      <c r="B41" s="27" t="s">
        <v>52</v>
      </c>
      <c r="C41" s="28"/>
      <c r="D41" s="148"/>
      <c r="E41" s="29"/>
      <c r="F41" s="28"/>
      <c r="G41" s="30"/>
      <c r="H41" s="149"/>
      <c r="I41" s="149"/>
      <c r="J41" s="149"/>
      <c r="K41" s="28"/>
      <c r="L41" s="28"/>
      <c r="M41" s="54"/>
      <c r="N41" s="54"/>
      <c r="O41" s="54"/>
      <c r="P41" s="54"/>
      <c r="Q41" s="54"/>
      <c r="R41" s="28"/>
      <c r="S41" s="28"/>
      <c r="T41" s="28"/>
      <c r="U41" s="28"/>
      <c r="V41" s="28"/>
      <c r="W41" s="28"/>
      <c r="X41" s="28"/>
      <c r="Y41" s="28"/>
      <c r="Z41" s="28"/>
      <c r="AA41" s="57"/>
      <c r="AB41" s="28"/>
      <c r="AC41" s="27"/>
      <c r="AD41" s="27"/>
      <c r="AE41" s="27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</row>
    <row r="42" spans="2:53" s="31" customFormat="1" ht="15" hidden="1" customHeight="1">
      <c r="B42" s="27" t="s">
        <v>53</v>
      </c>
      <c r="C42" s="28"/>
      <c r="D42" s="148"/>
      <c r="E42" s="29"/>
      <c r="F42" s="28"/>
      <c r="G42" s="30"/>
      <c r="H42" s="149"/>
      <c r="I42" s="149"/>
      <c r="J42" s="149"/>
      <c r="K42" s="28"/>
      <c r="L42" s="28"/>
      <c r="M42" s="54"/>
      <c r="N42" s="54"/>
      <c r="O42" s="54"/>
      <c r="P42" s="54"/>
      <c r="Q42" s="54"/>
      <c r="R42" s="28"/>
      <c r="S42" s="28"/>
      <c r="T42" s="28"/>
      <c r="U42" s="28"/>
      <c r="V42" s="28"/>
      <c r="W42" s="28"/>
      <c r="X42" s="28"/>
      <c r="Y42" s="28"/>
      <c r="Z42" s="28"/>
      <c r="AA42" s="57"/>
      <c r="AB42" s="28"/>
      <c r="AC42" s="27"/>
      <c r="AD42" s="27"/>
      <c r="AE42" s="27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</row>
    <row r="43" spans="2:53" s="31" customFormat="1" ht="15" hidden="1" customHeight="1">
      <c r="B43" s="27" t="s">
        <v>59</v>
      </c>
      <c r="C43" s="28"/>
      <c r="D43" s="148"/>
      <c r="E43" s="29"/>
      <c r="F43" s="28"/>
      <c r="G43" s="30"/>
      <c r="H43" s="149"/>
      <c r="I43" s="149"/>
      <c r="J43" s="149"/>
      <c r="K43" s="28"/>
      <c r="L43" s="28"/>
      <c r="M43" s="54"/>
      <c r="N43" s="54"/>
      <c r="O43" s="54"/>
      <c r="P43" s="54"/>
      <c r="Q43" s="54"/>
      <c r="R43" s="28"/>
      <c r="S43" s="28"/>
      <c r="T43" s="28"/>
      <c r="U43" s="28"/>
      <c r="V43" s="28"/>
      <c r="W43" s="28"/>
      <c r="X43" s="28"/>
      <c r="Y43" s="28"/>
      <c r="Z43" s="28"/>
      <c r="AA43" s="57"/>
      <c r="AB43" s="28"/>
      <c r="AC43" s="27"/>
      <c r="AD43" s="27"/>
      <c r="AE43" s="27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</row>
    <row r="44" spans="2:53" s="31" customFormat="1" ht="15" hidden="1" customHeight="1">
      <c r="B44" s="27" t="s">
        <v>60</v>
      </c>
      <c r="C44" s="28"/>
      <c r="D44" s="148"/>
      <c r="E44" s="29"/>
      <c r="F44" s="28"/>
      <c r="G44" s="30"/>
      <c r="H44" s="149"/>
      <c r="I44" s="149"/>
      <c r="J44" s="149"/>
      <c r="K44" s="28"/>
      <c r="L44" s="28"/>
      <c r="M44" s="54"/>
      <c r="N44" s="54"/>
      <c r="O44" s="54"/>
      <c r="P44" s="54"/>
      <c r="Q44" s="54"/>
      <c r="R44" s="28"/>
      <c r="S44" s="28"/>
      <c r="T44" s="28"/>
      <c r="U44" s="28"/>
      <c r="V44" s="28"/>
      <c r="W44" s="28"/>
      <c r="X44" s="28"/>
      <c r="Y44" s="28"/>
      <c r="Z44" s="28"/>
      <c r="AA44" s="57"/>
      <c r="AB44" s="28"/>
      <c r="AC44" s="27"/>
      <c r="AD44" s="27"/>
      <c r="AE44" s="27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</row>
    <row r="45" spans="2:53" s="31" customFormat="1" ht="15" hidden="1" customHeight="1">
      <c r="B45" s="27" t="s">
        <v>65</v>
      </c>
      <c r="C45" s="28"/>
      <c r="D45" s="148"/>
      <c r="E45" s="29"/>
      <c r="F45" s="28"/>
      <c r="G45" s="30"/>
      <c r="H45" s="149"/>
      <c r="I45" s="149"/>
      <c r="J45" s="149"/>
      <c r="K45" s="28"/>
      <c r="L45" s="28"/>
      <c r="M45" s="54"/>
      <c r="N45" s="54"/>
      <c r="O45" s="54"/>
      <c r="P45" s="54"/>
      <c r="Q45" s="54"/>
      <c r="R45" s="28"/>
      <c r="S45" s="28"/>
      <c r="T45" s="28"/>
      <c r="U45" s="28"/>
      <c r="V45" s="28"/>
      <c r="W45" s="28"/>
      <c r="X45" s="28"/>
      <c r="Y45" s="28"/>
      <c r="Z45" s="28"/>
      <c r="AA45" s="57"/>
      <c r="AB45" s="28"/>
      <c r="AC45" s="27"/>
      <c r="AD45" s="27"/>
      <c r="AE45" s="27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</row>
    <row r="46" spans="2:53" s="31" customFormat="1" ht="15" hidden="1" customHeight="1">
      <c r="B46" s="27"/>
      <c r="C46" s="28"/>
      <c r="D46" s="148"/>
      <c r="E46" s="29"/>
      <c r="F46" s="28"/>
      <c r="G46" s="30"/>
      <c r="H46" s="149"/>
      <c r="I46" s="149"/>
      <c r="J46" s="149"/>
      <c r="K46" s="28"/>
      <c r="L46" s="28"/>
      <c r="M46" s="54"/>
      <c r="N46" s="54"/>
      <c r="O46" s="54"/>
      <c r="P46" s="54"/>
      <c r="Q46" s="54"/>
      <c r="R46" s="28"/>
      <c r="S46" s="28"/>
      <c r="T46" s="28"/>
      <c r="U46" s="28"/>
      <c r="V46" s="28"/>
      <c r="W46" s="28"/>
      <c r="X46" s="28"/>
      <c r="Y46" s="28"/>
      <c r="Z46" s="28"/>
      <c r="AA46" s="57"/>
      <c r="AB46" s="28"/>
      <c r="AC46" s="27"/>
      <c r="AD46" s="27"/>
      <c r="AE46" s="27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</row>
    <row r="47" spans="2:53" s="31" customFormat="1" ht="15" hidden="1" customHeight="1">
      <c r="B47" s="27"/>
      <c r="C47" s="28"/>
      <c r="D47" s="148"/>
      <c r="E47" s="29"/>
      <c r="F47" s="28"/>
      <c r="G47" s="30"/>
      <c r="H47" s="149"/>
      <c r="I47" s="149"/>
      <c r="J47" s="149"/>
      <c r="K47" s="28"/>
      <c r="L47" s="28"/>
      <c r="M47" s="54"/>
      <c r="N47" s="54"/>
      <c r="O47" s="54"/>
      <c r="P47" s="54"/>
      <c r="Q47" s="54"/>
      <c r="R47" s="28"/>
      <c r="S47" s="28"/>
      <c r="T47" s="28"/>
      <c r="U47" s="28"/>
      <c r="V47" s="28"/>
      <c r="W47" s="28"/>
      <c r="X47" s="28"/>
      <c r="Y47" s="28"/>
      <c r="Z47" s="28"/>
      <c r="AA47" s="57"/>
      <c r="AB47" s="28"/>
      <c r="AC47" s="27"/>
      <c r="AD47" s="27"/>
      <c r="AE47" s="27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</row>
    <row r="48" spans="2:53" s="31" customFormat="1" ht="24.95" customHeight="1">
      <c r="B48" s="27"/>
      <c r="C48" s="28"/>
      <c r="D48" s="148"/>
      <c r="E48" s="29"/>
      <c r="F48" s="28"/>
      <c r="G48" s="30"/>
      <c r="H48" s="149"/>
      <c r="I48" s="149"/>
      <c r="J48" s="149"/>
      <c r="K48" s="28"/>
      <c r="L48" s="28"/>
      <c r="M48" s="54"/>
      <c r="N48" s="54"/>
      <c r="O48" s="54"/>
      <c r="P48" s="54"/>
      <c r="Q48" s="54"/>
      <c r="R48" s="28"/>
      <c r="S48" s="28"/>
      <c r="T48" s="28"/>
      <c r="U48" s="28"/>
      <c r="V48" s="28"/>
      <c r="W48" s="28"/>
      <c r="X48" s="28"/>
      <c r="Y48" s="28"/>
      <c r="Z48" s="28"/>
      <c r="AA48" s="57"/>
      <c r="AB48" s="28"/>
      <c r="AC48" s="27"/>
      <c r="AD48" s="27"/>
      <c r="AE48" s="27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</row>
    <row r="49" spans="4:17" ht="35.1" customHeight="1">
      <c r="D49" s="603" t="s">
        <v>165</v>
      </c>
      <c r="E49" s="603"/>
      <c r="K49" s="603" t="s">
        <v>167</v>
      </c>
      <c r="L49" s="603"/>
      <c r="M49" s="603"/>
      <c r="N49" s="603"/>
      <c r="O49" s="54"/>
      <c r="P49" s="54"/>
      <c r="Q49" s="54"/>
    </row>
    <row r="50" spans="4:17" ht="35.1" customHeight="1"/>
    <row r="51" spans="4:17" ht="35.1" customHeight="1"/>
    <row r="52" spans="4:17" ht="35.1" customHeight="1">
      <c r="D52" s="603" t="s">
        <v>96</v>
      </c>
      <c r="E52" s="603"/>
      <c r="K52" s="603" t="s">
        <v>168</v>
      </c>
      <c r="L52" s="603"/>
      <c r="M52" s="603"/>
      <c r="N52" s="603"/>
    </row>
    <row r="53" spans="4:17" ht="35.1" customHeight="1">
      <c r="D53" s="603" t="s">
        <v>166</v>
      </c>
      <c r="E53" s="603"/>
      <c r="K53" s="603" t="s">
        <v>169</v>
      </c>
      <c r="L53" s="603"/>
      <c r="M53" s="603"/>
      <c r="N53" s="603"/>
    </row>
    <row r="54" spans="4:17" ht="24.95" customHeight="1"/>
  </sheetData>
  <mergeCells count="6">
    <mergeCell ref="D49:E49"/>
    <mergeCell ref="K49:N49"/>
    <mergeCell ref="D52:E52"/>
    <mergeCell ref="K52:N52"/>
    <mergeCell ref="D53:E53"/>
    <mergeCell ref="K53:N53"/>
  </mergeCells>
  <dataValidations count="2">
    <dataValidation type="list" allowBlank="1" showInputMessage="1" showErrorMessage="1" sqref="H6:H32">
      <formula1>"L,P"</formula1>
    </dataValidation>
    <dataValidation type="list" allowBlank="1" showInputMessage="1" showErrorMessage="1" sqref="I6:I32">
      <formula1>"TK/0,TK/1,TK/2,TK/3,K/0,K/1,K/2,K/3"</formula1>
    </dataValidation>
  </dataValidations>
  <pageMargins left="0.31496062992125984" right="0.31496062992125984" top="0.35433070866141736" bottom="0.35433070866141736" header="0.31496062992125984" footer="0.31496062992125984"/>
  <pageSetup paperSize="9" scale="40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2"/>
  <sheetViews>
    <sheetView topLeftCell="A88" workbookViewId="0">
      <pane xSplit="6" topLeftCell="G1" activePane="topRight" state="frozen"/>
      <selection activeCell="R89" sqref="R89"/>
      <selection pane="topRight" activeCell="D101" sqref="D101:D105"/>
    </sheetView>
  </sheetViews>
  <sheetFormatPr defaultRowHeight="15"/>
  <cols>
    <col min="1" max="1" width="4.5703125" style="254" customWidth="1"/>
    <col min="2" max="2" width="23.28515625" style="255" customWidth="1"/>
    <col min="3" max="3" width="3.5703125" style="255" customWidth="1"/>
    <col min="4" max="4" width="5.140625" style="255" customWidth="1"/>
    <col min="5" max="5" width="5.5703125" style="255" customWidth="1"/>
    <col min="6" max="6" width="11.85546875" style="255" hidden="1" customWidth="1"/>
    <col min="7" max="15" width="12.28515625" style="255" customWidth="1"/>
    <col min="16" max="17" width="12.28515625" style="256" customWidth="1"/>
    <col min="18" max="18" width="12.28515625" style="255" customWidth="1"/>
    <col min="19" max="19" width="14.7109375" style="255" customWidth="1"/>
    <col min="20" max="20" width="13.42578125" style="255" customWidth="1"/>
    <col min="21" max="21" width="11.85546875" style="255" customWidth="1"/>
    <col min="22" max="22" width="11" style="255" customWidth="1"/>
    <col min="23" max="23" width="13.42578125" style="255" customWidth="1"/>
    <col min="24" max="24" width="15.5703125" style="255" customWidth="1"/>
    <col min="25" max="25" width="15.7109375" style="255" customWidth="1"/>
    <col min="26" max="26" width="11.5703125" style="257" bestFit="1" customWidth="1"/>
    <col min="27" max="27" width="9.140625" style="257"/>
    <col min="28" max="28" width="11.5703125" style="257" bestFit="1" customWidth="1"/>
    <col min="29" max="16384" width="9.140625" style="257"/>
  </cols>
  <sheetData>
    <row r="1" spans="1:26">
      <c r="A1" s="254" t="s">
        <v>71</v>
      </c>
    </row>
    <row r="2" spans="1:26" ht="15.75" thickBot="1">
      <c r="A2" s="254" t="s">
        <v>522</v>
      </c>
      <c r="I2" s="258"/>
      <c r="J2" s="258"/>
      <c r="K2" s="258"/>
      <c r="L2" s="258"/>
      <c r="M2" s="258"/>
      <c r="N2" s="258"/>
      <c r="O2" s="258"/>
      <c r="P2" s="259"/>
      <c r="Q2" s="414"/>
      <c r="R2" s="258"/>
      <c r="S2" s="258"/>
      <c r="U2" s="258"/>
      <c r="V2" s="258"/>
      <c r="X2" s="260"/>
    </row>
    <row r="3" spans="1:26">
      <c r="A3" s="615" t="s">
        <v>0</v>
      </c>
      <c r="B3" s="618" t="s">
        <v>443</v>
      </c>
      <c r="C3" s="606" t="s">
        <v>37</v>
      </c>
      <c r="D3" s="606" t="s">
        <v>444</v>
      </c>
      <c r="E3" s="606" t="s">
        <v>445</v>
      </c>
      <c r="F3" s="261"/>
      <c r="G3" s="611" t="s">
        <v>446</v>
      </c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/>
      <c r="U3" s="612"/>
      <c r="V3" s="613"/>
      <c r="W3" s="262" t="s">
        <v>447</v>
      </c>
      <c r="X3" s="606" t="s">
        <v>6</v>
      </c>
      <c r="Y3" s="263" t="s">
        <v>448</v>
      </c>
    </row>
    <row r="4" spans="1:26" ht="15.75" customHeight="1">
      <c r="A4" s="616"/>
      <c r="B4" s="619"/>
      <c r="C4" s="607"/>
      <c r="D4" s="607"/>
      <c r="E4" s="607"/>
      <c r="F4" s="264"/>
      <c r="G4" s="609" t="s">
        <v>449</v>
      </c>
      <c r="H4" s="609" t="s">
        <v>450</v>
      </c>
      <c r="I4" s="609" t="s">
        <v>451</v>
      </c>
      <c r="J4" s="609" t="s">
        <v>452</v>
      </c>
      <c r="K4" s="609" t="s">
        <v>453</v>
      </c>
      <c r="L4" s="609" t="s">
        <v>454</v>
      </c>
      <c r="M4" s="609" t="s">
        <v>455</v>
      </c>
      <c r="N4" s="609" t="s">
        <v>456</v>
      </c>
      <c r="O4" s="609" t="s">
        <v>457</v>
      </c>
      <c r="P4" s="609" t="s">
        <v>458</v>
      </c>
      <c r="Q4" s="609" t="s">
        <v>459</v>
      </c>
      <c r="R4" s="609" t="s">
        <v>460</v>
      </c>
      <c r="S4" s="265" t="s">
        <v>461</v>
      </c>
      <c r="T4" s="614" t="s">
        <v>79</v>
      </c>
      <c r="U4" s="604" t="s">
        <v>462</v>
      </c>
      <c r="V4" s="266" t="s">
        <v>463</v>
      </c>
      <c r="W4" s="267" t="s">
        <v>464</v>
      </c>
      <c r="X4" s="607"/>
      <c r="Y4" s="268" t="s">
        <v>465</v>
      </c>
    </row>
    <row r="5" spans="1:26" ht="16.5" customHeight="1" thickBot="1">
      <c r="A5" s="617"/>
      <c r="B5" s="620"/>
      <c r="C5" s="608"/>
      <c r="D5" s="608"/>
      <c r="E5" s="608"/>
      <c r="F5" s="269"/>
      <c r="G5" s="610"/>
      <c r="H5" s="610"/>
      <c r="I5" s="610"/>
      <c r="J5" s="610"/>
      <c r="K5" s="610"/>
      <c r="L5" s="610"/>
      <c r="M5" s="610"/>
      <c r="N5" s="610"/>
      <c r="O5" s="610"/>
      <c r="P5" s="610"/>
      <c r="Q5" s="610"/>
      <c r="R5" s="610"/>
      <c r="S5" s="270" t="s">
        <v>466</v>
      </c>
      <c r="T5" s="608"/>
      <c r="U5" s="605"/>
      <c r="V5" s="271" t="s">
        <v>467</v>
      </c>
      <c r="W5" s="272" t="s">
        <v>468</v>
      </c>
      <c r="X5" s="608"/>
      <c r="Y5" s="273" t="s">
        <v>469</v>
      </c>
    </row>
    <row r="6" spans="1:26">
      <c r="A6" s="274">
        <v>1</v>
      </c>
      <c r="B6" s="275" t="s">
        <v>221</v>
      </c>
      <c r="C6" s="276" t="s">
        <v>39</v>
      </c>
      <c r="D6" s="276" t="s">
        <v>7</v>
      </c>
      <c r="E6" s="277">
        <f>COUNT(G6:R6)-COUNT(#REF!)</f>
        <v>11</v>
      </c>
      <c r="F6" s="276"/>
      <c r="G6" s="278">
        <v>4222181.5599999996</v>
      </c>
      <c r="H6" s="278">
        <v>3767004.56</v>
      </c>
      <c r="I6" s="278">
        <v>4064078.5599999996</v>
      </c>
      <c r="J6" s="278">
        <v>4165436.5599999996</v>
      </c>
      <c r="K6" s="279">
        <v>3952742.56</v>
      </c>
      <c r="L6" s="278">
        <v>3858384.56</v>
      </c>
      <c r="M6" s="279">
        <v>4683618.3600000003</v>
      </c>
      <c r="N6" s="279">
        <v>4522740.3600000003</v>
      </c>
      <c r="O6" s="279">
        <v>4357658.3600000003</v>
      </c>
      <c r="P6" s="280">
        <v>4182415.3600000003</v>
      </c>
      <c r="Q6" s="280">
        <v>4257343.3600000003</v>
      </c>
      <c r="R6" s="279"/>
      <c r="S6" s="281">
        <f>SUM(G6:R6)</f>
        <v>46033604.159999996</v>
      </c>
      <c r="T6" s="282">
        <v>3991100</v>
      </c>
      <c r="U6" s="283">
        <v>200000</v>
      </c>
      <c r="V6" s="282"/>
      <c r="W6" s="284">
        <f t="shared" ref="W6:W117" si="0">S6+T6+U6+V6</f>
        <v>50224704.159999996</v>
      </c>
      <c r="X6" s="277" t="b">
        <f t="shared" ref="X6:X40" si="1">IF(D6="TK",54000000,IF(D6="K0",58500000,IF(D6="K1",63000000,IF(D6="K2",67500000,IF(D6="K3",72000000)))))</f>
        <v>0</v>
      </c>
      <c r="Y6" s="284">
        <f t="shared" ref="Y6:Y40" si="2">IF(W6&lt;=X6,0,IF(W6&gt;X6,W6-X6))</f>
        <v>0</v>
      </c>
      <c r="Z6" s="285">
        <f>S6-G6</f>
        <v>41811422.599999994</v>
      </c>
    </row>
    <row r="7" spans="1:26">
      <c r="A7" s="274">
        <v>2</v>
      </c>
      <c r="B7" s="275" t="s">
        <v>227</v>
      </c>
      <c r="C7" s="276" t="s">
        <v>39</v>
      </c>
      <c r="D7" s="276" t="s">
        <v>7</v>
      </c>
      <c r="E7" s="277">
        <f>COUNT(G7:R7)-COUNT(#REF!)</f>
        <v>11</v>
      </c>
      <c r="F7" s="276"/>
      <c r="G7" s="278">
        <v>3991099.56</v>
      </c>
      <c r="H7" s="278">
        <v>3678618.56</v>
      </c>
      <c r="I7" s="278">
        <v>3994599.56</v>
      </c>
      <c r="J7" s="278">
        <v>3863129.56</v>
      </c>
      <c r="K7" s="279">
        <v>4159682.5599999996</v>
      </c>
      <c r="L7" s="278">
        <v>3896742.56</v>
      </c>
      <c r="M7" s="279">
        <v>3933332.36</v>
      </c>
      <c r="N7" s="279">
        <v>3863130.36</v>
      </c>
      <c r="O7" s="279">
        <v>3731660.36</v>
      </c>
      <c r="P7" s="280">
        <v>4117844.3600000003</v>
      </c>
      <c r="Q7" s="280">
        <v>3863130.36</v>
      </c>
      <c r="R7" s="279"/>
      <c r="S7" s="281">
        <f t="shared" ref="S7:S117" si="3">SUM(G7:R7)</f>
        <v>43092970.159999996</v>
      </c>
      <c r="T7" s="282">
        <v>3994600</v>
      </c>
      <c r="U7" s="283">
        <v>200000</v>
      </c>
      <c r="V7" s="282"/>
      <c r="W7" s="284">
        <f t="shared" si="0"/>
        <v>47287570.159999996</v>
      </c>
      <c r="X7" s="277" t="b">
        <f t="shared" si="1"/>
        <v>0</v>
      </c>
      <c r="Y7" s="284">
        <f t="shared" si="2"/>
        <v>0</v>
      </c>
      <c r="Z7" s="285">
        <f t="shared" ref="Z7:Z36" si="4">S7-G7</f>
        <v>39101870.599999994</v>
      </c>
    </row>
    <row r="8" spans="1:26">
      <c r="A8" s="274">
        <v>3</v>
      </c>
      <c r="B8" s="275" t="s">
        <v>233</v>
      </c>
      <c r="C8" s="276" t="s">
        <v>38</v>
      </c>
      <c r="D8" s="276" t="s">
        <v>7</v>
      </c>
      <c r="E8" s="277">
        <f>COUNT(G8:R8)-COUNT(#REF!)</f>
        <v>11</v>
      </c>
      <c r="F8" s="276"/>
      <c r="G8" s="278">
        <v>4129569.5599999996</v>
      </c>
      <c r="H8" s="278">
        <v>3735159.56</v>
      </c>
      <c r="I8" s="278">
        <v>4129569.5599999996</v>
      </c>
      <c r="J8" s="278">
        <v>3998099.56</v>
      </c>
      <c r="K8" s="279">
        <v>4129569.5599999996</v>
      </c>
      <c r="L8" s="278">
        <v>3998099.56</v>
      </c>
      <c r="M8" s="279">
        <v>4129569.96</v>
      </c>
      <c r="N8" s="279">
        <v>4129569.96</v>
      </c>
      <c r="O8" s="279">
        <v>3998099.96</v>
      </c>
      <c r="P8" s="280">
        <v>4133069.5599999996</v>
      </c>
      <c r="Q8" s="280">
        <v>4001599.56</v>
      </c>
      <c r="R8" s="279"/>
      <c r="S8" s="281">
        <f t="shared" si="3"/>
        <v>44511976.360000007</v>
      </c>
      <c r="T8" s="282">
        <v>3998100</v>
      </c>
      <c r="U8" s="283">
        <v>200000</v>
      </c>
      <c r="V8" s="282"/>
      <c r="W8" s="284">
        <f t="shared" si="0"/>
        <v>48710076.360000007</v>
      </c>
      <c r="X8" s="277" t="b">
        <f t="shared" si="1"/>
        <v>0</v>
      </c>
      <c r="Y8" s="284">
        <f t="shared" si="2"/>
        <v>0</v>
      </c>
      <c r="Z8" s="285">
        <f t="shared" si="4"/>
        <v>40382406.800000004</v>
      </c>
    </row>
    <row r="9" spans="1:26">
      <c r="A9" s="274">
        <v>4</v>
      </c>
      <c r="B9" s="275" t="s">
        <v>236</v>
      </c>
      <c r="C9" s="276" t="s">
        <v>38</v>
      </c>
      <c r="D9" s="276" t="s">
        <v>7</v>
      </c>
      <c r="E9" s="277">
        <f>COUNT(G9:R9)-COUNT(#REF!)</f>
        <v>11</v>
      </c>
      <c r="F9" s="276"/>
      <c r="G9" s="278">
        <v>4126069.5599999996</v>
      </c>
      <c r="H9" s="278">
        <v>3735159.56</v>
      </c>
      <c r="I9" s="278">
        <v>4129569.5599999996</v>
      </c>
      <c r="J9" s="278">
        <v>3998099.56</v>
      </c>
      <c r="K9" s="279">
        <v>4129569.5599999996</v>
      </c>
      <c r="L9" s="278">
        <v>3998099.56</v>
      </c>
      <c r="M9" s="279">
        <v>4129569.96</v>
      </c>
      <c r="N9" s="279">
        <v>4129569.96</v>
      </c>
      <c r="O9" s="279">
        <v>3998099.96</v>
      </c>
      <c r="P9" s="280">
        <v>4207997.96</v>
      </c>
      <c r="Q9" s="280">
        <v>3998099.96</v>
      </c>
      <c r="R9" s="279"/>
      <c r="S9" s="281">
        <f t="shared" si="3"/>
        <v>44579905.160000004</v>
      </c>
      <c r="T9" s="282">
        <v>3998100</v>
      </c>
      <c r="U9" s="283">
        <v>200000</v>
      </c>
      <c r="V9" s="282"/>
      <c r="W9" s="284">
        <f t="shared" si="0"/>
        <v>48778005.160000004</v>
      </c>
      <c r="X9" s="277" t="b">
        <f t="shared" si="1"/>
        <v>0</v>
      </c>
      <c r="Y9" s="284">
        <f t="shared" si="2"/>
        <v>0</v>
      </c>
      <c r="Z9" s="285">
        <f t="shared" si="4"/>
        <v>40453835.600000001</v>
      </c>
    </row>
    <row r="10" spans="1:26">
      <c r="A10" s="274">
        <v>5</v>
      </c>
      <c r="B10" s="275" t="s">
        <v>239</v>
      </c>
      <c r="C10" s="276" t="s">
        <v>38</v>
      </c>
      <c r="D10" s="276" t="s">
        <v>7</v>
      </c>
      <c r="E10" s="277">
        <f>COUNT(G10:R10)-COUNT(#REF!)</f>
        <v>11</v>
      </c>
      <c r="F10" s="276"/>
      <c r="G10" s="278">
        <v>4126069.5599999996</v>
      </c>
      <c r="H10" s="278">
        <v>3731659.56</v>
      </c>
      <c r="I10" s="278">
        <v>4126069.5599999996</v>
      </c>
      <c r="J10" s="286">
        <v>3994599.56</v>
      </c>
      <c r="K10" s="279">
        <v>4126069.5599999996</v>
      </c>
      <c r="L10" s="278">
        <v>3994599.56</v>
      </c>
      <c r="M10" s="279">
        <v>4126070.3600000003</v>
      </c>
      <c r="N10" s="279">
        <v>4126070.3600000003</v>
      </c>
      <c r="O10" s="279">
        <v>3863130.36</v>
      </c>
      <c r="P10" s="280">
        <v>4073028.3600000003</v>
      </c>
      <c r="Q10" s="280">
        <v>3863130.36</v>
      </c>
      <c r="R10" s="279"/>
      <c r="S10" s="281">
        <f t="shared" si="3"/>
        <v>44150497.159999996</v>
      </c>
      <c r="T10" s="282">
        <v>3994600</v>
      </c>
      <c r="U10" s="287">
        <v>200000</v>
      </c>
      <c r="V10" s="282"/>
      <c r="W10" s="284">
        <f t="shared" si="0"/>
        <v>48345097.159999996</v>
      </c>
      <c r="X10" s="277" t="b">
        <f t="shared" si="1"/>
        <v>0</v>
      </c>
      <c r="Y10" s="284">
        <f t="shared" si="2"/>
        <v>0</v>
      </c>
      <c r="Z10" s="285">
        <f t="shared" si="4"/>
        <v>40024427.599999994</v>
      </c>
    </row>
    <row r="11" spans="1:26">
      <c r="A11" s="274">
        <v>6</v>
      </c>
      <c r="B11" s="275" t="s">
        <v>242</v>
      </c>
      <c r="C11" s="276" t="s">
        <v>38</v>
      </c>
      <c r="D11" s="276" t="s">
        <v>7</v>
      </c>
      <c r="E11" s="277">
        <f>COUNT(G11:R11)-COUNT(#REF!)</f>
        <v>11</v>
      </c>
      <c r="F11" s="276"/>
      <c r="G11" s="278">
        <v>4136569.5599999996</v>
      </c>
      <c r="H11" s="278">
        <v>3770159.56</v>
      </c>
      <c r="I11" s="278">
        <v>4164569.5599999996</v>
      </c>
      <c r="J11" s="278">
        <v>4040099.5599999996</v>
      </c>
      <c r="K11" s="279">
        <v>4171569.5599999996</v>
      </c>
      <c r="L11" s="278">
        <v>4040099.5599999996</v>
      </c>
      <c r="M11" s="279">
        <v>4040100.16</v>
      </c>
      <c r="N11" s="279">
        <v>4171570.16</v>
      </c>
      <c r="O11" s="279">
        <v>3908630.16</v>
      </c>
      <c r="P11" s="280">
        <v>4171570.16</v>
      </c>
      <c r="Q11" s="280">
        <v>4040100.16</v>
      </c>
      <c r="R11" s="279"/>
      <c r="S11" s="281">
        <f t="shared" si="3"/>
        <v>44655038.159999996</v>
      </c>
      <c r="T11" s="282">
        <v>4033100</v>
      </c>
      <c r="U11" s="283">
        <v>200000</v>
      </c>
      <c r="V11" s="282"/>
      <c r="W11" s="284">
        <f t="shared" si="0"/>
        <v>48888138.159999996</v>
      </c>
      <c r="X11" s="277" t="b">
        <f t="shared" si="1"/>
        <v>0</v>
      </c>
      <c r="Y11" s="284">
        <f t="shared" si="2"/>
        <v>0</v>
      </c>
      <c r="Z11" s="285">
        <f t="shared" si="4"/>
        <v>40518468.599999994</v>
      </c>
    </row>
    <row r="12" spans="1:26">
      <c r="A12" s="274">
        <v>7</v>
      </c>
      <c r="B12" s="275" t="s">
        <v>245</v>
      </c>
      <c r="C12" s="276" t="s">
        <v>38</v>
      </c>
      <c r="D12" s="276" t="s">
        <v>7</v>
      </c>
      <c r="E12" s="277">
        <f>COUNT(G12:R12)-COUNT(#REF!)</f>
        <v>11</v>
      </c>
      <c r="F12" s="276"/>
      <c r="G12" s="278">
        <v>4122569.5599999996</v>
      </c>
      <c r="H12" s="278">
        <v>3728159.56</v>
      </c>
      <c r="I12" s="278">
        <v>4122569.5599999996</v>
      </c>
      <c r="J12" s="278">
        <v>3991099.56</v>
      </c>
      <c r="K12" s="279">
        <v>4122569.5599999996</v>
      </c>
      <c r="L12" s="278">
        <v>3859629.56</v>
      </c>
      <c r="M12" s="279">
        <v>4122569.76</v>
      </c>
      <c r="N12" s="279">
        <v>4122569.76</v>
      </c>
      <c r="O12" s="279">
        <v>3991099.76</v>
      </c>
      <c r="P12" s="280">
        <v>4126070.3600000003</v>
      </c>
      <c r="Q12" s="280">
        <v>3994600.36</v>
      </c>
      <c r="R12" s="279"/>
      <c r="S12" s="281">
        <f t="shared" si="3"/>
        <v>44303507.359999992</v>
      </c>
      <c r="T12" s="282">
        <v>3991100</v>
      </c>
      <c r="U12" s="288">
        <v>200000</v>
      </c>
      <c r="V12" s="282"/>
      <c r="W12" s="284">
        <f t="shared" si="0"/>
        <v>48494607.359999992</v>
      </c>
      <c r="X12" s="277" t="b">
        <f t="shared" si="1"/>
        <v>0</v>
      </c>
      <c r="Y12" s="284">
        <f t="shared" si="2"/>
        <v>0</v>
      </c>
      <c r="Z12" s="285">
        <f t="shared" si="4"/>
        <v>40180937.79999999</v>
      </c>
    </row>
    <row r="13" spans="1:26">
      <c r="A13" s="274">
        <v>8</v>
      </c>
      <c r="B13" s="275" t="s">
        <v>248</v>
      </c>
      <c r="C13" s="276" t="s">
        <v>39</v>
      </c>
      <c r="D13" s="276" t="s">
        <v>17</v>
      </c>
      <c r="E13" s="277">
        <f>COUNT(G13:R13)-COUNT(#REF!)</f>
        <v>11</v>
      </c>
      <c r="F13" s="276"/>
      <c r="G13" s="278">
        <v>4178419.5599999996</v>
      </c>
      <c r="H13" s="278">
        <v>3670839.56</v>
      </c>
      <c r="I13" s="278">
        <v>4202519.5599999996</v>
      </c>
      <c r="J13" s="278">
        <v>3936679.56</v>
      </c>
      <c r="K13" s="279">
        <v>4103212.5599999996</v>
      </c>
      <c r="L13" s="278">
        <v>4103212.5599999996</v>
      </c>
      <c r="M13" s="279">
        <v>4206020.3600000003</v>
      </c>
      <c r="N13" s="279">
        <v>4073100.3600000003</v>
      </c>
      <c r="O13" s="279">
        <v>4073100.3600000003</v>
      </c>
      <c r="P13" s="280">
        <v>4073100.3600000003</v>
      </c>
      <c r="Q13" s="280">
        <v>3807260.36</v>
      </c>
      <c r="R13" s="279"/>
      <c r="S13" s="281">
        <f t="shared" si="3"/>
        <v>44427465.159999996</v>
      </c>
      <c r="T13" s="282">
        <v>4069600</v>
      </c>
      <c r="U13" s="283">
        <v>200000</v>
      </c>
      <c r="V13" s="282"/>
      <c r="W13" s="284">
        <f t="shared" si="0"/>
        <v>48697065.159999996</v>
      </c>
      <c r="X13" s="277" t="b">
        <f t="shared" si="1"/>
        <v>0</v>
      </c>
      <c r="Y13" s="284">
        <f t="shared" si="2"/>
        <v>0</v>
      </c>
      <c r="Z13" s="285">
        <f t="shared" si="4"/>
        <v>40249045.599999994</v>
      </c>
    </row>
    <row r="14" spans="1:26">
      <c r="A14" s="274">
        <v>9</v>
      </c>
      <c r="B14" s="275" t="s">
        <v>257</v>
      </c>
      <c r="C14" s="276" t="s">
        <v>39</v>
      </c>
      <c r="D14" s="276" t="s">
        <v>9</v>
      </c>
      <c r="E14" s="277">
        <f>COUNT(G14:R14)-COUNT(#REF!)</f>
        <v>11</v>
      </c>
      <c r="F14" s="276"/>
      <c r="G14" s="279">
        <v>4628619.5599999996</v>
      </c>
      <c r="H14" s="279">
        <v>3781359.56</v>
      </c>
      <c r="I14" s="279">
        <v>4182969.5599999996</v>
      </c>
      <c r="J14" s="279">
        <v>4020599.56</v>
      </c>
      <c r="K14" s="279">
        <v>4153519.5599999996</v>
      </c>
      <c r="L14" s="279">
        <v>4020599.56</v>
      </c>
      <c r="M14" s="279">
        <v>4153520.3600000003</v>
      </c>
      <c r="N14" s="279">
        <v>4153520.3600000003</v>
      </c>
      <c r="O14" s="279">
        <v>4020600.36</v>
      </c>
      <c r="P14" s="279">
        <v>4153520.3600000003</v>
      </c>
      <c r="Q14" s="279">
        <v>4020600.36</v>
      </c>
      <c r="R14" s="279"/>
      <c r="S14" s="281">
        <f t="shared" si="3"/>
        <v>45289429.159999996</v>
      </c>
      <c r="T14" s="282">
        <v>4049100</v>
      </c>
      <c r="U14" s="282">
        <v>200000</v>
      </c>
      <c r="V14" s="282"/>
      <c r="W14" s="284">
        <f t="shared" si="0"/>
        <v>49538529.159999996</v>
      </c>
      <c r="X14" s="277" t="b">
        <f t="shared" si="1"/>
        <v>0</v>
      </c>
      <c r="Y14" s="284">
        <f t="shared" si="2"/>
        <v>0</v>
      </c>
      <c r="Z14" s="285">
        <f t="shared" si="4"/>
        <v>40660809.599999994</v>
      </c>
    </row>
    <row r="15" spans="1:26">
      <c r="A15" s="274">
        <v>10</v>
      </c>
      <c r="B15" s="275" t="s">
        <v>260</v>
      </c>
      <c r="C15" s="276" t="s">
        <v>39</v>
      </c>
      <c r="D15" s="276" t="s">
        <v>11</v>
      </c>
      <c r="E15" s="277">
        <f>COUNT(G15:R15)-COUNT(#REF!)</f>
        <v>11</v>
      </c>
      <c r="F15" s="276"/>
      <c r="G15" s="279">
        <v>3927979.56</v>
      </c>
      <c r="H15" s="279">
        <v>3662789.56</v>
      </c>
      <c r="I15" s="279">
        <v>4067099.5599999996</v>
      </c>
      <c r="J15" s="279">
        <v>3797559.56</v>
      </c>
      <c r="K15" s="279">
        <v>4067099.5599999996</v>
      </c>
      <c r="L15" s="278">
        <v>3932329.56</v>
      </c>
      <c r="M15" s="279">
        <v>3932329.96</v>
      </c>
      <c r="N15" s="279">
        <v>4070099.76</v>
      </c>
      <c r="O15" s="279">
        <v>3800559.76</v>
      </c>
      <c r="P15" s="280">
        <v>4070099.76</v>
      </c>
      <c r="Q15" s="280">
        <v>4070099.76</v>
      </c>
      <c r="R15" s="279"/>
      <c r="S15" s="281">
        <f t="shared" si="3"/>
        <v>43398046.359999992</v>
      </c>
      <c r="T15" s="282">
        <v>4067100</v>
      </c>
      <c r="U15" s="283">
        <v>200000</v>
      </c>
      <c r="V15" s="282"/>
      <c r="W15" s="284">
        <f t="shared" si="0"/>
        <v>47665146.359999992</v>
      </c>
      <c r="X15" s="277" t="b">
        <f t="shared" si="1"/>
        <v>0</v>
      </c>
      <c r="Y15" s="284">
        <f t="shared" si="2"/>
        <v>0</v>
      </c>
      <c r="Z15" s="285">
        <f t="shared" si="4"/>
        <v>39470066.79999999</v>
      </c>
    </row>
    <row r="16" spans="1:26">
      <c r="A16" s="274">
        <v>11</v>
      </c>
      <c r="B16" s="275" t="s">
        <v>263</v>
      </c>
      <c r="C16" s="276" t="s">
        <v>39</v>
      </c>
      <c r="D16" s="276" t="s">
        <v>9</v>
      </c>
      <c r="E16" s="277">
        <f>COUNT(G16:R16)-COUNT(#REF!)</f>
        <v>11</v>
      </c>
      <c r="F16" s="276"/>
      <c r="G16" s="279">
        <v>3887879.56</v>
      </c>
      <c r="H16" s="279">
        <v>3758359.56</v>
      </c>
      <c r="I16" s="279">
        <v>3892229.56</v>
      </c>
      <c r="J16" s="279">
        <v>3758359.56</v>
      </c>
      <c r="K16" s="279">
        <v>3892229.56</v>
      </c>
      <c r="L16" s="278">
        <v>3892229.56</v>
      </c>
      <c r="M16" s="279">
        <v>3892229.56</v>
      </c>
      <c r="N16" s="279">
        <v>3892229.56</v>
      </c>
      <c r="O16" s="279">
        <v>3758359.56</v>
      </c>
      <c r="P16" s="280">
        <v>3892229.56</v>
      </c>
      <c r="Q16" s="280">
        <v>3760859.56</v>
      </c>
      <c r="R16" s="279"/>
      <c r="S16" s="281">
        <f t="shared" si="3"/>
        <v>42277195.160000004</v>
      </c>
      <c r="T16" s="282">
        <v>4026100</v>
      </c>
      <c r="U16" s="289">
        <v>200000</v>
      </c>
      <c r="V16" s="282"/>
      <c r="W16" s="284">
        <f t="shared" si="0"/>
        <v>46503295.160000004</v>
      </c>
      <c r="X16" s="277" t="b">
        <f t="shared" si="1"/>
        <v>0</v>
      </c>
      <c r="Y16" s="284">
        <f t="shared" si="2"/>
        <v>0</v>
      </c>
      <c r="Z16" s="285">
        <f t="shared" si="4"/>
        <v>38389315.600000001</v>
      </c>
    </row>
    <row r="17" spans="1:26">
      <c r="A17" s="274">
        <v>12</v>
      </c>
      <c r="B17" s="290" t="s">
        <v>266</v>
      </c>
      <c r="C17" s="291" t="s">
        <v>38</v>
      </c>
      <c r="D17" s="276" t="s">
        <v>7</v>
      </c>
      <c r="E17" s="277">
        <f>COUNT(G17:R17)-COUNT(#REF!)</f>
        <v>11</v>
      </c>
      <c r="F17" s="276"/>
      <c r="G17" s="279">
        <v>4122569.5599999996</v>
      </c>
      <c r="H17" s="279">
        <v>3728159.56</v>
      </c>
      <c r="I17" s="279">
        <v>4122569.5599999996</v>
      </c>
      <c r="J17" s="279">
        <v>3991099.56</v>
      </c>
      <c r="K17" s="279">
        <v>4122569.5599999996</v>
      </c>
      <c r="L17" s="278">
        <v>3991099.56</v>
      </c>
      <c r="M17" s="279">
        <v>4126070.3600000003</v>
      </c>
      <c r="N17" s="279">
        <v>4126070.3600000003</v>
      </c>
      <c r="O17" s="279">
        <v>3863130.36</v>
      </c>
      <c r="P17" s="280">
        <v>3994600.36</v>
      </c>
      <c r="Q17" s="280">
        <v>3863130.36</v>
      </c>
      <c r="R17" s="279"/>
      <c r="S17" s="281">
        <f t="shared" si="3"/>
        <v>44051069.159999996</v>
      </c>
      <c r="T17" s="282">
        <v>3991100</v>
      </c>
      <c r="U17" s="289">
        <v>200000</v>
      </c>
      <c r="V17" s="282"/>
      <c r="W17" s="284">
        <f t="shared" si="0"/>
        <v>48242169.159999996</v>
      </c>
      <c r="X17" s="277" t="b">
        <f t="shared" si="1"/>
        <v>0</v>
      </c>
      <c r="Y17" s="284">
        <f t="shared" si="2"/>
        <v>0</v>
      </c>
      <c r="Z17" s="285">
        <f t="shared" si="4"/>
        <v>39928499.599999994</v>
      </c>
    </row>
    <row r="18" spans="1:26">
      <c r="A18" s="274">
        <v>13</v>
      </c>
      <c r="B18" s="275" t="s">
        <v>272</v>
      </c>
      <c r="C18" s="276" t="s">
        <v>38</v>
      </c>
      <c r="D18" s="276" t="s">
        <v>7</v>
      </c>
      <c r="E18" s="277">
        <f>COUNT(G18:R18)-COUNT(#REF!)</f>
        <v>11</v>
      </c>
      <c r="F18" s="276"/>
      <c r="G18" s="279">
        <v>4102569.5599999996</v>
      </c>
      <c r="H18" s="279">
        <v>3708159.56</v>
      </c>
      <c r="I18" s="279">
        <v>4102569.5599999996</v>
      </c>
      <c r="J18" s="279">
        <v>3971099.56</v>
      </c>
      <c r="K18" s="279">
        <v>3971099.56</v>
      </c>
      <c r="L18" s="278">
        <v>3971099.56</v>
      </c>
      <c r="M18" s="279">
        <v>4102569.76</v>
      </c>
      <c r="N18" s="279">
        <v>4105569.5599999996</v>
      </c>
      <c r="O18" s="279">
        <v>3842629.56</v>
      </c>
      <c r="P18" s="280">
        <v>4105569.5599999996</v>
      </c>
      <c r="Q18" s="280">
        <v>3842629.56</v>
      </c>
      <c r="R18" s="279"/>
      <c r="S18" s="281">
        <f t="shared" si="3"/>
        <v>43825565.359999999</v>
      </c>
      <c r="T18" s="282">
        <v>3971100</v>
      </c>
      <c r="U18" s="292">
        <v>200000</v>
      </c>
      <c r="V18" s="282"/>
      <c r="W18" s="284">
        <f t="shared" si="0"/>
        <v>47996665.359999999</v>
      </c>
      <c r="X18" s="277" t="b">
        <f t="shared" si="1"/>
        <v>0</v>
      </c>
      <c r="Y18" s="284">
        <f t="shared" si="2"/>
        <v>0</v>
      </c>
      <c r="Z18" s="285">
        <f t="shared" si="4"/>
        <v>39722995.799999997</v>
      </c>
    </row>
    <row r="19" spans="1:26">
      <c r="A19" s="274">
        <v>14</v>
      </c>
      <c r="B19" s="275" t="s">
        <v>277</v>
      </c>
      <c r="C19" s="276" t="s">
        <v>38</v>
      </c>
      <c r="D19" s="276" t="s">
        <v>7</v>
      </c>
      <c r="E19" s="277">
        <f>COUNT(G19:R19)-COUNT(#REF!)</f>
        <v>11</v>
      </c>
      <c r="F19" s="276"/>
      <c r="G19" s="279">
        <v>4297630.5599999996</v>
      </c>
      <c r="H19" s="279">
        <v>3903220.56</v>
      </c>
      <c r="I19" s="279">
        <v>3998099.56</v>
      </c>
      <c r="J19" s="279">
        <v>3866629.56</v>
      </c>
      <c r="K19" s="279">
        <v>4129569.5599999996</v>
      </c>
      <c r="L19" s="278">
        <v>3998099.56</v>
      </c>
      <c r="M19" s="279">
        <v>3998099.96</v>
      </c>
      <c r="N19" s="279">
        <v>4129569.96</v>
      </c>
      <c r="O19" s="279">
        <v>3998099.96</v>
      </c>
      <c r="P19" s="280">
        <v>4001599.56</v>
      </c>
      <c r="Q19" s="280">
        <v>3870129.56</v>
      </c>
      <c r="R19" s="279"/>
      <c r="S19" s="281">
        <f t="shared" si="3"/>
        <v>44190748.360000007</v>
      </c>
      <c r="T19" s="282">
        <v>3998100</v>
      </c>
      <c r="U19" s="283">
        <v>200000</v>
      </c>
      <c r="V19" s="282"/>
      <c r="W19" s="284">
        <f t="shared" si="0"/>
        <v>48388848.360000007</v>
      </c>
      <c r="X19" s="277" t="b">
        <f t="shared" si="1"/>
        <v>0</v>
      </c>
      <c r="Y19" s="284">
        <f t="shared" si="2"/>
        <v>0</v>
      </c>
      <c r="Z19" s="285">
        <f t="shared" si="4"/>
        <v>39893117.800000004</v>
      </c>
    </row>
    <row r="20" spans="1:26">
      <c r="A20" s="274">
        <v>15</v>
      </c>
      <c r="B20" s="275" t="s">
        <v>286</v>
      </c>
      <c r="C20" s="276" t="s">
        <v>38</v>
      </c>
      <c r="D20" s="276" t="s">
        <v>7</v>
      </c>
      <c r="E20" s="277">
        <f>COUNT(G20:R20)-COUNT(#REF!)</f>
        <v>11</v>
      </c>
      <c r="F20" s="276"/>
      <c r="G20" s="279">
        <v>4261630.5599999996</v>
      </c>
      <c r="H20" s="279">
        <v>3867220.56</v>
      </c>
      <c r="I20" s="279">
        <v>3962099.56</v>
      </c>
      <c r="J20" s="293">
        <v>3962099.56</v>
      </c>
      <c r="K20" s="279">
        <v>4093569.5599999996</v>
      </c>
      <c r="L20" s="279">
        <v>3830629.56</v>
      </c>
      <c r="M20" s="293">
        <v>4096570.16</v>
      </c>
      <c r="N20" s="293">
        <v>3965100.16</v>
      </c>
      <c r="O20" s="293">
        <v>3833630.16</v>
      </c>
      <c r="P20" s="293">
        <v>3965100.16</v>
      </c>
      <c r="Q20" s="293">
        <v>3833630.16</v>
      </c>
      <c r="R20" s="293"/>
      <c r="S20" s="281">
        <f t="shared" si="3"/>
        <v>43671280.159999996</v>
      </c>
      <c r="T20" s="282">
        <v>3962100</v>
      </c>
      <c r="U20" s="294">
        <v>200000</v>
      </c>
      <c r="V20" s="282"/>
      <c r="W20" s="284">
        <f t="shared" si="0"/>
        <v>47833380.159999996</v>
      </c>
      <c r="X20" s="277" t="b">
        <f t="shared" si="1"/>
        <v>0</v>
      </c>
      <c r="Y20" s="284">
        <f t="shared" si="2"/>
        <v>0</v>
      </c>
      <c r="Z20" s="285">
        <f t="shared" si="4"/>
        <v>39409649.599999994</v>
      </c>
    </row>
    <row r="21" spans="1:26">
      <c r="A21" s="274">
        <v>16</v>
      </c>
      <c r="B21" s="275" t="s">
        <v>289</v>
      </c>
      <c r="C21" s="276" t="s">
        <v>38</v>
      </c>
      <c r="D21" s="276" t="s">
        <v>7</v>
      </c>
      <c r="E21" s="277">
        <f>COUNT(G21:R21)-COUNT(#REF!)</f>
        <v>11</v>
      </c>
      <c r="F21" s="276"/>
      <c r="G21" s="279">
        <v>4261630.5599999996</v>
      </c>
      <c r="H21" s="279">
        <v>3867220.56</v>
      </c>
      <c r="I21" s="279">
        <v>4093569.5599999996</v>
      </c>
      <c r="J21" s="279">
        <v>3992099.56</v>
      </c>
      <c r="K21" s="279">
        <v>4124569.5599999996</v>
      </c>
      <c r="L21" s="278">
        <v>3992099.56</v>
      </c>
      <c r="M21" s="279">
        <v>4127570.16</v>
      </c>
      <c r="N21" s="279">
        <v>4127570.16</v>
      </c>
      <c r="O21" s="279">
        <v>3995100.16</v>
      </c>
      <c r="P21" s="279">
        <v>4127570.16</v>
      </c>
      <c r="Q21" s="279">
        <v>3995100.16</v>
      </c>
      <c r="R21" s="279"/>
      <c r="S21" s="281">
        <f>SUM(G21:R21)</f>
        <v>44704100.159999996</v>
      </c>
      <c r="T21" s="282">
        <v>3962100</v>
      </c>
      <c r="U21" s="289">
        <v>900000</v>
      </c>
      <c r="V21" s="282"/>
      <c r="W21" s="284">
        <f>S21+T21+U21+V21</f>
        <v>49566200.159999996</v>
      </c>
      <c r="X21" s="277" t="b">
        <f>IF(D21="TK",54000000,IF(D21="K0",58500000,IF(D21="K1",63000000,IF(D21="K2",67500000,IF(D21="K3",72000000)))))</f>
        <v>0</v>
      </c>
      <c r="Y21" s="284">
        <f t="shared" si="2"/>
        <v>0</v>
      </c>
      <c r="Z21" s="285">
        <f t="shared" si="4"/>
        <v>40442469.599999994</v>
      </c>
    </row>
    <row r="22" spans="1:26">
      <c r="A22" s="274">
        <v>17</v>
      </c>
      <c r="B22" s="295" t="s">
        <v>292</v>
      </c>
      <c r="C22" s="276" t="s">
        <v>38</v>
      </c>
      <c r="D22" s="276" t="s">
        <v>7</v>
      </c>
      <c r="E22" s="277">
        <f>COUNT(G22:R22)-COUNT(#REF!)</f>
        <v>11</v>
      </c>
      <c r="F22" s="296"/>
      <c r="G22" s="279">
        <v>4261630.5599999996</v>
      </c>
      <c r="H22" s="279">
        <v>3867220.56</v>
      </c>
      <c r="I22" s="279">
        <v>4093569.5599999996</v>
      </c>
      <c r="J22" s="293">
        <v>3992099.56</v>
      </c>
      <c r="K22" s="279">
        <v>4124569.5599999996</v>
      </c>
      <c r="L22" s="279">
        <v>3992099.56</v>
      </c>
      <c r="M22" s="279">
        <v>4127570.16</v>
      </c>
      <c r="N22" s="279">
        <v>4127570.16</v>
      </c>
      <c r="O22" s="279">
        <v>3995100.16</v>
      </c>
      <c r="P22" s="279">
        <v>4127570.16</v>
      </c>
      <c r="Q22" s="279">
        <v>3995100.16</v>
      </c>
      <c r="R22" s="279"/>
      <c r="S22" s="281">
        <f t="shared" si="3"/>
        <v>44704100.159999996</v>
      </c>
      <c r="T22" s="282">
        <v>3962100</v>
      </c>
      <c r="U22" s="289">
        <v>200000</v>
      </c>
      <c r="V22" s="282"/>
      <c r="W22" s="284">
        <f t="shared" si="0"/>
        <v>48866200.159999996</v>
      </c>
      <c r="X22" s="277" t="b">
        <f t="shared" si="1"/>
        <v>0</v>
      </c>
      <c r="Y22" s="284">
        <f t="shared" si="2"/>
        <v>0</v>
      </c>
      <c r="Z22" s="285">
        <f t="shared" si="4"/>
        <v>40442469.599999994</v>
      </c>
    </row>
    <row r="23" spans="1:26">
      <c r="A23" s="274">
        <v>18</v>
      </c>
      <c r="B23" s="297" t="s">
        <v>295</v>
      </c>
      <c r="C23" s="298" t="s">
        <v>39</v>
      </c>
      <c r="D23" s="276" t="s">
        <v>17</v>
      </c>
      <c r="E23" s="277">
        <f>COUNT(G23:R23)-COUNT(#REF!)</f>
        <v>11</v>
      </c>
      <c r="F23" s="296"/>
      <c r="G23" s="279">
        <v>3888279.56</v>
      </c>
      <c r="H23" s="279">
        <v>3625339.56</v>
      </c>
      <c r="I23" s="279">
        <v>4024099.56</v>
      </c>
      <c r="J23" s="279">
        <v>3758259.56</v>
      </c>
      <c r="K23" s="279">
        <v>3891179.56</v>
      </c>
      <c r="L23" s="279">
        <v>3891179.56</v>
      </c>
      <c r="M23" s="279">
        <v>4024099.96</v>
      </c>
      <c r="N23" s="279">
        <v>4024099.96</v>
      </c>
      <c r="O23" s="279">
        <v>3758259.96</v>
      </c>
      <c r="P23" s="279">
        <v>3891179.96</v>
      </c>
      <c r="Q23" s="279">
        <v>3761759.56</v>
      </c>
      <c r="R23" s="279"/>
      <c r="S23" s="281">
        <f t="shared" si="3"/>
        <v>42537736.760000005</v>
      </c>
      <c r="T23" s="282">
        <v>4024100</v>
      </c>
      <c r="U23" s="282">
        <v>200000</v>
      </c>
      <c r="V23" s="282"/>
      <c r="W23" s="299">
        <f t="shared" si="0"/>
        <v>46761836.760000005</v>
      </c>
      <c r="X23" s="277" t="b">
        <f t="shared" si="1"/>
        <v>0</v>
      </c>
      <c r="Y23" s="284">
        <f t="shared" si="2"/>
        <v>0</v>
      </c>
      <c r="Z23" s="285">
        <f t="shared" si="4"/>
        <v>38649457.200000003</v>
      </c>
    </row>
    <row r="24" spans="1:26">
      <c r="A24" s="274">
        <v>19</v>
      </c>
      <c r="B24" s="275" t="s">
        <v>298</v>
      </c>
      <c r="C24" s="276" t="s">
        <v>38</v>
      </c>
      <c r="D24" s="276" t="s">
        <v>7</v>
      </c>
      <c r="E24" s="277">
        <f>COUNT(G24:R24)-COUNT(#REF!)</f>
        <v>11</v>
      </c>
      <c r="F24" s="296"/>
      <c r="G24" s="279">
        <v>3991099.56</v>
      </c>
      <c r="H24" s="279">
        <v>3728159.56</v>
      </c>
      <c r="I24" s="279">
        <v>4122569.5599999996</v>
      </c>
      <c r="J24" s="279">
        <v>3991099.56</v>
      </c>
      <c r="K24" s="279">
        <v>3991099.56</v>
      </c>
      <c r="L24" s="279">
        <v>3859629.56</v>
      </c>
      <c r="M24" s="279">
        <v>3994600.36</v>
      </c>
      <c r="N24" s="279">
        <v>4126070.3600000003</v>
      </c>
      <c r="O24" s="279">
        <v>3863130.36</v>
      </c>
      <c r="P24" s="279">
        <v>3863130.36</v>
      </c>
      <c r="Q24" s="279">
        <v>3863130.36</v>
      </c>
      <c r="R24" s="300"/>
      <c r="S24" s="281">
        <f t="shared" si="3"/>
        <v>43393719.159999996</v>
      </c>
      <c r="T24" s="282">
        <v>3991100</v>
      </c>
      <c r="U24" s="282">
        <v>200000</v>
      </c>
      <c r="V24" s="282"/>
      <c r="W24" s="299">
        <f t="shared" si="0"/>
        <v>47584819.159999996</v>
      </c>
      <c r="X24" s="277" t="b">
        <f t="shared" si="1"/>
        <v>0</v>
      </c>
      <c r="Y24" s="284">
        <f t="shared" si="2"/>
        <v>0</v>
      </c>
      <c r="Z24" s="285">
        <f t="shared" si="4"/>
        <v>39402619.599999994</v>
      </c>
    </row>
    <row r="25" spans="1:26">
      <c r="A25" s="274">
        <v>20</v>
      </c>
      <c r="B25" s="275" t="s">
        <v>301</v>
      </c>
      <c r="C25" s="276" t="s">
        <v>39</v>
      </c>
      <c r="D25" s="276" t="s">
        <v>11</v>
      </c>
      <c r="E25" s="277">
        <f>COUNT(G25:R25)-COUNT(#REF!)</f>
        <v>11</v>
      </c>
      <c r="F25" s="296"/>
      <c r="G25" s="279">
        <v>4089099.5599999996</v>
      </c>
      <c r="H25" s="279">
        <v>3419749.56</v>
      </c>
      <c r="I25" s="279">
        <v>3958829.56</v>
      </c>
      <c r="J25" s="279">
        <v>3824059.56</v>
      </c>
      <c r="K25" s="279">
        <v>3958829.56</v>
      </c>
      <c r="L25" s="278">
        <v>3824059.56</v>
      </c>
      <c r="M25" s="279">
        <v>3958830.36</v>
      </c>
      <c r="N25" s="279">
        <v>3150210.36</v>
      </c>
      <c r="O25" s="279">
        <v>3554520.36</v>
      </c>
      <c r="P25" s="279">
        <v>3824060.36</v>
      </c>
      <c r="Q25" s="280">
        <v>3689290.36</v>
      </c>
      <c r="R25" s="279"/>
      <c r="S25" s="281">
        <f>SUM(G25:R25)</f>
        <v>41251539.159999996</v>
      </c>
      <c r="T25" s="282">
        <v>4093600</v>
      </c>
      <c r="U25" s="283">
        <v>200000</v>
      </c>
      <c r="V25" s="282"/>
      <c r="W25" s="284">
        <f>S25+T25+U25+V25</f>
        <v>45545139.159999996</v>
      </c>
      <c r="X25" s="277" t="b">
        <f>IF(D25="TK",54000000,IF(D25="K0",58500000,IF(D25="K1",63000000,IF(D25="K2",67500000,IF(D25="K3",72000000)))))</f>
        <v>0</v>
      </c>
      <c r="Y25" s="284">
        <f>IF(W25&lt;=X25,0,IF(W25&gt;X25,W25-X25))</f>
        <v>0</v>
      </c>
      <c r="Z25" s="285">
        <f t="shared" si="4"/>
        <v>37162439.599999994</v>
      </c>
    </row>
    <row r="26" spans="1:26">
      <c r="A26" s="274">
        <v>21</v>
      </c>
      <c r="B26" s="275" t="s">
        <v>304</v>
      </c>
      <c r="C26" s="276" t="s">
        <v>39</v>
      </c>
      <c r="D26" s="276" t="s">
        <v>11</v>
      </c>
      <c r="E26" s="277">
        <f>COUNT(G26:R26)-COUNT(#REF!)</f>
        <v>11</v>
      </c>
      <c r="F26" s="296"/>
      <c r="G26" s="279">
        <v>4197219.5599999996</v>
      </c>
      <c r="H26" s="279">
        <v>3797559.56</v>
      </c>
      <c r="I26" s="279">
        <v>4067099.5599999996</v>
      </c>
      <c r="J26" s="279">
        <v>3797559.56</v>
      </c>
      <c r="K26" s="279">
        <v>3932329.56</v>
      </c>
      <c r="L26" s="279">
        <v>4013758.56</v>
      </c>
      <c r="M26" s="279">
        <v>3935329.76</v>
      </c>
      <c r="N26" s="279">
        <v>3935329.76</v>
      </c>
      <c r="O26" s="279">
        <v>3800559.76</v>
      </c>
      <c r="P26" s="279">
        <v>3935329.76</v>
      </c>
      <c r="Q26" s="301">
        <v>3800559.76</v>
      </c>
      <c r="R26" s="301"/>
      <c r="S26" s="281">
        <f t="shared" si="3"/>
        <v>43212635.159999989</v>
      </c>
      <c r="T26" s="282">
        <v>4067100</v>
      </c>
      <c r="U26" s="294">
        <v>200000</v>
      </c>
      <c r="V26" s="282"/>
      <c r="W26" s="299">
        <f t="shared" si="0"/>
        <v>47479735.159999989</v>
      </c>
      <c r="X26" s="277" t="b">
        <f t="shared" si="1"/>
        <v>0</v>
      </c>
      <c r="Y26" s="284">
        <f t="shared" si="2"/>
        <v>0</v>
      </c>
      <c r="Z26" s="285">
        <f t="shared" si="4"/>
        <v>39015415.599999987</v>
      </c>
    </row>
    <row r="27" spans="1:26">
      <c r="A27" s="274">
        <v>22</v>
      </c>
      <c r="B27" s="275" t="s">
        <v>307</v>
      </c>
      <c r="C27" s="276" t="s">
        <v>38</v>
      </c>
      <c r="D27" s="276" t="s">
        <v>7</v>
      </c>
      <c r="E27" s="277">
        <f>COUNT(G27:R27)-COUNT(#REF!)</f>
        <v>11</v>
      </c>
      <c r="F27" s="276"/>
      <c r="G27" s="279">
        <v>4093569.5599999996</v>
      </c>
      <c r="H27" s="279">
        <v>3567689.56</v>
      </c>
      <c r="I27" s="279">
        <v>4093569.5599999996</v>
      </c>
      <c r="J27" s="279">
        <v>3962099.56</v>
      </c>
      <c r="K27" s="279">
        <v>4093569.5599999996</v>
      </c>
      <c r="L27" s="279">
        <v>3962099.56</v>
      </c>
      <c r="M27" s="279">
        <v>4096570.16</v>
      </c>
      <c r="N27" s="279">
        <v>4096570.16</v>
      </c>
      <c r="O27" s="279">
        <v>3833630.16</v>
      </c>
      <c r="P27" s="279">
        <v>4096570.16</v>
      </c>
      <c r="Q27" s="279">
        <v>3965100.16</v>
      </c>
      <c r="R27" s="279"/>
      <c r="S27" s="281">
        <f t="shared" si="3"/>
        <v>43861038.159999996</v>
      </c>
      <c r="T27" s="282">
        <v>3962100</v>
      </c>
      <c r="U27" s="282">
        <v>200000</v>
      </c>
      <c r="V27" s="282"/>
      <c r="W27" s="299">
        <f t="shared" si="0"/>
        <v>48023138.159999996</v>
      </c>
      <c r="X27" s="277" t="b">
        <f t="shared" si="1"/>
        <v>0</v>
      </c>
      <c r="Y27" s="284">
        <f t="shared" si="2"/>
        <v>0</v>
      </c>
      <c r="Z27" s="285">
        <f t="shared" si="4"/>
        <v>39767468.599999994</v>
      </c>
    </row>
    <row r="28" spans="1:26">
      <c r="A28" s="274">
        <v>23</v>
      </c>
      <c r="B28" s="275" t="s">
        <v>397</v>
      </c>
      <c r="C28" s="291" t="s">
        <v>39</v>
      </c>
      <c r="D28" s="276" t="s">
        <v>7</v>
      </c>
      <c r="E28" s="277">
        <f>COUNT(G28:R28)-COUNT(#REF!)</f>
        <v>11</v>
      </c>
      <c r="F28" s="276"/>
      <c r="G28" s="293">
        <v>3683659.56</v>
      </c>
      <c r="H28" s="293">
        <v>3157779.56</v>
      </c>
      <c r="I28" s="293">
        <v>3683659.56</v>
      </c>
      <c r="J28" s="279">
        <v>3591339.56</v>
      </c>
      <c r="K28" s="293">
        <v>3724259.56</v>
      </c>
      <c r="L28" s="293">
        <v>3669768.56</v>
      </c>
      <c r="M28" s="293">
        <v>3724259.56</v>
      </c>
      <c r="N28" s="293">
        <v>3726759.56</v>
      </c>
      <c r="O28" s="293">
        <v>3593839.56</v>
      </c>
      <c r="P28" s="293">
        <v>3859679.56</v>
      </c>
      <c r="Q28" s="279">
        <v>3593839.56</v>
      </c>
      <c r="R28" s="279"/>
      <c r="S28" s="302">
        <f t="shared" si="3"/>
        <v>40008844.159999996</v>
      </c>
      <c r="T28" s="282">
        <v>3946600</v>
      </c>
      <c r="U28" s="489">
        <v>200000</v>
      </c>
      <c r="V28" s="282"/>
      <c r="W28" s="299">
        <f t="shared" si="0"/>
        <v>44155444.159999996</v>
      </c>
      <c r="X28" s="303" t="b">
        <f t="shared" si="1"/>
        <v>0</v>
      </c>
      <c r="Y28" s="299">
        <f t="shared" si="2"/>
        <v>0</v>
      </c>
      <c r="Z28" s="285">
        <f t="shared" si="4"/>
        <v>36325184.599999994</v>
      </c>
    </row>
    <row r="29" spans="1:26">
      <c r="A29" s="274">
        <v>24</v>
      </c>
      <c r="B29" s="275" t="s">
        <v>400</v>
      </c>
      <c r="C29" s="276" t="s">
        <v>39</v>
      </c>
      <c r="D29" s="276" t="s">
        <v>17</v>
      </c>
      <c r="E29" s="277">
        <f>COUNT(G29:R29)-COUNT(#REF!)</f>
        <v>11</v>
      </c>
      <c r="F29" s="296"/>
      <c r="G29" s="279">
        <v>4008599.56</v>
      </c>
      <c r="H29" s="279">
        <v>3479919.56</v>
      </c>
      <c r="I29" s="279">
        <v>3878679.56</v>
      </c>
      <c r="J29" s="279">
        <v>3612839.56</v>
      </c>
      <c r="K29" s="279">
        <v>3881679.56</v>
      </c>
      <c r="L29" s="279">
        <v>3881679.56</v>
      </c>
      <c r="M29" s="279">
        <v>3960108.76</v>
      </c>
      <c r="N29" s="279">
        <v>3916820.76</v>
      </c>
      <c r="O29" s="279">
        <v>3881679.76</v>
      </c>
      <c r="P29" s="279">
        <v>3615839.76</v>
      </c>
      <c r="Q29" s="279">
        <v>3615839.76</v>
      </c>
      <c r="R29" s="279"/>
      <c r="S29" s="281">
        <f>SUM(G29:R29)</f>
        <v>41733686.159999989</v>
      </c>
      <c r="T29" s="282">
        <v>4011600</v>
      </c>
      <c r="U29" s="282">
        <v>200000</v>
      </c>
      <c r="V29" s="282"/>
      <c r="W29" s="299">
        <f>S29+T29+U29+V29</f>
        <v>45945286.159999989</v>
      </c>
      <c r="X29" s="277" t="b">
        <f>IF(D29="TK",54000000,IF(D29="K0",58500000,IF(D29="K1",63000000,IF(D29="K2",67500000,IF(D29="K3",72000000)))))</f>
        <v>0</v>
      </c>
      <c r="Y29" s="284">
        <f>IF(W29&lt;=X29,0,IF(W29&gt;X29,W29-X29))</f>
        <v>0</v>
      </c>
      <c r="Z29" s="285">
        <f>S29-G29</f>
        <v>37725086.599999987</v>
      </c>
    </row>
    <row r="30" spans="1:26">
      <c r="A30" s="274">
        <v>25</v>
      </c>
      <c r="B30" s="275" t="s">
        <v>408</v>
      </c>
      <c r="C30" s="276" t="s">
        <v>39</v>
      </c>
      <c r="D30" s="276" t="s">
        <v>11</v>
      </c>
      <c r="E30" s="277">
        <f>COUNT(G30:R30)-COUNT(#REF!)</f>
        <v>11</v>
      </c>
      <c r="F30" s="296"/>
      <c r="G30" s="280">
        <v>3940479.56</v>
      </c>
      <c r="H30" s="280">
        <v>3675289.56</v>
      </c>
      <c r="I30" s="280">
        <v>3810059.56</v>
      </c>
      <c r="J30" s="280">
        <v>3810059.56</v>
      </c>
      <c r="K30" s="280">
        <v>3675289.56</v>
      </c>
      <c r="L30" s="280">
        <v>3810059.56</v>
      </c>
      <c r="M30" s="280">
        <v>3944829.96</v>
      </c>
      <c r="N30" s="279">
        <v>3944829.96</v>
      </c>
      <c r="O30" s="279">
        <v>3810059.96</v>
      </c>
      <c r="P30" s="279">
        <v>3944829.96</v>
      </c>
      <c r="Q30" s="279">
        <v>3544019.56</v>
      </c>
      <c r="R30" s="279"/>
      <c r="S30" s="281">
        <f>SUM(G30:R30)</f>
        <v>41909806.760000005</v>
      </c>
      <c r="T30" s="279">
        <v>4079600</v>
      </c>
      <c r="U30" s="279">
        <v>200000</v>
      </c>
      <c r="V30" s="279"/>
      <c r="W30" s="299">
        <f>S30+T30+U30+V30</f>
        <v>46189406.760000005</v>
      </c>
      <c r="X30" s="277" t="b">
        <f>IF(D30="TK",54000000,IF(D30="K0",58500000,IF(D30="K1",63000000,IF(D30="K2",67500000,IF(D30="K3",72000000)))))</f>
        <v>0</v>
      </c>
      <c r="Y30" s="284">
        <f>IF(W30&lt;=X30,0,IF(W30&gt;X30,W30-X30))</f>
        <v>0</v>
      </c>
      <c r="Z30" s="285">
        <f>S30-G30</f>
        <v>37969327.200000003</v>
      </c>
    </row>
    <row r="31" spans="1:26">
      <c r="A31" s="274">
        <v>26</v>
      </c>
      <c r="B31" s="310" t="s">
        <v>412</v>
      </c>
      <c r="C31" s="310" t="s">
        <v>39</v>
      </c>
      <c r="D31" s="310" t="s">
        <v>11</v>
      </c>
      <c r="E31" s="277">
        <f>COUNT(G31:R31)-COUNT(#REF!)</f>
        <v>11</v>
      </c>
      <c r="F31" s="310"/>
      <c r="G31" s="490">
        <v>4085599.5599999996</v>
      </c>
      <c r="H31" s="490">
        <v>3685789.56</v>
      </c>
      <c r="I31" s="486">
        <v>4228369.5599999996</v>
      </c>
      <c r="J31" s="486">
        <v>3820559.56</v>
      </c>
      <c r="K31" s="486">
        <v>3955329.56</v>
      </c>
      <c r="L31" s="486">
        <v>3820559.56</v>
      </c>
      <c r="M31" s="486">
        <v>3955329.76</v>
      </c>
      <c r="N31" s="486">
        <v>3955329.76</v>
      </c>
      <c r="O31" s="486">
        <v>3820559.76</v>
      </c>
      <c r="P31" s="487">
        <v>3955329.76</v>
      </c>
      <c r="Q31" s="487">
        <v>3824060.36</v>
      </c>
      <c r="R31" s="488"/>
      <c r="S31" s="281">
        <f t="shared" ref="S31:S32" si="5">SUM(G31:R31)</f>
        <v>43106816.75999999</v>
      </c>
      <c r="T31" s="490">
        <v>4093600</v>
      </c>
      <c r="U31" s="490">
        <v>200000</v>
      </c>
      <c r="V31" s="488"/>
      <c r="W31" s="299">
        <f t="shared" ref="W31:W32" si="6">S31+T31+U31+V31</f>
        <v>47400416.75999999</v>
      </c>
      <c r="X31" s="310" t="b">
        <f>IF(D31="TK",54000000,IF(D31="K0",58500000,IF(D31="K1",63000000,IF(D31="K2",67500000,IF(D31="K3",72000000)))))</f>
        <v>0</v>
      </c>
      <c r="Y31" s="310"/>
    </row>
    <row r="32" spans="1:26">
      <c r="A32" s="274">
        <v>27</v>
      </c>
      <c r="B32" s="310" t="s">
        <v>519</v>
      </c>
      <c r="C32" s="310" t="s">
        <v>39</v>
      </c>
      <c r="D32" s="310" t="s">
        <v>9</v>
      </c>
      <c r="E32" s="277">
        <f>COUNT(G32:R32)-COUNT(#REF!)</f>
        <v>11</v>
      </c>
      <c r="F32" s="310"/>
      <c r="G32" s="490">
        <v>4163319.5599999996</v>
      </c>
      <c r="H32" s="490">
        <v>3632489.56</v>
      </c>
      <c r="I32" s="486">
        <v>4034099.56</v>
      </c>
      <c r="J32" s="486">
        <v>3766359.56</v>
      </c>
      <c r="K32" s="486">
        <v>3766359.56</v>
      </c>
      <c r="L32" s="486">
        <v>3769359.56</v>
      </c>
      <c r="M32" s="486">
        <v>3100010.16</v>
      </c>
      <c r="N32" s="486">
        <v>3100010.16</v>
      </c>
      <c r="O32" s="486">
        <v>3501620.16</v>
      </c>
      <c r="P32" s="487">
        <v>3769360.16</v>
      </c>
      <c r="Q32" s="487">
        <v>3501620.16</v>
      </c>
      <c r="R32" s="488"/>
      <c r="S32" s="281">
        <f t="shared" si="5"/>
        <v>40104608.159999996</v>
      </c>
      <c r="T32" s="490">
        <v>4034100</v>
      </c>
      <c r="U32" s="490">
        <v>600000</v>
      </c>
      <c r="V32" s="488"/>
      <c r="W32" s="299">
        <f t="shared" si="6"/>
        <v>44738708.159999996</v>
      </c>
      <c r="X32" s="310" t="b">
        <f>IF(D32="TK",54000000,IF(D32="K0",58500000,IF(D32="K1",63000000,IF(D32="K2",67500000,IF(D32="K3",72000000)))))</f>
        <v>0</v>
      </c>
      <c r="Y32" s="310"/>
    </row>
    <row r="33" spans="1:26">
      <c r="A33" s="274">
        <v>28</v>
      </c>
      <c r="B33" s="290" t="s">
        <v>440</v>
      </c>
      <c r="C33" s="291" t="s">
        <v>39</v>
      </c>
      <c r="D33" s="291" t="s">
        <v>7</v>
      </c>
      <c r="E33" s="306">
        <f>COUNT(G33:R33)-COUNT(#REF!)</f>
        <v>11</v>
      </c>
      <c r="F33" s="383"/>
      <c r="G33" s="384">
        <v>4075569.5599999996</v>
      </c>
      <c r="H33" s="384">
        <v>3681159.56</v>
      </c>
      <c r="I33" s="384">
        <v>3944099.56</v>
      </c>
      <c r="J33" s="384">
        <v>3812629.56</v>
      </c>
      <c r="K33" s="384">
        <v>4075569.5599999996</v>
      </c>
      <c r="L33" s="384">
        <v>3812629.56</v>
      </c>
      <c r="M33" s="384">
        <v>3812629.56</v>
      </c>
      <c r="N33" s="384">
        <v>3815129.56</v>
      </c>
      <c r="O33" s="384">
        <v>3420719.56</v>
      </c>
      <c r="P33" s="309">
        <v>3946599.56</v>
      </c>
      <c r="Q33" s="309">
        <v>3552189.56</v>
      </c>
      <c r="R33" s="301"/>
      <c r="S33" s="305">
        <f t="shared" si="3"/>
        <v>41948925.160000004</v>
      </c>
      <c r="T33" s="308">
        <v>2300725</v>
      </c>
      <c r="U33" s="385">
        <v>66667</v>
      </c>
      <c r="V33" s="309"/>
      <c r="W33" s="284">
        <f t="shared" si="0"/>
        <v>44316317.160000004</v>
      </c>
      <c r="X33" s="306" t="b">
        <f t="shared" si="1"/>
        <v>0</v>
      </c>
      <c r="Y33" s="284">
        <f t="shared" si="2"/>
        <v>0</v>
      </c>
      <c r="Z33" s="285">
        <f t="shared" si="4"/>
        <v>37873355.600000001</v>
      </c>
    </row>
    <row r="34" spans="1:26">
      <c r="A34" s="274">
        <v>29</v>
      </c>
      <c r="B34" s="275" t="s">
        <v>523</v>
      </c>
      <c r="C34" s="276" t="s">
        <v>39</v>
      </c>
      <c r="D34" s="291" t="s">
        <v>11</v>
      </c>
      <c r="E34" s="277">
        <f>COUNT(G34:R34)-COUNT(#REF!)</f>
        <v>11</v>
      </c>
      <c r="F34" s="296"/>
      <c r="G34" s="280">
        <v>4089099.5599999996</v>
      </c>
      <c r="H34" s="280">
        <v>3554519.56</v>
      </c>
      <c r="I34" s="280">
        <v>4093599.5599999996</v>
      </c>
      <c r="J34" s="280">
        <v>3958829.56</v>
      </c>
      <c r="K34" s="280">
        <v>3958829.56</v>
      </c>
      <c r="L34" s="280">
        <v>3824059.56</v>
      </c>
      <c r="M34" s="280">
        <v>3958830.36</v>
      </c>
      <c r="N34" s="280">
        <v>4093600.3600000003</v>
      </c>
      <c r="O34" s="280">
        <v>3958830.36</v>
      </c>
      <c r="P34" s="279">
        <v>4093600.3600000003</v>
      </c>
      <c r="Q34" s="279">
        <v>3827559.96</v>
      </c>
      <c r="R34" s="300"/>
      <c r="S34" s="281">
        <f t="shared" si="3"/>
        <v>43411358.759999998</v>
      </c>
      <c r="T34" s="279">
        <v>4093600</v>
      </c>
      <c r="U34" s="279">
        <v>200000</v>
      </c>
      <c r="V34" s="279"/>
      <c r="W34" s="299">
        <f t="shared" si="0"/>
        <v>47704958.759999998</v>
      </c>
      <c r="X34" s="277" t="b">
        <f t="shared" si="1"/>
        <v>0</v>
      </c>
      <c r="Y34" s="284">
        <f t="shared" si="2"/>
        <v>0</v>
      </c>
      <c r="Z34" s="285">
        <f t="shared" si="4"/>
        <v>39322259.199999996</v>
      </c>
    </row>
    <row r="35" spans="1:26">
      <c r="A35" s="274">
        <v>30</v>
      </c>
      <c r="B35" s="275" t="s">
        <v>230</v>
      </c>
      <c r="C35" s="276" t="s">
        <v>39</v>
      </c>
      <c r="D35" s="276" t="s">
        <v>9</v>
      </c>
      <c r="E35" s="303">
        <f>COUNT(G35:R35)-COUNT(#REF!)</f>
        <v>11</v>
      </c>
      <c r="F35" s="296"/>
      <c r="G35" s="280">
        <v>4175319.5599999996</v>
      </c>
      <c r="H35" s="280">
        <v>3778359.56</v>
      </c>
      <c r="I35" s="280">
        <v>4179969.5599999996</v>
      </c>
      <c r="J35" s="280">
        <v>4046099.5599999996</v>
      </c>
      <c r="K35" s="280">
        <v>4258398.5599999996</v>
      </c>
      <c r="L35" s="280">
        <v>4046099.5599999996</v>
      </c>
      <c r="M35" s="280">
        <v>4179969.5599999996</v>
      </c>
      <c r="N35" s="280">
        <v>4046099.5599999996</v>
      </c>
      <c r="O35" s="280">
        <v>4046099.5599999996</v>
      </c>
      <c r="P35" s="280">
        <v>4046099.5599999996</v>
      </c>
      <c r="Q35" s="279">
        <v>4049100.3600000003</v>
      </c>
      <c r="R35" s="300"/>
      <c r="S35" s="302">
        <f t="shared" si="3"/>
        <v>44851614.959999993</v>
      </c>
      <c r="T35" s="279">
        <v>4046100</v>
      </c>
      <c r="U35" s="279">
        <v>200000</v>
      </c>
      <c r="V35" s="279"/>
      <c r="W35" s="304">
        <f t="shared" si="0"/>
        <v>49097714.959999993</v>
      </c>
      <c r="X35" s="303" t="b">
        <f t="shared" si="1"/>
        <v>0</v>
      </c>
      <c r="Y35" s="299">
        <f t="shared" si="2"/>
        <v>0</v>
      </c>
      <c r="Z35" s="285">
        <f t="shared" si="4"/>
        <v>40676295.399999991</v>
      </c>
    </row>
    <row r="36" spans="1:26">
      <c r="A36" s="274">
        <v>31</v>
      </c>
      <c r="B36" s="275" t="s">
        <v>524</v>
      </c>
      <c r="C36" s="276" t="s">
        <v>39</v>
      </c>
      <c r="D36" s="276" t="s">
        <v>17</v>
      </c>
      <c r="E36" s="303">
        <f>COUNT(G36:R36)-COUNT(#REF!)</f>
        <v>11</v>
      </c>
      <c r="F36" s="296"/>
      <c r="G36" s="280">
        <v>4025099.56</v>
      </c>
      <c r="H36" s="280">
        <v>3763159.56</v>
      </c>
      <c r="I36" s="280">
        <v>4028099.56</v>
      </c>
      <c r="J36" s="280">
        <v>3895629.56</v>
      </c>
      <c r="K36" s="280">
        <v>4160569.5599999996</v>
      </c>
      <c r="L36" s="280">
        <v>4028099.56</v>
      </c>
      <c r="M36" s="280">
        <v>4160569.96</v>
      </c>
      <c r="N36" s="280">
        <v>4160569.96</v>
      </c>
      <c r="O36" s="280">
        <v>4028099.96</v>
      </c>
      <c r="P36" s="280">
        <v>4031599.56</v>
      </c>
      <c r="Q36" s="279">
        <v>4031599.56</v>
      </c>
      <c r="R36" s="300"/>
      <c r="S36" s="302">
        <f t="shared" si="3"/>
        <v>44313096.360000007</v>
      </c>
      <c r="T36" s="279">
        <v>4028100</v>
      </c>
      <c r="U36" s="279">
        <v>200000</v>
      </c>
      <c r="V36" s="279"/>
      <c r="W36" s="304">
        <f t="shared" si="0"/>
        <v>48541196.360000007</v>
      </c>
      <c r="X36" s="303" t="b">
        <f t="shared" si="1"/>
        <v>0</v>
      </c>
      <c r="Y36" s="299">
        <f t="shared" si="2"/>
        <v>0</v>
      </c>
      <c r="Z36" s="285">
        <f t="shared" si="4"/>
        <v>40287996.800000004</v>
      </c>
    </row>
    <row r="37" spans="1:26">
      <c r="A37" s="274">
        <v>32</v>
      </c>
      <c r="B37" s="275" t="s">
        <v>322</v>
      </c>
      <c r="C37" s="276" t="s">
        <v>39</v>
      </c>
      <c r="D37" s="276" t="s">
        <v>11</v>
      </c>
      <c r="E37" s="277">
        <f>COUNT(G37:R37)-COUNT(#REF!)</f>
        <v>11</v>
      </c>
      <c r="F37" s="296"/>
      <c r="G37" s="280">
        <v>6810870.5599999996</v>
      </c>
      <c r="H37" s="280">
        <v>7061847.5599999996</v>
      </c>
      <c r="I37" s="280">
        <v>6037673.5599999996</v>
      </c>
      <c r="J37" s="280">
        <v>6814269.5599999996</v>
      </c>
      <c r="K37" s="280">
        <v>6756532.5599999996</v>
      </c>
      <c r="L37" s="280">
        <v>6204934.5599999996</v>
      </c>
      <c r="M37" s="280">
        <v>6282564.5599999996</v>
      </c>
      <c r="N37" s="280">
        <v>6631539.5599999996</v>
      </c>
      <c r="O37" s="280">
        <v>6144465.5599999996</v>
      </c>
      <c r="P37" s="280">
        <v>6647223.5599999996</v>
      </c>
      <c r="Q37" s="279">
        <v>6220209.5599999996</v>
      </c>
      <c r="R37" s="300"/>
      <c r="S37" s="281">
        <f t="shared" si="3"/>
        <v>71612131.160000011</v>
      </c>
      <c r="T37" s="279">
        <v>4132100</v>
      </c>
      <c r="U37" s="279">
        <v>900000</v>
      </c>
      <c r="V37" s="279"/>
      <c r="W37" s="299">
        <f t="shared" si="0"/>
        <v>76644231.160000011</v>
      </c>
      <c r="X37" s="277" t="b">
        <f t="shared" si="1"/>
        <v>0</v>
      </c>
      <c r="Y37" s="299">
        <f t="shared" si="2"/>
        <v>0</v>
      </c>
      <c r="Z37" s="285">
        <f>S37-G37</f>
        <v>64801260.600000009</v>
      </c>
    </row>
    <row r="38" spans="1:26">
      <c r="A38" s="274">
        <v>33</v>
      </c>
      <c r="B38" s="275" t="s">
        <v>395</v>
      </c>
      <c r="C38" s="276" t="s">
        <v>39</v>
      </c>
      <c r="D38" s="276" t="s">
        <v>11</v>
      </c>
      <c r="E38" s="277">
        <f>COUNT(G38:R38)-COUNT(#REF!)</f>
        <v>11</v>
      </c>
      <c r="F38" s="296"/>
      <c r="G38" s="280">
        <v>6786870.5599999996</v>
      </c>
      <c r="H38" s="280">
        <v>7034347.5599999996</v>
      </c>
      <c r="I38" s="280">
        <v>6010173.5599999996</v>
      </c>
      <c r="J38" s="280">
        <v>6610176.5599999996</v>
      </c>
      <c r="K38" s="280">
        <v>6793119.5599999996</v>
      </c>
      <c r="L38" s="280">
        <v>6030006.5599999996</v>
      </c>
      <c r="M38" s="280">
        <v>6381169.96</v>
      </c>
      <c r="N38" s="280">
        <v>6459025.96</v>
      </c>
      <c r="O38" s="280">
        <v>6058927.96</v>
      </c>
      <c r="P38" s="280">
        <v>6617722.96</v>
      </c>
      <c r="Q38" s="279">
        <v>6205084.96</v>
      </c>
      <c r="R38" s="300"/>
      <c r="S38" s="281">
        <f t="shared" si="3"/>
        <v>70986626.159999996</v>
      </c>
      <c r="T38" s="279">
        <v>4128600</v>
      </c>
      <c r="U38" s="279">
        <v>600000</v>
      </c>
      <c r="V38" s="279"/>
      <c r="W38" s="299">
        <f t="shared" si="0"/>
        <v>75715226.159999996</v>
      </c>
      <c r="X38" s="277" t="b">
        <f t="shared" si="1"/>
        <v>0</v>
      </c>
      <c r="Y38" s="299">
        <f t="shared" si="2"/>
        <v>0</v>
      </c>
    </row>
    <row r="39" spans="1:26">
      <c r="A39" s="274">
        <v>34</v>
      </c>
      <c r="B39" s="275" t="s">
        <v>508</v>
      </c>
      <c r="C39" s="276" t="s">
        <v>39</v>
      </c>
      <c r="D39" s="276" t="s">
        <v>17</v>
      </c>
      <c r="E39" s="277">
        <f>COUNT(G39:R39)-COUNT(#REF!)</f>
        <v>11</v>
      </c>
      <c r="F39" s="296"/>
      <c r="G39" s="280">
        <v>6579486.5599999996</v>
      </c>
      <c r="H39" s="280">
        <v>6852549.5599999996</v>
      </c>
      <c r="I39" s="280">
        <v>6016868.5599999996</v>
      </c>
      <c r="J39" s="280">
        <v>6883899.5599999996</v>
      </c>
      <c r="K39" s="280">
        <v>7051493.5599999996</v>
      </c>
      <c r="L39" s="280">
        <v>5704062.5599999996</v>
      </c>
      <c r="M39" s="280">
        <v>6436248.96</v>
      </c>
      <c r="N39" s="280">
        <v>6305510.96</v>
      </c>
      <c r="O39" s="280">
        <v>6401404.96</v>
      </c>
      <c r="P39" s="280">
        <v>5682431.5599999996</v>
      </c>
      <c r="Q39" s="279">
        <v>5642236.5599999996</v>
      </c>
      <c r="R39" s="300"/>
      <c r="S39" s="281">
        <f t="shared" si="3"/>
        <v>69556193.359999999</v>
      </c>
      <c r="T39" s="279">
        <v>4076600</v>
      </c>
      <c r="U39" s="279">
        <v>900000</v>
      </c>
      <c r="V39" s="279"/>
      <c r="W39" s="299">
        <f t="shared" si="0"/>
        <v>74532793.359999999</v>
      </c>
      <c r="X39" s="277" t="b">
        <f t="shared" si="1"/>
        <v>0</v>
      </c>
      <c r="Y39" s="299">
        <f t="shared" si="2"/>
        <v>0</v>
      </c>
    </row>
    <row r="40" spans="1:26">
      <c r="A40" s="274">
        <v>35</v>
      </c>
      <c r="B40" s="275" t="s">
        <v>509</v>
      </c>
      <c r="C40" s="276" t="s">
        <v>39</v>
      </c>
      <c r="D40" s="276" t="s">
        <v>11</v>
      </c>
      <c r="E40" s="277">
        <f>COUNT(G40:R40)-COUNT(#REF!)</f>
        <v>11</v>
      </c>
      <c r="F40" s="296"/>
      <c r="G40" s="280">
        <v>6484098.5599999996</v>
      </c>
      <c r="H40" s="280">
        <v>6962889.5599999996</v>
      </c>
      <c r="I40" s="280">
        <v>5931106.5599999996</v>
      </c>
      <c r="J40" s="280">
        <v>6832094.5599999996</v>
      </c>
      <c r="K40" s="280">
        <v>6937252.5599999996</v>
      </c>
      <c r="L40" s="280">
        <v>5401258.5599999996</v>
      </c>
      <c r="M40" s="280">
        <v>6504803.3600000003</v>
      </c>
      <c r="N40" s="280">
        <v>6342892.3600000003</v>
      </c>
      <c r="O40" s="280">
        <v>5729772.1600000001</v>
      </c>
      <c r="P40" s="280">
        <v>5628577.1600000001</v>
      </c>
      <c r="Q40" s="279">
        <v>5950054.1600000001</v>
      </c>
      <c r="R40" s="300"/>
      <c r="S40" s="281">
        <f t="shared" si="3"/>
        <v>68704799.559999987</v>
      </c>
      <c r="T40" s="279">
        <v>4061100</v>
      </c>
      <c r="U40" s="279">
        <v>900000</v>
      </c>
      <c r="V40" s="279"/>
      <c r="W40" s="299">
        <f t="shared" si="0"/>
        <v>73665899.559999987</v>
      </c>
      <c r="X40" s="277" t="b">
        <f t="shared" si="1"/>
        <v>0</v>
      </c>
      <c r="Y40" s="299">
        <f t="shared" si="2"/>
        <v>0</v>
      </c>
    </row>
    <row r="41" spans="1:26">
      <c r="A41" s="274">
        <v>36</v>
      </c>
      <c r="B41" s="275" t="s">
        <v>529</v>
      </c>
      <c r="C41" s="276" t="s">
        <v>39</v>
      </c>
      <c r="D41" s="276" t="s">
        <v>9</v>
      </c>
      <c r="E41" s="277">
        <f>COUNT(G41:R41)-COUNT(#REF!)</f>
        <v>11</v>
      </c>
      <c r="F41" s="296"/>
      <c r="G41" s="280">
        <v>4127599.5599999996</v>
      </c>
      <c r="H41" s="280">
        <v>3604619.56</v>
      </c>
      <c r="I41" s="280">
        <v>4280969.5599999996</v>
      </c>
      <c r="J41" s="280">
        <v>4163599.5599999996</v>
      </c>
      <c r="K41" s="280">
        <v>5403366.5599999996</v>
      </c>
      <c r="L41" s="280">
        <v>5100918.5599999996</v>
      </c>
      <c r="M41" s="280">
        <v>4225594.3600000003</v>
      </c>
      <c r="N41" s="280">
        <v>4782940.3600000003</v>
      </c>
      <c r="O41" s="280">
        <v>4771414.3600000003</v>
      </c>
      <c r="P41" s="280">
        <v>4322870.3600000003</v>
      </c>
      <c r="Q41" s="279">
        <v>4177600.3600000003</v>
      </c>
      <c r="R41" s="300"/>
      <c r="S41" s="281">
        <f t="shared" si="3"/>
        <v>48961493.159999996</v>
      </c>
      <c r="T41" s="279">
        <v>4066600</v>
      </c>
      <c r="U41" s="279">
        <v>200000</v>
      </c>
      <c r="V41" s="279"/>
      <c r="W41" s="299">
        <f t="shared" si="0"/>
        <v>53228093.159999996</v>
      </c>
      <c r="X41" s="277" t="b">
        <f t="shared" ref="X41:X103" si="7">IF(D41="TK",54000000,IF(D41="K0",58500000,IF(D41="K1",63000000,IF(D41="K2",67500000,IF(D41="K3",72000000)))))</f>
        <v>0</v>
      </c>
      <c r="Y41" s="299">
        <f t="shared" ref="Y41:Y103" si="8">IF(W41&lt;=X41,0,IF(W41&gt;X41,W41-X41))</f>
        <v>0</v>
      </c>
    </row>
    <row r="42" spans="1:26">
      <c r="A42" s="274">
        <v>37</v>
      </c>
      <c r="B42" s="275" t="s">
        <v>530</v>
      </c>
      <c r="C42" s="276" t="s">
        <v>38</v>
      </c>
      <c r="D42" s="276" t="s">
        <v>7</v>
      </c>
      <c r="E42" s="277">
        <f>COUNT(G42:R42)-COUNT(#REF!)</f>
        <v>11</v>
      </c>
      <c r="F42" s="296"/>
      <c r="G42" s="280">
        <v>4108569.5599999996</v>
      </c>
      <c r="H42" s="280">
        <v>3714159.56</v>
      </c>
      <c r="I42" s="280">
        <v>3977099.56</v>
      </c>
      <c r="J42" s="280">
        <v>3845629.56</v>
      </c>
      <c r="K42" s="280">
        <v>3977099.56</v>
      </c>
      <c r="L42" s="280">
        <v>3845629.56</v>
      </c>
      <c r="M42" s="280">
        <v>3977100.36</v>
      </c>
      <c r="N42" s="280">
        <v>3980599.96</v>
      </c>
      <c r="O42" s="280">
        <v>3980599.96</v>
      </c>
      <c r="P42" s="280">
        <v>4112069.96</v>
      </c>
      <c r="Q42" s="279">
        <v>3980599.96</v>
      </c>
      <c r="R42" s="300"/>
      <c r="S42" s="281">
        <f t="shared" si="3"/>
        <v>43499157.560000002</v>
      </c>
      <c r="T42" s="279">
        <v>3977100</v>
      </c>
      <c r="U42" s="279">
        <v>200000</v>
      </c>
      <c r="V42" s="279"/>
      <c r="W42" s="299">
        <f t="shared" si="0"/>
        <v>47676257.560000002</v>
      </c>
      <c r="X42" s="277" t="b">
        <f t="shared" si="7"/>
        <v>0</v>
      </c>
      <c r="Y42" s="299">
        <f t="shared" si="8"/>
        <v>0</v>
      </c>
    </row>
    <row r="43" spans="1:26">
      <c r="A43" s="274">
        <v>38</v>
      </c>
      <c r="B43" s="275" t="s">
        <v>531</v>
      </c>
      <c r="C43" s="276" t="s">
        <v>38</v>
      </c>
      <c r="D43" s="276" t="s">
        <v>7</v>
      </c>
      <c r="E43" s="277">
        <f>COUNT(G43:R43)-COUNT(#REF!)</f>
        <v>11</v>
      </c>
      <c r="F43" s="296"/>
      <c r="G43" s="280">
        <v>3971099.56</v>
      </c>
      <c r="H43" s="280">
        <v>3708159.56</v>
      </c>
      <c r="I43" s="280">
        <v>3839629.56</v>
      </c>
      <c r="J43" s="280">
        <v>3839629.56</v>
      </c>
      <c r="K43" s="280">
        <v>3971099.56</v>
      </c>
      <c r="L43" s="280">
        <v>3839629.56</v>
      </c>
      <c r="M43" s="280">
        <v>3971099.76</v>
      </c>
      <c r="N43" s="280">
        <v>3974099.56</v>
      </c>
      <c r="O43" s="280">
        <v>3842629.56</v>
      </c>
      <c r="P43" s="280">
        <v>4105569.5599999996</v>
      </c>
      <c r="Q43" s="279">
        <v>3842629.56</v>
      </c>
      <c r="R43" s="300"/>
      <c r="S43" s="281">
        <f t="shared" si="3"/>
        <v>42905275.359999999</v>
      </c>
      <c r="T43" s="279">
        <v>3971100</v>
      </c>
      <c r="U43" s="279">
        <v>200000</v>
      </c>
      <c r="V43" s="279"/>
      <c r="W43" s="299">
        <f t="shared" si="0"/>
        <v>47076375.359999999</v>
      </c>
      <c r="X43" s="277" t="b">
        <f t="shared" si="7"/>
        <v>0</v>
      </c>
      <c r="Y43" s="299">
        <f t="shared" si="8"/>
        <v>0</v>
      </c>
    </row>
    <row r="44" spans="1:26">
      <c r="A44" s="274">
        <v>39</v>
      </c>
      <c r="B44" s="275" t="s">
        <v>532</v>
      </c>
      <c r="C44" s="276" t="s">
        <v>38</v>
      </c>
      <c r="D44" s="276" t="s">
        <v>7</v>
      </c>
      <c r="E44" s="277">
        <f>COUNT(G44:R44)-COUNT(#REF!)</f>
        <v>11</v>
      </c>
      <c r="F44" s="296"/>
      <c r="G44" s="280">
        <v>3977099.56</v>
      </c>
      <c r="H44" s="280">
        <v>3582689.56</v>
      </c>
      <c r="I44" s="280">
        <v>4108569.5599999996</v>
      </c>
      <c r="J44" s="280">
        <v>3977099.56</v>
      </c>
      <c r="K44" s="280">
        <v>3977099.56</v>
      </c>
      <c r="L44" s="280">
        <v>3845629.56</v>
      </c>
      <c r="M44" s="280">
        <v>4108570.3600000003</v>
      </c>
      <c r="N44" s="280">
        <v>3980599.96</v>
      </c>
      <c r="O44" s="280">
        <v>3980599.96</v>
      </c>
      <c r="P44" s="280">
        <v>3849129.96</v>
      </c>
      <c r="Q44" s="279">
        <v>3980599.96</v>
      </c>
      <c r="R44" s="300"/>
      <c r="S44" s="281">
        <f t="shared" si="3"/>
        <v>43367687.560000002</v>
      </c>
      <c r="T44" s="279">
        <v>3977100</v>
      </c>
      <c r="U44" s="279">
        <v>200000</v>
      </c>
      <c r="V44" s="279"/>
      <c r="W44" s="299">
        <f t="shared" si="0"/>
        <v>47544787.560000002</v>
      </c>
      <c r="X44" s="277" t="b">
        <f t="shared" si="7"/>
        <v>0</v>
      </c>
      <c r="Y44" s="299">
        <f t="shared" si="8"/>
        <v>0</v>
      </c>
    </row>
    <row r="45" spans="1:26">
      <c r="A45" s="274">
        <v>40</v>
      </c>
      <c r="B45" s="275" t="s">
        <v>533</v>
      </c>
      <c r="C45" s="276" t="s">
        <v>38</v>
      </c>
      <c r="D45" s="276" t="s">
        <v>7</v>
      </c>
      <c r="E45" s="277">
        <f>COUNT(G45:R45)-COUNT(#REF!)</f>
        <v>11</v>
      </c>
      <c r="F45" s="296"/>
      <c r="G45" s="280">
        <v>4126069.5599999996</v>
      </c>
      <c r="H45" s="280">
        <v>3735159.56</v>
      </c>
      <c r="I45" s="280">
        <v>4129569.5599999996</v>
      </c>
      <c r="J45" s="280">
        <v>3866629.56</v>
      </c>
      <c r="K45" s="280">
        <v>3998099.56</v>
      </c>
      <c r="L45" s="280">
        <v>3866629.56</v>
      </c>
      <c r="M45" s="280">
        <v>3998099.96</v>
      </c>
      <c r="N45" s="280">
        <v>3998099.96</v>
      </c>
      <c r="O45" s="280">
        <v>3998099.96</v>
      </c>
      <c r="P45" s="280">
        <v>3998099.96</v>
      </c>
      <c r="Q45" s="279">
        <v>3866629.96</v>
      </c>
      <c r="R45" s="300"/>
      <c r="S45" s="281">
        <f t="shared" si="3"/>
        <v>43581187.160000004</v>
      </c>
      <c r="T45" s="279">
        <v>3998100</v>
      </c>
      <c r="U45" s="279">
        <v>200000</v>
      </c>
      <c r="V45" s="279"/>
      <c r="W45" s="299">
        <f t="shared" si="0"/>
        <v>47779287.160000004</v>
      </c>
      <c r="X45" s="277" t="b">
        <f t="shared" si="7"/>
        <v>0</v>
      </c>
      <c r="Y45" s="299">
        <f t="shared" si="8"/>
        <v>0</v>
      </c>
    </row>
    <row r="46" spans="1:26">
      <c r="A46" s="274">
        <v>41</v>
      </c>
      <c r="B46" s="275" t="s">
        <v>534</v>
      </c>
      <c r="C46" s="276" t="s">
        <v>39</v>
      </c>
      <c r="D46" s="276" t="s">
        <v>7</v>
      </c>
      <c r="E46" s="277">
        <f>COUNT(G46:R46)-COUNT(#REF!)</f>
        <v>11</v>
      </c>
      <c r="F46" s="296"/>
      <c r="G46" s="280">
        <v>4096569.5599999996</v>
      </c>
      <c r="H46" s="280">
        <v>3702159.56</v>
      </c>
      <c r="I46" s="280">
        <v>4096569.5599999996</v>
      </c>
      <c r="J46" s="280">
        <v>4001712.56</v>
      </c>
      <c r="K46" s="280">
        <v>5780176.5599999996</v>
      </c>
      <c r="L46" s="280">
        <v>4878606.5599999996</v>
      </c>
      <c r="M46" s="280">
        <v>4581343.96</v>
      </c>
      <c r="N46" s="280">
        <v>5267768.96</v>
      </c>
      <c r="O46" s="280">
        <v>4612687.96</v>
      </c>
      <c r="P46" s="280">
        <v>4256426.96</v>
      </c>
      <c r="Q46" s="279">
        <v>4124956.96</v>
      </c>
      <c r="R46" s="300"/>
      <c r="S46" s="281">
        <f t="shared" si="3"/>
        <v>49398979.160000004</v>
      </c>
      <c r="T46" s="279">
        <v>3965100</v>
      </c>
      <c r="U46" s="279">
        <v>200000</v>
      </c>
      <c r="V46" s="279"/>
      <c r="W46" s="299">
        <f t="shared" si="0"/>
        <v>53564079.160000004</v>
      </c>
      <c r="X46" s="277" t="b">
        <f t="shared" si="7"/>
        <v>0</v>
      </c>
      <c r="Y46" s="299">
        <f t="shared" si="8"/>
        <v>0</v>
      </c>
    </row>
    <row r="47" spans="1:26">
      <c r="A47" s="274">
        <v>42</v>
      </c>
      <c r="B47" s="275" t="s">
        <v>535</v>
      </c>
      <c r="C47" s="276" t="s">
        <v>39</v>
      </c>
      <c r="D47" s="276" t="s">
        <v>17</v>
      </c>
      <c r="E47" s="277">
        <f>COUNT(G47:R47)-COUNT(#REF!)</f>
        <v>7</v>
      </c>
      <c r="F47" s="296"/>
      <c r="G47" s="280">
        <v>4002599.56</v>
      </c>
      <c r="H47" s="280">
        <v>3739759.56</v>
      </c>
      <c r="I47" s="280">
        <v>4005599.56</v>
      </c>
      <c r="J47" s="280">
        <v>3830629.56</v>
      </c>
      <c r="K47" s="280">
        <v>4093569.5599999996</v>
      </c>
      <c r="L47" s="280">
        <v>3962099.56</v>
      </c>
      <c r="M47" s="280">
        <v>412410.36</v>
      </c>
      <c r="N47" s="498"/>
      <c r="O47" s="498"/>
      <c r="P47" s="498"/>
      <c r="Q47" s="497"/>
      <c r="R47" s="501"/>
      <c r="S47" s="281">
        <f t="shared" si="3"/>
        <v>24046667.719999999</v>
      </c>
      <c r="T47" s="279">
        <v>4005600</v>
      </c>
      <c r="U47" s="279">
        <v>600000</v>
      </c>
      <c r="V47" s="279"/>
      <c r="W47" s="299">
        <f t="shared" si="0"/>
        <v>28652267.719999999</v>
      </c>
      <c r="X47" s="277" t="b">
        <f t="shared" si="7"/>
        <v>0</v>
      </c>
      <c r="Y47" s="299">
        <f t="shared" si="8"/>
        <v>0</v>
      </c>
    </row>
    <row r="48" spans="1:26">
      <c r="A48" s="274">
        <v>43</v>
      </c>
      <c r="B48" s="275" t="s">
        <v>536</v>
      </c>
      <c r="C48" s="276" t="s">
        <v>38</v>
      </c>
      <c r="D48" s="276" t="s">
        <v>7</v>
      </c>
      <c r="E48" s="277">
        <f>COUNT(G48:R48)-COUNT(#REF!)</f>
        <v>11</v>
      </c>
      <c r="F48" s="296"/>
      <c r="G48" s="280">
        <v>4105569.5599999996</v>
      </c>
      <c r="H48" s="280">
        <v>3579689.56</v>
      </c>
      <c r="I48" s="280">
        <v>3974099.56</v>
      </c>
      <c r="J48" s="280">
        <v>3579689.56</v>
      </c>
      <c r="K48" s="280">
        <v>4105569.5599999996</v>
      </c>
      <c r="L48" s="280">
        <v>3842629.56</v>
      </c>
      <c r="M48" s="280">
        <v>3974099.56</v>
      </c>
      <c r="N48" s="280">
        <v>4105569.5599999996</v>
      </c>
      <c r="O48" s="280">
        <v>3714160.36</v>
      </c>
      <c r="P48" s="280">
        <v>3977100.36</v>
      </c>
      <c r="Q48" s="279">
        <v>3845630.36</v>
      </c>
      <c r="R48" s="300"/>
      <c r="S48" s="281">
        <f t="shared" si="3"/>
        <v>42803807.559999995</v>
      </c>
      <c r="T48" s="279">
        <v>3974100</v>
      </c>
      <c r="U48" s="279">
        <v>200000</v>
      </c>
      <c r="V48" s="279"/>
      <c r="W48" s="299">
        <f t="shared" si="0"/>
        <v>46977907.559999995</v>
      </c>
      <c r="X48" s="277" t="b">
        <f t="shared" si="7"/>
        <v>0</v>
      </c>
      <c r="Y48" s="299">
        <f t="shared" si="8"/>
        <v>0</v>
      </c>
    </row>
    <row r="49" spans="1:25">
      <c r="A49" s="274">
        <v>44</v>
      </c>
      <c r="B49" s="275" t="s">
        <v>537</v>
      </c>
      <c r="C49" s="276" t="s">
        <v>38</v>
      </c>
      <c r="D49" s="276" t="s">
        <v>7</v>
      </c>
      <c r="E49" s="277">
        <f>COUNT(G49:R49)-COUNT(#REF!)</f>
        <v>11</v>
      </c>
      <c r="F49" s="296"/>
      <c r="G49" s="280">
        <v>4099569.5599999996</v>
      </c>
      <c r="H49" s="280">
        <v>3705159.56</v>
      </c>
      <c r="I49" s="280">
        <v>4099569.5599999996</v>
      </c>
      <c r="J49" s="280">
        <v>3998099.56</v>
      </c>
      <c r="K49" s="280">
        <v>4130569.5599999996</v>
      </c>
      <c r="L49" s="280">
        <v>3998099.56</v>
      </c>
      <c r="M49" s="280">
        <v>4130569.96</v>
      </c>
      <c r="N49" s="280">
        <v>4133569.76</v>
      </c>
      <c r="O49" s="280">
        <v>4001099.76</v>
      </c>
      <c r="P49" s="280">
        <v>4133569.76</v>
      </c>
      <c r="Q49" s="279">
        <v>4001099.76</v>
      </c>
      <c r="R49" s="300"/>
      <c r="S49" s="281">
        <f t="shared" si="3"/>
        <v>44430976.359999992</v>
      </c>
      <c r="T49" s="279">
        <v>3968100</v>
      </c>
      <c r="U49" s="279">
        <v>200000</v>
      </c>
      <c r="V49" s="279"/>
      <c r="W49" s="299">
        <f t="shared" si="0"/>
        <v>48599076.359999992</v>
      </c>
      <c r="X49" s="277" t="b">
        <f t="shared" si="7"/>
        <v>0</v>
      </c>
      <c r="Y49" s="299">
        <f t="shared" si="8"/>
        <v>0</v>
      </c>
    </row>
    <row r="50" spans="1:25">
      <c r="A50" s="274">
        <v>45</v>
      </c>
      <c r="B50" s="275" t="s">
        <v>538</v>
      </c>
      <c r="C50" s="276" t="s">
        <v>38</v>
      </c>
      <c r="D50" s="276" t="s">
        <v>7</v>
      </c>
      <c r="E50" s="277">
        <f>COUNT(G50:R50)-COUNT(#REF!)</f>
        <v>11</v>
      </c>
      <c r="F50" s="296"/>
      <c r="G50" s="280">
        <v>4105569.5599999996</v>
      </c>
      <c r="H50" s="280">
        <v>3579689.56</v>
      </c>
      <c r="I50" s="280">
        <v>4105569.5599999996</v>
      </c>
      <c r="J50" s="280">
        <v>3974099.56</v>
      </c>
      <c r="K50" s="280">
        <v>4105569.5599999996</v>
      </c>
      <c r="L50" s="280">
        <v>3974099.56</v>
      </c>
      <c r="M50" s="280">
        <v>4105569.5599999996</v>
      </c>
      <c r="N50" s="280">
        <v>4105569.5599999996</v>
      </c>
      <c r="O50" s="280">
        <v>3974099.56</v>
      </c>
      <c r="P50" s="280">
        <v>4105569.5599999996</v>
      </c>
      <c r="Q50" s="279">
        <v>3977100.36</v>
      </c>
      <c r="R50" s="300"/>
      <c r="S50" s="281">
        <f t="shared" si="3"/>
        <v>44112505.960000001</v>
      </c>
      <c r="T50" s="279">
        <v>3974100</v>
      </c>
      <c r="U50" s="279">
        <v>200000</v>
      </c>
      <c r="V50" s="279"/>
      <c r="W50" s="299">
        <f t="shared" si="0"/>
        <v>48286605.960000001</v>
      </c>
      <c r="X50" s="277" t="b">
        <f t="shared" si="7"/>
        <v>0</v>
      </c>
      <c r="Y50" s="299">
        <f t="shared" si="8"/>
        <v>0</v>
      </c>
    </row>
    <row r="51" spans="1:25">
      <c r="A51" s="274">
        <v>46</v>
      </c>
      <c r="B51" s="275" t="s">
        <v>539</v>
      </c>
      <c r="C51" s="276" t="s">
        <v>38</v>
      </c>
      <c r="D51" s="276" t="s">
        <v>7</v>
      </c>
      <c r="E51" s="277">
        <f>COUNT(G51:R51)-COUNT(#REF!)</f>
        <v>11</v>
      </c>
      <c r="F51" s="296"/>
      <c r="G51" s="280">
        <v>4099569.5599999996</v>
      </c>
      <c r="H51" s="280">
        <v>3705159.56</v>
      </c>
      <c r="I51" s="280">
        <v>4099569.5599999996</v>
      </c>
      <c r="J51" s="280">
        <v>3968099.56</v>
      </c>
      <c r="K51" s="280">
        <v>4099569.5599999996</v>
      </c>
      <c r="L51" s="280">
        <v>3968099.56</v>
      </c>
      <c r="M51" s="280">
        <v>4099569.96</v>
      </c>
      <c r="N51" s="280">
        <v>4099569.96</v>
      </c>
      <c r="O51" s="280">
        <v>3968099.96</v>
      </c>
      <c r="P51" s="280">
        <v>4099569.96</v>
      </c>
      <c r="Q51" s="279">
        <v>3971099.76</v>
      </c>
      <c r="R51" s="300"/>
      <c r="S51" s="281">
        <f t="shared" si="3"/>
        <v>44177976.960000001</v>
      </c>
      <c r="T51" s="279">
        <v>3968100</v>
      </c>
      <c r="U51" s="279">
        <v>200000</v>
      </c>
      <c r="V51" s="279"/>
      <c r="W51" s="299">
        <f t="shared" si="0"/>
        <v>48346076.960000001</v>
      </c>
      <c r="X51" s="277" t="b">
        <f t="shared" si="7"/>
        <v>0</v>
      </c>
      <c r="Y51" s="299">
        <f t="shared" si="8"/>
        <v>0</v>
      </c>
    </row>
    <row r="52" spans="1:25">
      <c r="A52" s="274">
        <v>47</v>
      </c>
      <c r="B52" s="275" t="s">
        <v>540</v>
      </c>
      <c r="C52" s="276" t="s">
        <v>39</v>
      </c>
      <c r="D52" s="276" t="s">
        <v>9</v>
      </c>
      <c r="E52" s="277">
        <f>COUNT(G52:R52)-COUNT(#REF!)</f>
        <v>11</v>
      </c>
      <c r="F52" s="296"/>
      <c r="G52" s="280">
        <v>4072599.5599999996</v>
      </c>
      <c r="H52" s="280">
        <v>3566119.56</v>
      </c>
      <c r="I52" s="280">
        <v>3967729.56</v>
      </c>
      <c r="J52" s="280">
        <v>3807259.56</v>
      </c>
      <c r="K52" s="280">
        <v>4073099.5599999996</v>
      </c>
      <c r="L52" s="280">
        <v>3940179.56</v>
      </c>
      <c r="M52" s="280">
        <v>4076599.96</v>
      </c>
      <c r="N52" s="280">
        <v>4076599.96</v>
      </c>
      <c r="O52" s="280">
        <v>3810759.96</v>
      </c>
      <c r="P52" s="280">
        <v>4076599.96</v>
      </c>
      <c r="Q52" s="279">
        <v>3943679.96</v>
      </c>
      <c r="R52" s="300"/>
      <c r="S52" s="281">
        <f t="shared" si="3"/>
        <v>43411227.160000004</v>
      </c>
      <c r="T52" s="279">
        <v>4101600</v>
      </c>
      <c r="U52" s="279">
        <v>200000</v>
      </c>
      <c r="V52" s="279"/>
      <c r="W52" s="299">
        <f t="shared" si="0"/>
        <v>47712827.160000004</v>
      </c>
      <c r="X52" s="277" t="b">
        <f t="shared" si="7"/>
        <v>0</v>
      </c>
      <c r="Y52" s="299">
        <f t="shared" si="8"/>
        <v>0</v>
      </c>
    </row>
    <row r="53" spans="1:25">
      <c r="A53" s="274">
        <v>48</v>
      </c>
      <c r="B53" s="275" t="s">
        <v>541</v>
      </c>
      <c r="C53" s="276" t="s">
        <v>39</v>
      </c>
      <c r="D53" s="276" t="s">
        <v>9</v>
      </c>
      <c r="E53" s="277">
        <f>COUNT(G53:R53)-COUNT(#REF!)</f>
        <v>11</v>
      </c>
      <c r="F53" s="296"/>
      <c r="G53" s="280">
        <v>4022099.56</v>
      </c>
      <c r="H53" s="280">
        <v>3492919.56</v>
      </c>
      <c r="I53" s="280">
        <v>3893179.56</v>
      </c>
      <c r="J53" s="280">
        <v>3759759.56</v>
      </c>
      <c r="K53" s="280">
        <v>3893179.56</v>
      </c>
      <c r="L53" s="280">
        <v>3437928.56</v>
      </c>
      <c r="M53" s="280">
        <v>3893179.96</v>
      </c>
      <c r="N53" s="280">
        <v>3893179.96</v>
      </c>
      <c r="O53" s="280">
        <v>3626339.96</v>
      </c>
      <c r="P53" s="280">
        <v>3893179.96</v>
      </c>
      <c r="Q53" s="279">
        <v>3626339.96</v>
      </c>
      <c r="R53" s="300"/>
      <c r="S53" s="281">
        <f t="shared" si="3"/>
        <v>41431286.160000004</v>
      </c>
      <c r="T53" s="279">
        <v>4026600</v>
      </c>
      <c r="U53" s="279">
        <v>200000</v>
      </c>
      <c r="V53" s="279"/>
      <c r="W53" s="299">
        <f t="shared" si="0"/>
        <v>45657886.160000004</v>
      </c>
      <c r="X53" s="277" t="b">
        <f t="shared" si="7"/>
        <v>0</v>
      </c>
      <c r="Y53" s="299">
        <f t="shared" si="8"/>
        <v>0</v>
      </c>
    </row>
    <row r="54" spans="1:25">
      <c r="A54" s="274">
        <v>49</v>
      </c>
      <c r="B54" s="275" t="s">
        <v>542</v>
      </c>
      <c r="C54" s="276" t="s">
        <v>39</v>
      </c>
      <c r="D54" s="276" t="s">
        <v>9</v>
      </c>
      <c r="E54" s="277">
        <f>COUNT(G54:R54)-COUNT(#REF!)</f>
        <v>11</v>
      </c>
      <c r="F54" s="296"/>
      <c r="G54" s="280">
        <v>4163319.5599999996</v>
      </c>
      <c r="H54" s="280">
        <v>3766359.56</v>
      </c>
      <c r="I54" s="280">
        <v>4167969.5599999996</v>
      </c>
      <c r="J54" s="280">
        <v>4034099.56</v>
      </c>
      <c r="K54" s="280">
        <v>4195869.5599999996</v>
      </c>
      <c r="L54" s="280">
        <v>3794559.56</v>
      </c>
      <c r="M54" s="280">
        <v>4198870.16</v>
      </c>
      <c r="N54" s="280">
        <v>4198870.16</v>
      </c>
      <c r="O54" s="280">
        <v>4064100.16</v>
      </c>
      <c r="P54" s="280">
        <v>4198870.16</v>
      </c>
      <c r="Q54" s="279">
        <v>3929330.16</v>
      </c>
      <c r="R54" s="300"/>
      <c r="S54" s="281">
        <f t="shared" si="3"/>
        <v>44712218.159999996</v>
      </c>
      <c r="T54" s="279">
        <v>4034100</v>
      </c>
      <c r="U54" s="279">
        <v>200000</v>
      </c>
      <c r="V54" s="279"/>
      <c r="W54" s="299">
        <f t="shared" si="0"/>
        <v>48946318.159999996</v>
      </c>
      <c r="X54" s="277" t="b">
        <f t="shared" si="7"/>
        <v>0</v>
      </c>
      <c r="Y54" s="299">
        <f t="shared" si="8"/>
        <v>0</v>
      </c>
    </row>
    <row r="55" spans="1:25">
      <c r="A55" s="274">
        <v>50</v>
      </c>
      <c r="B55" s="275" t="s">
        <v>543</v>
      </c>
      <c r="C55" s="276" t="s">
        <v>39</v>
      </c>
      <c r="D55" s="276" t="s">
        <v>7</v>
      </c>
      <c r="E55" s="277">
        <f>COUNT(G55:R55)-COUNT(#REF!)</f>
        <v>11</v>
      </c>
      <c r="F55" s="296"/>
      <c r="G55" s="280">
        <v>3949099.56</v>
      </c>
      <c r="H55" s="280">
        <v>3554689.56</v>
      </c>
      <c r="I55" s="280">
        <v>3949099.56</v>
      </c>
      <c r="J55" s="280">
        <v>3817629.56</v>
      </c>
      <c r="K55" s="280">
        <v>4105956.5599999996</v>
      </c>
      <c r="L55" s="280">
        <v>3929670.56</v>
      </c>
      <c r="M55" s="280">
        <v>3949099.56</v>
      </c>
      <c r="N55" s="280">
        <v>3949099.56</v>
      </c>
      <c r="O55" s="280">
        <v>3896058.56</v>
      </c>
      <c r="P55" s="280">
        <v>3982712.56</v>
      </c>
      <c r="Q55" s="279">
        <v>3949099.56</v>
      </c>
      <c r="R55" s="300"/>
      <c r="S55" s="281">
        <f t="shared" si="3"/>
        <v>43032215.160000004</v>
      </c>
      <c r="T55" s="279">
        <v>3949100</v>
      </c>
      <c r="U55" s="279">
        <v>200000</v>
      </c>
      <c r="V55" s="279"/>
      <c r="W55" s="299">
        <f t="shared" si="0"/>
        <v>47181315.160000004</v>
      </c>
      <c r="X55" s="277" t="b">
        <f t="shared" si="7"/>
        <v>0</v>
      </c>
      <c r="Y55" s="299">
        <f t="shared" si="8"/>
        <v>0</v>
      </c>
    </row>
    <row r="56" spans="1:25">
      <c r="A56" s="274">
        <v>51</v>
      </c>
      <c r="B56" s="275" t="s">
        <v>544</v>
      </c>
      <c r="C56" s="276" t="s">
        <v>39</v>
      </c>
      <c r="D56" s="276" t="s">
        <v>17</v>
      </c>
      <c r="E56" s="277">
        <f>COUNT(G56:R56)-COUNT(#REF!)</f>
        <v>11</v>
      </c>
      <c r="F56" s="296"/>
      <c r="G56" s="280">
        <v>4031599.56</v>
      </c>
      <c r="H56" s="280">
        <v>3768759.56</v>
      </c>
      <c r="I56" s="280">
        <v>4167519.5599999996</v>
      </c>
      <c r="J56" s="280">
        <v>3901679.56</v>
      </c>
      <c r="K56" s="280">
        <v>4167519.5599999996</v>
      </c>
      <c r="L56" s="280">
        <v>4113028.5599999996</v>
      </c>
      <c r="M56" s="280">
        <v>4167519.76</v>
      </c>
      <c r="N56" s="280">
        <v>4167519.76</v>
      </c>
      <c r="O56" s="280">
        <v>4034599.76</v>
      </c>
      <c r="P56" s="280">
        <v>4171020.3600000003</v>
      </c>
      <c r="Q56" s="279">
        <v>4038100.3600000003</v>
      </c>
      <c r="R56" s="300"/>
      <c r="S56" s="281">
        <f t="shared" si="3"/>
        <v>44728866.359999992</v>
      </c>
      <c r="T56" s="279">
        <v>4034600</v>
      </c>
      <c r="U56" s="279">
        <v>200000</v>
      </c>
      <c r="V56" s="279"/>
      <c r="W56" s="299">
        <f t="shared" si="0"/>
        <v>48963466.359999992</v>
      </c>
      <c r="X56" s="277" t="b">
        <f t="shared" si="7"/>
        <v>0</v>
      </c>
      <c r="Y56" s="299">
        <f t="shared" si="8"/>
        <v>0</v>
      </c>
    </row>
    <row r="57" spans="1:25">
      <c r="A57" s="274">
        <v>52</v>
      </c>
      <c r="B57" s="275" t="s">
        <v>545</v>
      </c>
      <c r="C57" s="276" t="s">
        <v>38</v>
      </c>
      <c r="D57" s="276" t="s">
        <v>7</v>
      </c>
      <c r="E57" s="277">
        <f>COUNT(G57:R57)-COUNT(#REF!)</f>
        <v>11</v>
      </c>
      <c r="F57" s="296"/>
      <c r="G57" s="280">
        <v>4129569.5599999996</v>
      </c>
      <c r="H57" s="280">
        <v>3735159.56</v>
      </c>
      <c r="I57" s="280">
        <v>4129569.5599999996</v>
      </c>
      <c r="J57" s="280">
        <v>3998099.56</v>
      </c>
      <c r="K57" s="280">
        <v>3998099.56</v>
      </c>
      <c r="L57" s="280">
        <v>3998099.56</v>
      </c>
      <c r="M57" s="280">
        <v>3998099.96</v>
      </c>
      <c r="N57" s="280">
        <v>4129569.96</v>
      </c>
      <c r="O57" s="280">
        <v>3998099.96</v>
      </c>
      <c r="P57" s="280">
        <v>4133069.5599999996</v>
      </c>
      <c r="Q57" s="279">
        <v>4001599.56</v>
      </c>
      <c r="R57" s="300"/>
      <c r="S57" s="281">
        <f t="shared" si="3"/>
        <v>44249036.360000007</v>
      </c>
      <c r="T57" s="279">
        <v>3998100</v>
      </c>
      <c r="U57" s="279">
        <v>200000</v>
      </c>
      <c r="V57" s="279"/>
      <c r="W57" s="299">
        <f t="shared" si="0"/>
        <v>48447136.360000007</v>
      </c>
      <c r="X57" s="277" t="b">
        <f t="shared" si="7"/>
        <v>0</v>
      </c>
      <c r="Y57" s="299">
        <f t="shared" si="8"/>
        <v>0</v>
      </c>
    </row>
    <row r="58" spans="1:25">
      <c r="A58" s="274">
        <v>53</v>
      </c>
      <c r="B58" s="275" t="s">
        <v>546</v>
      </c>
      <c r="C58" s="276" t="s">
        <v>38</v>
      </c>
      <c r="D58" s="276" t="s">
        <v>7</v>
      </c>
      <c r="E58" s="277">
        <f>COUNT(G58:R58)-COUNT(#REF!)</f>
        <v>11</v>
      </c>
      <c r="F58" s="296"/>
      <c r="G58" s="280">
        <v>4122569.5599999996</v>
      </c>
      <c r="H58" s="280">
        <v>3728159.56</v>
      </c>
      <c r="I58" s="280">
        <v>4122569.5599999996</v>
      </c>
      <c r="J58" s="280">
        <v>3991099.56</v>
      </c>
      <c r="K58" s="280">
        <v>4122569.5599999996</v>
      </c>
      <c r="L58" s="280">
        <v>3991099.56</v>
      </c>
      <c r="M58" s="280">
        <v>4122569.76</v>
      </c>
      <c r="N58" s="280">
        <v>4122569.76</v>
      </c>
      <c r="O58" s="280">
        <v>3991099.76</v>
      </c>
      <c r="P58" s="280">
        <v>4126070.3600000003</v>
      </c>
      <c r="Q58" s="279">
        <v>3994600.36</v>
      </c>
      <c r="R58" s="300"/>
      <c r="S58" s="281">
        <f t="shared" si="3"/>
        <v>44434977.359999992</v>
      </c>
      <c r="T58" s="279">
        <v>3991100</v>
      </c>
      <c r="U58" s="279">
        <v>200000</v>
      </c>
      <c r="V58" s="279"/>
      <c r="W58" s="299">
        <f t="shared" si="0"/>
        <v>48626077.359999992</v>
      </c>
      <c r="X58" s="277" t="b">
        <f t="shared" si="7"/>
        <v>0</v>
      </c>
      <c r="Y58" s="299">
        <f t="shared" si="8"/>
        <v>0</v>
      </c>
    </row>
    <row r="59" spans="1:25">
      <c r="A59" s="274">
        <v>54</v>
      </c>
      <c r="B59" s="275" t="s">
        <v>547</v>
      </c>
      <c r="C59" s="276" t="s">
        <v>38</v>
      </c>
      <c r="D59" s="276" t="s">
        <v>7</v>
      </c>
      <c r="E59" s="277">
        <f>COUNT(G59:R59)-COUNT(#REF!)</f>
        <v>11</v>
      </c>
      <c r="F59" s="296"/>
      <c r="G59" s="280">
        <v>3977099.56</v>
      </c>
      <c r="H59" s="280">
        <v>3582689.56</v>
      </c>
      <c r="I59" s="280">
        <v>4108569.5599999996</v>
      </c>
      <c r="J59" s="280">
        <v>3714159.56</v>
      </c>
      <c r="K59" s="280">
        <v>3845629.56</v>
      </c>
      <c r="L59" s="280">
        <v>3714159.56</v>
      </c>
      <c r="M59" s="280">
        <v>3845630.36</v>
      </c>
      <c r="N59" s="280">
        <v>3849129.96</v>
      </c>
      <c r="O59" s="280">
        <v>3849129.96</v>
      </c>
      <c r="P59" s="280">
        <v>3980599.96</v>
      </c>
      <c r="Q59" s="279">
        <v>3849129.96</v>
      </c>
      <c r="R59" s="300"/>
      <c r="S59" s="281">
        <f t="shared" si="3"/>
        <v>42315927.560000002</v>
      </c>
      <c r="T59" s="279">
        <v>3977100</v>
      </c>
      <c r="U59" s="279">
        <v>200000</v>
      </c>
      <c r="V59" s="279"/>
      <c r="W59" s="299">
        <f t="shared" si="0"/>
        <v>46493027.560000002</v>
      </c>
      <c r="X59" s="277" t="b">
        <f t="shared" si="7"/>
        <v>0</v>
      </c>
      <c r="Y59" s="299">
        <f t="shared" si="8"/>
        <v>0</v>
      </c>
    </row>
    <row r="60" spans="1:25">
      <c r="A60" s="274">
        <v>55</v>
      </c>
      <c r="B60" s="275" t="s">
        <v>548</v>
      </c>
      <c r="C60" s="276" t="s">
        <v>38</v>
      </c>
      <c r="D60" s="276" t="s">
        <v>7</v>
      </c>
      <c r="E60" s="277">
        <f>COUNT(G60:R60)-COUNT(#REF!)</f>
        <v>11</v>
      </c>
      <c r="F60" s="296"/>
      <c r="G60" s="280">
        <v>4093569.5599999996</v>
      </c>
      <c r="H60" s="280">
        <v>3567689.56</v>
      </c>
      <c r="I60" s="280">
        <v>3962099.56</v>
      </c>
      <c r="J60" s="280">
        <v>3830629.56</v>
      </c>
      <c r="K60" s="280">
        <v>3962099.56</v>
      </c>
      <c r="L60" s="280">
        <v>3699159.56</v>
      </c>
      <c r="M60" s="280">
        <v>3965100.16</v>
      </c>
      <c r="N60" s="280">
        <v>3965100.16</v>
      </c>
      <c r="O60" s="280">
        <v>3833630.16</v>
      </c>
      <c r="P60" s="280">
        <v>3965100.16</v>
      </c>
      <c r="Q60" s="279">
        <v>3833630.16</v>
      </c>
      <c r="R60" s="300"/>
      <c r="S60" s="281">
        <f t="shared" si="3"/>
        <v>42677808.159999996</v>
      </c>
      <c r="T60" s="279">
        <v>3962100</v>
      </c>
      <c r="U60" s="279">
        <v>200000</v>
      </c>
      <c r="V60" s="279"/>
      <c r="W60" s="299">
        <f t="shared" si="0"/>
        <v>46839908.159999996</v>
      </c>
      <c r="X60" s="277" t="b">
        <f t="shared" si="7"/>
        <v>0</v>
      </c>
      <c r="Y60" s="299">
        <f t="shared" si="8"/>
        <v>0</v>
      </c>
    </row>
    <row r="61" spans="1:25">
      <c r="A61" s="274">
        <v>56</v>
      </c>
      <c r="B61" s="275" t="s">
        <v>549</v>
      </c>
      <c r="C61" s="276" t="s">
        <v>39</v>
      </c>
      <c r="D61" s="276" t="s">
        <v>7</v>
      </c>
      <c r="E61" s="277">
        <f>COUNT(G61:R61)-COUNT(#REF!)</f>
        <v>11</v>
      </c>
      <c r="F61" s="296"/>
      <c r="G61" s="280">
        <v>3817629.56</v>
      </c>
      <c r="H61" s="280">
        <v>3686159.56</v>
      </c>
      <c r="I61" s="280">
        <v>3951599.56</v>
      </c>
      <c r="J61" s="280">
        <v>3862179.56</v>
      </c>
      <c r="K61" s="280">
        <v>4128019.5599999996</v>
      </c>
      <c r="L61" s="280">
        <v>4073528.5599999996</v>
      </c>
      <c r="M61" s="280">
        <v>3995099.56</v>
      </c>
      <c r="N61" s="280">
        <v>3995099.56</v>
      </c>
      <c r="O61" s="280">
        <v>3862179.56</v>
      </c>
      <c r="P61" s="280">
        <v>3995099.56</v>
      </c>
      <c r="Q61" s="279">
        <v>3995099.56</v>
      </c>
      <c r="R61" s="300"/>
      <c r="S61" s="281">
        <f t="shared" si="3"/>
        <v>43361694.160000004</v>
      </c>
      <c r="T61" s="279">
        <v>3951600</v>
      </c>
      <c r="U61" s="279">
        <v>200000</v>
      </c>
      <c r="V61" s="279"/>
      <c r="W61" s="299">
        <f t="shared" si="0"/>
        <v>47513294.160000004</v>
      </c>
      <c r="X61" s="277" t="b">
        <f t="shared" si="7"/>
        <v>0</v>
      </c>
      <c r="Y61" s="299">
        <f t="shared" si="8"/>
        <v>0</v>
      </c>
    </row>
    <row r="62" spans="1:25">
      <c r="A62" s="274">
        <v>57</v>
      </c>
      <c r="B62" s="275" t="s">
        <v>550</v>
      </c>
      <c r="C62" s="276" t="s">
        <v>39</v>
      </c>
      <c r="D62" s="276" t="s">
        <v>11</v>
      </c>
      <c r="E62" s="277">
        <f>COUNT(G62:R62)-COUNT(#REF!)</f>
        <v>11</v>
      </c>
      <c r="F62" s="296"/>
      <c r="G62" s="280">
        <v>4085599.5599999996</v>
      </c>
      <c r="H62" s="280">
        <v>3685789.56</v>
      </c>
      <c r="I62" s="280">
        <v>4224869.5599999996</v>
      </c>
      <c r="J62" s="280">
        <v>4090099.5599999996</v>
      </c>
      <c r="K62" s="280">
        <v>4090099.5599999996</v>
      </c>
      <c r="L62" s="280">
        <v>4090099.5599999996</v>
      </c>
      <c r="M62" s="280">
        <v>4090099.76</v>
      </c>
      <c r="N62" s="280">
        <v>4090099.76</v>
      </c>
      <c r="O62" s="280">
        <v>4090099.76</v>
      </c>
      <c r="P62" s="280">
        <v>4224869.76</v>
      </c>
      <c r="Q62" s="279">
        <v>4090099.76</v>
      </c>
      <c r="R62" s="300"/>
      <c r="S62" s="281">
        <f t="shared" si="3"/>
        <v>44851826.159999989</v>
      </c>
      <c r="T62" s="279">
        <v>4090100</v>
      </c>
      <c r="U62" s="279">
        <v>200000</v>
      </c>
      <c r="V62" s="279"/>
      <c r="W62" s="299">
        <f t="shared" si="0"/>
        <v>49141926.159999989</v>
      </c>
      <c r="X62" s="277" t="b">
        <f t="shared" si="7"/>
        <v>0</v>
      </c>
      <c r="Y62" s="299">
        <f t="shared" si="8"/>
        <v>0</v>
      </c>
    </row>
    <row r="63" spans="1:25">
      <c r="A63" s="274">
        <v>58</v>
      </c>
      <c r="B63" s="275" t="s">
        <v>551</v>
      </c>
      <c r="C63" s="276" t="s">
        <v>39</v>
      </c>
      <c r="D63" s="276" t="s">
        <v>11</v>
      </c>
      <c r="E63" s="277">
        <f>COUNT(G63:R63)-COUNT(#REF!)</f>
        <v>11</v>
      </c>
      <c r="F63" s="296"/>
      <c r="G63" s="280">
        <v>4223719.5599999996</v>
      </c>
      <c r="H63" s="280">
        <v>3824059.56</v>
      </c>
      <c r="I63" s="280">
        <v>4228369.5599999996</v>
      </c>
      <c r="J63" s="280">
        <v>3958829.56</v>
      </c>
      <c r="K63" s="280">
        <v>4228369.5599999996</v>
      </c>
      <c r="L63" s="280">
        <v>4093599.5599999996</v>
      </c>
      <c r="M63" s="280">
        <v>4228370.3600000003</v>
      </c>
      <c r="N63" s="280">
        <v>4228370.3600000003</v>
      </c>
      <c r="O63" s="280">
        <v>4093600.3600000003</v>
      </c>
      <c r="P63" s="280">
        <v>4228370.3600000003</v>
      </c>
      <c r="Q63" s="279">
        <v>3958830.36</v>
      </c>
      <c r="R63" s="300"/>
      <c r="S63" s="281">
        <f t="shared" si="3"/>
        <v>45294489.159999996</v>
      </c>
      <c r="T63" s="279">
        <v>4093600</v>
      </c>
      <c r="U63" s="279">
        <v>200000</v>
      </c>
      <c r="V63" s="279"/>
      <c r="W63" s="299">
        <f t="shared" si="0"/>
        <v>49588089.159999996</v>
      </c>
      <c r="X63" s="277" t="b">
        <f t="shared" si="7"/>
        <v>0</v>
      </c>
      <c r="Y63" s="299">
        <f t="shared" si="8"/>
        <v>0</v>
      </c>
    </row>
    <row r="64" spans="1:25">
      <c r="A64" s="274">
        <v>59</v>
      </c>
      <c r="B64" s="275" t="s">
        <v>552</v>
      </c>
      <c r="C64" s="276" t="s">
        <v>39</v>
      </c>
      <c r="D64" s="276" t="s">
        <v>12</v>
      </c>
      <c r="E64" s="277">
        <f>COUNT(G64:R64)-COUNT(#REF!)</f>
        <v>11</v>
      </c>
      <c r="F64" s="296"/>
      <c r="G64" s="280">
        <v>4078599.5599999996</v>
      </c>
      <c r="H64" s="280">
        <v>3846126.56</v>
      </c>
      <c r="I64" s="280">
        <v>4041442.5599999996</v>
      </c>
      <c r="J64" s="280">
        <v>3948329.56</v>
      </c>
      <c r="K64" s="280">
        <v>3981942.56</v>
      </c>
      <c r="L64" s="280">
        <v>3813559.56</v>
      </c>
      <c r="M64" s="280">
        <v>4049166.5599999996</v>
      </c>
      <c r="N64" s="280">
        <v>3139709.56</v>
      </c>
      <c r="O64" s="280">
        <v>3891988.56</v>
      </c>
      <c r="P64" s="280">
        <v>3813559.56</v>
      </c>
      <c r="Q64" s="279">
        <v>3817060.16</v>
      </c>
      <c r="R64" s="300"/>
      <c r="S64" s="281">
        <f t="shared" si="3"/>
        <v>42421484.760000005</v>
      </c>
      <c r="T64" s="497"/>
      <c r="U64" s="279">
        <v>200000</v>
      </c>
      <c r="V64" s="279"/>
      <c r="W64" s="299">
        <f t="shared" si="0"/>
        <v>42621484.760000005</v>
      </c>
      <c r="X64" s="277" t="b">
        <f t="shared" si="7"/>
        <v>0</v>
      </c>
      <c r="Y64" s="299">
        <f t="shared" si="8"/>
        <v>0</v>
      </c>
    </row>
    <row r="65" spans="1:25">
      <c r="A65" s="274">
        <v>60</v>
      </c>
      <c r="B65" s="275" t="s">
        <v>553</v>
      </c>
      <c r="C65" s="276" t="s">
        <v>39</v>
      </c>
      <c r="D65" s="276" t="s">
        <v>7</v>
      </c>
      <c r="E65" s="277">
        <f>COUNT(G65:R65)-COUNT(#REF!)</f>
        <v>11</v>
      </c>
      <c r="F65" s="296"/>
      <c r="G65" s="280">
        <v>3994599.56</v>
      </c>
      <c r="H65" s="280">
        <v>3731659.56</v>
      </c>
      <c r="I65" s="280">
        <v>3994599.56</v>
      </c>
      <c r="J65" s="280">
        <v>3994599.56</v>
      </c>
      <c r="K65" s="280">
        <v>4126069.5599999996</v>
      </c>
      <c r="L65" s="280">
        <v>3863129.56</v>
      </c>
      <c r="M65" s="280">
        <v>4126070.3600000003</v>
      </c>
      <c r="N65" s="280">
        <v>4126070.3600000003</v>
      </c>
      <c r="O65" s="280">
        <v>3863130.36</v>
      </c>
      <c r="P65" s="280">
        <v>3994600.36</v>
      </c>
      <c r="Q65" s="279">
        <v>3731660.36</v>
      </c>
      <c r="R65" s="300"/>
      <c r="S65" s="281">
        <f t="shared" si="3"/>
        <v>43546189.159999996</v>
      </c>
      <c r="T65" s="279">
        <v>3994600</v>
      </c>
      <c r="U65" s="279">
        <v>200000</v>
      </c>
      <c r="V65" s="279"/>
      <c r="W65" s="299">
        <f t="shared" si="0"/>
        <v>47740789.159999996</v>
      </c>
      <c r="X65" s="277" t="b">
        <f t="shared" si="7"/>
        <v>0</v>
      </c>
      <c r="Y65" s="299">
        <f t="shared" si="8"/>
        <v>0</v>
      </c>
    </row>
    <row r="66" spans="1:25">
      <c r="A66" s="274">
        <v>61</v>
      </c>
      <c r="B66" s="275" t="s">
        <v>554</v>
      </c>
      <c r="C66" s="276" t="s">
        <v>38</v>
      </c>
      <c r="D66" s="276" t="s">
        <v>7</v>
      </c>
      <c r="E66" s="277">
        <f>COUNT(G66:R66)-COUNT(#REF!)</f>
        <v>11</v>
      </c>
      <c r="F66" s="296"/>
      <c r="G66" s="280">
        <v>3859629.56</v>
      </c>
      <c r="H66" s="280">
        <v>3465219.56</v>
      </c>
      <c r="I66" s="280">
        <v>3596689.56</v>
      </c>
      <c r="J66" s="280">
        <v>3728159.56</v>
      </c>
      <c r="K66" s="280">
        <v>3859629.56</v>
      </c>
      <c r="L66" s="280">
        <v>3728159.56</v>
      </c>
      <c r="M66" s="280">
        <v>3465219.76</v>
      </c>
      <c r="N66" s="280">
        <v>3728159.76</v>
      </c>
      <c r="O66" s="280">
        <v>3728159.76</v>
      </c>
      <c r="P66" s="280">
        <v>3863130.36</v>
      </c>
      <c r="Q66" s="279">
        <v>3731660.36</v>
      </c>
      <c r="R66" s="300"/>
      <c r="S66" s="281">
        <f t="shared" si="3"/>
        <v>40753817.359999992</v>
      </c>
      <c r="T66" s="279">
        <v>3991100</v>
      </c>
      <c r="U66" s="279">
        <v>200000</v>
      </c>
      <c r="V66" s="279"/>
      <c r="W66" s="299">
        <f t="shared" si="0"/>
        <v>44944917.359999992</v>
      </c>
      <c r="X66" s="277" t="b">
        <f t="shared" si="7"/>
        <v>0</v>
      </c>
      <c r="Y66" s="299">
        <f t="shared" si="8"/>
        <v>0</v>
      </c>
    </row>
    <row r="67" spans="1:25">
      <c r="A67" s="274">
        <v>62</v>
      </c>
      <c r="B67" s="275" t="s">
        <v>555</v>
      </c>
      <c r="C67" s="276" t="s">
        <v>38</v>
      </c>
      <c r="D67" s="276" t="s">
        <v>7</v>
      </c>
      <c r="E67" s="277">
        <f>COUNT(G67:R67)-COUNT(#REF!)</f>
        <v>11</v>
      </c>
      <c r="F67" s="296"/>
      <c r="G67" s="280">
        <v>3849129.56</v>
      </c>
      <c r="H67" s="280">
        <v>3323249.56</v>
      </c>
      <c r="I67" s="280">
        <v>3849129.56</v>
      </c>
      <c r="J67" s="280">
        <v>3717659.56</v>
      </c>
      <c r="K67" s="280">
        <v>3849129.56</v>
      </c>
      <c r="L67" s="280">
        <v>3717659.56</v>
      </c>
      <c r="M67" s="280">
        <v>3849129.96</v>
      </c>
      <c r="N67" s="280">
        <v>3849129.96</v>
      </c>
      <c r="O67" s="280">
        <v>3717659.96</v>
      </c>
      <c r="P67" s="280">
        <v>3849129.96</v>
      </c>
      <c r="Q67" s="279">
        <v>3852629.56</v>
      </c>
      <c r="R67" s="300"/>
      <c r="S67" s="281">
        <f t="shared" si="3"/>
        <v>41423636.760000005</v>
      </c>
      <c r="T67" s="279">
        <v>3980600</v>
      </c>
      <c r="U67" s="279">
        <v>200000</v>
      </c>
      <c r="V67" s="279"/>
      <c r="W67" s="299">
        <f t="shared" si="0"/>
        <v>45604236.760000005</v>
      </c>
      <c r="X67" s="277" t="b">
        <f t="shared" si="7"/>
        <v>0</v>
      </c>
      <c r="Y67" s="299">
        <f t="shared" si="8"/>
        <v>0</v>
      </c>
    </row>
    <row r="68" spans="1:25">
      <c r="A68" s="274">
        <v>63</v>
      </c>
      <c r="B68" s="275" t="s">
        <v>556</v>
      </c>
      <c r="C68" s="276" t="s">
        <v>39</v>
      </c>
      <c r="D68" s="276" t="s">
        <v>11</v>
      </c>
      <c r="E68" s="277">
        <f>COUNT(G68:R68)-COUNT(#REF!)</f>
        <v>11</v>
      </c>
      <c r="F68" s="296"/>
      <c r="G68" s="280">
        <v>4223719.5599999996</v>
      </c>
      <c r="H68" s="280">
        <v>3824059.56</v>
      </c>
      <c r="I68" s="280">
        <v>4093599.5599999996</v>
      </c>
      <c r="J68" s="280">
        <v>4093599.5599999996</v>
      </c>
      <c r="K68" s="280">
        <v>4093599.5599999996</v>
      </c>
      <c r="L68" s="280">
        <v>3958829.56</v>
      </c>
      <c r="M68" s="280">
        <v>4228370.3600000003</v>
      </c>
      <c r="N68" s="280">
        <v>4228370.3600000003</v>
      </c>
      <c r="O68" s="280">
        <v>3958830.36</v>
      </c>
      <c r="P68" s="280">
        <v>4228370.3600000003</v>
      </c>
      <c r="Q68" s="279">
        <v>3958830.36</v>
      </c>
      <c r="R68" s="300"/>
      <c r="S68" s="281">
        <f t="shared" si="3"/>
        <v>44890179.159999996</v>
      </c>
      <c r="T68" s="279">
        <v>4093600</v>
      </c>
      <c r="U68" s="279">
        <v>600000</v>
      </c>
      <c r="V68" s="279"/>
      <c r="W68" s="299">
        <f t="shared" si="0"/>
        <v>49583779.159999996</v>
      </c>
      <c r="X68" s="277" t="b">
        <f t="shared" si="7"/>
        <v>0</v>
      </c>
      <c r="Y68" s="299">
        <f t="shared" si="8"/>
        <v>0</v>
      </c>
    </row>
    <row r="69" spans="1:25">
      <c r="A69" s="274">
        <v>64</v>
      </c>
      <c r="B69" s="275" t="s">
        <v>557</v>
      </c>
      <c r="C69" s="276" t="s">
        <v>39</v>
      </c>
      <c r="D69" s="276" t="s">
        <v>7</v>
      </c>
      <c r="E69" s="277">
        <f>COUNT(G69:R69)-COUNT(#REF!)</f>
        <v>8</v>
      </c>
      <c r="F69" s="296"/>
      <c r="G69" s="280">
        <v>4078069.5599999996</v>
      </c>
      <c r="H69" s="280">
        <v>3683659.56</v>
      </c>
      <c r="I69" s="280">
        <v>4078069.5599999996</v>
      </c>
      <c r="J69" s="280">
        <v>3949099.56</v>
      </c>
      <c r="K69" s="280">
        <v>4080569.5599999996</v>
      </c>
      <c r="L69" s="280">
        <v>3949099.56</v>
      </c>
      <c r="M69" s="280">
        <v>4114182.5599999996</v>
      </c>
      <c r="N69" s="280">
        <v>2765869.56</v>
      </c>
      <c r="O69" s="498"/>
      <c r="P69" s="498"/>
      <c r="Q69" s="497"/>
      <c r="R69" s="501"/>
      <c r="S69" s="281">
        <f t="shared" si="3"/>
        <v>30698619.479999997</v>
      </c>
      <c r="T69" s="279">
        <v>3946600</v>
      </c>
      <c r="U69" s="279">
        <v>200000</v>
      </c>
      <c r="V69" s="279"/>
      <c r="W69" s="299">
        <f t="shared" si="0"/>
        <v>34845219.479999997</v>
      </c>
      <c r="X69" s="277" t="b">
        <f t="shared" si="7"/>
        <v>0</v>
      </c>
      <c r="Y69" s="299">
        <f t="shared" si="8"/>
        <v>0</v>
      </c>
    </row>
    <row r="70" spans="1:25">
      <c r="A70" s="274">
        <v>65</v>
      </c>
      <c r="B70" s="275" t="s">
        <v>558</v>
      </c>
      <c r="C70" s="276" t="s">
        <v>39</v>
      </c>
      <c r="D70" s="276" t="s">
        <v>11</v>
      </c>
      <c r="E70" s="277">
        <f>COUNT(G70:R70)-COUNT(#REF!)</f>
        <v>11</v>
      </c>
      <c r="F70" s="296"/>
      <c r="G70" s="280">
        <v>6506851.5599999996</v>
      </c>
      <c r="H70" s="280">
        <v>5974101.5599999996</v>
      </c>
      <c r="I70" s="280">
        <v>5900851.5599999996</v>
      </c>
      <c r="J70" s="280">
        <v>5275146.5599999996</v>
      </c>
      <c r="K70" s="280">
        <v>5742308.5599999996</v>
      </c>
      <c r="L70" s="280">
        <v>5610636.5599999996</v>
      </c>
      <c r="M70" s="280">
        <v>5996783.3600000003</v>
      </c>
      <c r="N70" s="280">
        <v>4035830.36</v>
      </c>
      <c r="O70" s="280">
        <v>4042830.3600000003</v>
      </c>
      <c r="P70" s="280">
        <v>4218212.3600000003</v>
      </c>
      <c r="Q70" s="279">
        <v>4032330.36</v>
      </c>
      <c r="R70" s="300"/>
      <c r="S70" s="281">
        <f t="shared" si="3"/>
        <v>57335883.159999996</v>
      </c>
      <c r="T70" s="279">
        <v>4090100</v>
      </c>
      <c r="U70" s="279">
        <v>200000</v>
      </c>
      <c r="V70" s="279"/>
      <c r="W70" s="299">
        <f t="shared" si="0"/>
        <v>61625983.159999996</v>
      </c>
      <c r="X70" s="277" t="b">
        <f t="shared" si="7"/>
        <v>0</v>
      </c>
      <c r="Y70" s="299">
        <f t="shared" si="8"/>
        <v>0</v>
      </c>
    </row>
    <row r="71" spans="1:25">
      <c r="A71" s="274">
        <v>66</v>
      </c>
      <c r="B71" s="275" t="s">
        <v>559</v>
      </c>
      <c r="C71" s="276" t="s">
        <v>39</v>
      </c>
      <c r="D71" s="276" t="s">
        <v>9</v>
      </c>
      <c r="E71" s="277">
        <f>COUNT(G71:R71)-COUNT(#REF!)</f>
        <v>11</v>
      </c>
      <c r="F71" s="296"/>
      <c r="G71" s="280">
        <v>6486499.5599999996</v>
      </c>
      <c r="H71" s="280">
        <v>6150830.5599999996</v>
      </c>
      <c r="I71" s="280">
        <v>5988771.5599999996</v>
      </c>
      <c r="J71" s="280">
        <v>5187108.5599999996</v>
      </c>
      <c r="K71" s="280">
        <v>5737757.5599999996</v>
      </c>
      <c r="L71" s="280">
        <v>5504880.5599999996</v>
      </c>
      <c r="M71" s="280">
        <v>5844968.3600000003</v>
      </c>
      <c r="N71" s="280">
        <v>4251520.3600000003</v>
      </c>
      <c r="O71" s="280">
        <v>4115600.3600000003</v>
      </c>
      <c r="P71" s="280">
        <v>4254020.3600000003</v>
      </c>
      <c r="Q71" s="279">
        <v>4115600.3600000003</v>
      </c>
      <c r="R71" s="300"/>
      <c r="S71" s="281">
        <f t="shared" si="3"/>
        <v>57637558.159999996</v>
      </c>
      <c r="T71" s="279">
        <v>4053100</v>
      </c>
      <c r="U71" s="279">
        <v>600000</v>
      </c>
      <c r="V71" s="279"/>
      <c r="W71" s="299">
        <f t="shared" si="0"/>
        <v>62290658.159999996</v>
      </c>
      <c r="X71" s="277" t="b">
        <f t="shared" si="7"/>
        <v>0</v>
      </c>
      <c r="Y71" s="299">
        <f t="shared" si="8"/>
        <v>0</v>
      </c>
    </row>
    <row r="72" spans="1:25">
      <c r="A72" s="274">
        <v>67</v>
      </c>
      <c r="B72" s="275" t="s">
        <v>416</v>
      </c>
      <c r="C72" s="276" t="s">
        <v>39</v>
      </c>
      <c r="D72" s="276" t="s">
        <v>11</v>
      </c>
      <c r="E72" s="277">
        <f>COUNT(G72:R72)-COUNT(#REF!)</f>
        <v>11</v>
      </c>
      <c r="F72" s="296"/>
      <c r="G72" s="280">
        <v>4302147.5599999996</v>
      </c>
      <c r="H72" s="280">
        <v>3891284.56</v>
      </c>
      <c r="I72" s="280">
        <v>4267614.5599999996</v>
      </c>
      <c r="J72" s="280">
        <v>4597057.5599999996</v>
      </c>
      <c r="K72" s="280">
        <v>5179285.5599999996</v>
      </c>
      <c r="L72" s="280">
        <v>6017099.5599999996</v>
      </c>
      <c r="M72" s="280">
        <v>5142211.3600000003</v>
      </c>
      <c r="N72" s="280">
        <v>4856560.3600000003</v>
      </c>
      <c r="O72" s="280">
        <v>4906830.3600000003</v>
      </c>
      <c r="P72" s="280">
        <v>5309036.3600000003</v>
      </c>
      <c r="Q72" s="279">
        <v>5238100.3600000003</v>
      </c>
      <c r="R72" s="300"/>
      <c r="S72" s="281">
        <f t="shared" si="3"/>
        <v>53707228.159999996</v>
      </c>
      <c r="T72" s="279">
        <v>4093600</v>
      </c>
      <c r="U72" s="279">
        <v>200000</v>
      </c>
      <c r="V72" s="279"/>
      <c r="W72" s="299">
        <f t="shared" si="0"/>
        <v>58000828.159999996</v>
      </c>
      <c r="X72" s="277" t="b">
        <f t="shared" si="7"/>
        <v>0</v>
      </c>
      <c r="Y72" s="299">
        <f t="shared" si="8"/>
        <v>0</v>
      </c>
    </row>
    <row r="73" spans="1:25">
      <c r="A73" s="274">
        <v>68</v>
      </c>
      <c r="B73" s="275" t="s">
        <v>560</v>
      </c>
      <c r="C73" s="276" t="s">
        <v>39</v>
      </c>
      <c r="D73" s="276" t="s">
        <v>7</v>
      </c>
      <c r="E73" s="277">
        <f>COUNT(G73:R73)-COUNT(#REF!)</f>
        <v>11</v>
      </c>
      <c r="F73" s="296"/>
      <c r="G73" s="280">
        <v>4187609.5599999996</v>
      </c>
      <c r="H73" s="280">
        <v>3748384.56</v>
      </c>
      <c r="I73" s="280">
        <v>4267997.5599999996</v>
      </c>
      <c r="J73" s="280">
        <v>4425332.5599999996</v>
      </c>
      <c r="K73" s="280">
        <v>4959669.5599999996</v>
      </c>
      <c r="L73" s="280">
        <v>5746599.5599999996</v>
      </c>
      <c r="M73" s="280">
        <v>5249180.5599999996</v>
      </c>
      <c r="N73" s="280">
        <v>5323262.5599999996</v>
      </c>
      <c r="O73" s="280">
        <v>5538099.5599999996</v>
      </c>
      <c r="P73" s="280">
        <v>5467792.5599999996</v>
      </c>
      <c r="Q73" s="279">
        <v>5497129.5599999996</v>
      </c>
      <c r="R73" s="300"/>
      <c r="S73" s="281">
        <f t="shared" si="3"/>
        <v>54411058.160000004</v>
      </c>
      <c r="T73" s="279">
        <v>1972050</v>
      </c>
      <c r="U73" s="279">
        <v>150000</v>
      </c>
      <c r="V73" s="279"/>
      <c r="W73" s="299">
        <f t="shared" si="0"/>
        <v>56533108.160000004</v>
      </c>
      <c r="X73" s="277" t="b">
        <f t="shared" si="7"/>
        <v>0</v>
      </c>
      <c r="Y73" s="299">
        <f t="shared" si="8"/>
        <v>0</v>
      </c>
    </row>
    <row r="74" spans="1:25">
      <c r="A74" s="274">
        <v>69</v>
      </c>
      <c r="B74" s="275" t="s">
        <v>523</v>
      </c>
      <c r="C74" s="276" t="s">
        <v>39</v>
      </c>
      <c r="D74" s="276" t="s">
        <v>11</v>
      </c>
      <c r="E74" s="277">
        <f>COUNT(G74:R74)-COUNT(#REF!)</f>
        <v>11</v>
      </c>
      <c r="F74" s="296"/>
      <c r="G74" s="280">
        <v>4059599.5599999996</v>
      </c>
      <c r="H74" s="280">
        <v>3684289.56</v>
      </c>
      <c r="I74" s="280">
        <v>3944579.56</v>
      </c>
      <c r="J74" s="280">
        <v>3813309.56</v>
      </c>
      <c r="K74" s="280">
        <v>3691113.56</v>
      </c>
      <c r="L74" s="280">
        <v>3631461.56</v>
      </c>
      <c r="M74" s="280">
        <v>3645409.96</v>
      </c>
      <c r="N74" s="280">
        <v>4066471.96</v>
      </c>
      <c r="O74" s="280">
        <v>4064057.96</v>
      </c>
      <c r="P74" s="280">
        <v>3579910.96</v>
      </c>
      <c r="Q74" s="279">
        <v>4002051.96</v>
      </c>
      <c r="R74" s="300"/>
      <c r="S74" s="281">
        <f t="shared" si="3"/>
        <v>42182256.160000004</v>
      </c>
      <c r="T74" s="279">
        <v>4067100</v>
      </c>
      <c r="U74" s="279">
        <v>200000</v>
      </c>
      <c r="V74" s="279"/>
      <c r="W74" s="299">
        <f t="shared" si="0"/>
        <v>46449356.160000004</v>
      </c>
      <c r="X74" s="277" t="b">
        <f t="shared" si="7"/>
        <v>0</v>
      </c>
      <c r="Y74" s="299">
        <f t="shared" si="8"/>
        <v>0</v>
      </c>
    </row>
    <row r="75" spans="1:25">
      <c r="A75" s="274">
        <v>70</v>
      </c>
      <c r="B75" s="275" t="s">
        <v>561</v>
      </c>
      <c r="C75" s="276" t="s">
        <v>39</v>
      </c>
      <c r="D75" s="276" t="s">
        <v>11</v>
      </c>
      <c r="E75" s="277">
        <f>COUNT(G75:R75)-COUNT(#REF!)</f>
        <v>11</v>
      </c>
      <c r="F75" s="296"/>
      <c r="G75" s="280">
        <v>4065749.5599999996</v>
      </c>
      <c r="H75" s="280">
        <v>3550769.56</v>
      </c>
      <c r="I75" s="280">
        <v>4112599.5599999996</v>
      </c>
      <c r="J75" s="280">
        <v>3967329.56</v>
      </c>
      <c r="K75" s="280">
        <v>3908165.56</v>
      </c>
      <c r="L75" s="280">
        <v>3824559.56</v>
      </c>
      <c r="M75" s="280">
        <v>3920819.96</v>
      </c>
      <c r="N75" s="280">
        <v>4559081.96</v>
      </c>
      <c r="O75" s="280">
        <v>4451201.96</v>
      </c>
      <c r="P75" s="280">
        <v>3751243.96</v>
      </c>
      <c r="Q75" s="279">
        <v>4309631.76</v>
      </c>
      <c r="R75" s="300"/>
      <c r="S75" s="281">
        <f t="shared" si="3"/>
        <v>44421152.960000001</v>
      </c>
      <c r="T75" s="279">
        <v>4067100</v>
      </c>
      <c r="U75" s="279">
        <v>200000</v>
      </c>
      <c r="V75" s="279"/>
      <c r="W75" s="299">
        <f t="shared" si="0"/>
        <v>48688252.960000001</v>
      </c>
      <c r="X75" s="277" t="b">
        <f t="shared" si="7"/>
        <v>0</v>
      </c>
      <c r="Y75" s="299">
        <f t="shared" si="8"/>
        <v>0</v>
      </c>
    </row>
    <row r="76" spans="1:25">
      <c r="A76" s="274">
        <v>71</v>
      </c>
      <c r="B76" s="275" t="s">
        <v>562</v>
      </c>
      <c r="C76" s="276" t="s">
        <v>39</v>
      </c>
      <c r="D76" s="276" t="s">
        <v>11</v>
      </c>
      <c r="E76" s="277">
        <f>COUNT(G76:R76)-COUNT(#REF!)</f>
        <v>7</v>
      </c>
      <c r="F76" s="296"/>
      <c r="G76" s="280">
        <v>4207719.5599999996</v>
      </c>
      <c r="H76" s="280">
        <v>3717039.56</v>
      </c>
      <c r="I76" s="280">
        <v>4107349.5599999996</v>
      </c>
      <c r="J76" s="280">
        <v>3829059.56</v>
      </c>
      <c r="K76" s="280">
        <v>3649131.56</v>
      </c>
      <c r="L76" s="280">
        <v>3221527.56</v>
      </c>
      <c r="M76" s="280">
        <v>921669.96</v>
      </c>
      <c r="N76" s="498"/>
      <c r="O76" s="498"/>
      <c r="P76" s="498"/>
      <c r="Q76" s="497"/>
      <c r="R76" s="501"/>
      <c r="S76" s="281">
        <f t="shared" si="3"/>
        <v>23653497.32</v>
      </c>
      <c r="T76" s="279">
        <v>4067100</v>
      </c>
      <c r="U76" s="279">
        <v>200000</v>
      </c>
      <c r="V76" s="279"/>
      <c r="W76" s="299">
        <f t="shared" si="0"/>
        <v>27920597.32</v>
      </c>
      <c r="X76" s="277" t="b">
        <f t="shared" si="7"/>
        <v>0</v>
      </c>
      <c r="Y76" s="299">
        <f t="shared" si="8"/>
        <v>0</v>
      </c>
    </row>
    <row r="77" spans="1:25">
      <c r="A77" s="274">
        <v>72</v>
      </c>
      <c r="B77" s="275" t="s">
        <v>563</v>
      </c>
      <c r="C77" s="276" t="s">
        <v>39</v>
      </c>
      <c r="D77" s="276" t="s">
        <v>9</v>
      </c>
      <c r="E77" s="277">
        <f>COUNT(G77:R77)-COUNT(#REF!)</f>
        <v>11</v>
      </c>
      <c r="F77" s="296"/>
      <c r="G77" s="280">
        <v>4035749.56</v>
      </c>
      <c r="H77" s="280">
        <v>3800859.56</v>
      </c>
      <c r="I77" s="280">
        <v>4201969.5599999996</v>
      </c>
      <c r="J77" s="280">
        <v>3944729.56</v>
      </c>
      <c r="K77" s="280">
        <v>3948062.56</v>
      </c>
      <c r="L77" s="280">
        <v>3675396.56</v>
      </c>
      <c r="M77" s="280">
        <v>4039219.96</v>
      </c>
      <c r="N77" s="280">
        <v>4670199.96</v>
      </c>
      <c r="O77" s="280">
        <v>4689369.96</v>
      </c>
      <c r="P77" s="280">
        <v>4368897.96</v>
      </c>
      <c r="Q77" s="279">
        <v>4900226.96</v>
      </c>
      <c r="R77" s="300"/>
      <c r="S77" s="281">
        <f t="shared" si="3"/>
        <v>46274682.160000004</v>
      </c>
      <c r="T77" s="279">
        <v>4040100</v>
      </c>
      <c r="U77" s="279">
        <v>200000</v>
      </c>
      <c r="V77" s="279"/>
      <c r="W77" s="299">
        <f t="shared" si="0"/>
        <v>50514782.160000004</v>
      </c>
      <c r="X77" s="277" t="b">
        <f t="shared" si="7"/>
        <v>0</v>
      </c>
      <c r="Y77" s="299">
        <f t="shared" si="8"/>
        <v>0</v>
      </c>
    </row>
    <row r="78" spans="1:25">
      <c r="A78" s="274">
        <v>73</v>
      </c>
      <c r="B78" s="275" t="s">
        <v>412</v>
      </c>
      <c r="C78" s="276" t="s">
        <v>39</v>
      </c>
      <c r="D78" s="276" t="s">
        <v>17</v>
      </c>
      <c r="E78" s="277">
        <f>COUNT(G78:R78)-COUNT(#REF!)</f>
        <v>11</v>
      </c>
      <c r="F78" s="296"/>
      <c r="G78" s="280">
        <v>3889229.56</v>
      </c>
      <c r="H78" s="280">
        <v>3524469.56</v>
      </c>
      <c r="I78" s="280">
        <v>4049099.5599999996</v>
      </c>
      <c r="J78" s="280">
        <v>3791159.56</v>
      </c>
      <c r="K78" s="280">
        <v>4013239.56</v>
      </c>
      <c r="L78" s="280">
        <v>3298732.56</v>
      </c>
      <c r="M78" s="280">
        <v>3671009.96</v>
      </c>
      <c r="N78" s="280">
        <v>4201306.96</v>
      </c>
      <c r="O78" s="280">
        <v>3959347.96</v>
      </c>
      <c r="P78" s="280">
        <v>3735547.96</v>
      </c>
      <c r="Q78" s="279">
        <v>4242976.96</v>
      </c>
      <c r="R78" s="300"/>
      <c r="S78" s="281">
        <f t="shared" si="3"/>
        <v>42376120.160000004</v>
      </c>
      <c r="T78" s="279">
        <v>4024600</v>
      </c>
      <c r="U78" s="279">
        <v>200000</v>
      </c>
      <c r="V78" s="279"/>
      <c r="W78" s="299">
        <f t="shared" si="0"/>
        <v>46600720.160000004</v>
      </c>
      <c r="X78" s="277" t="b">
        <f t="shared" si="7"/>
        <v>0</v>
      </c>
      <c r="Y78" s="299">
        <f t="shared" si="8"/>
        <v>0</v>
      </c>
    </row>
    <row r="79" spans="1:25">
      <c r="A79" s="274">
        <v>74</v>
      </c>
      <c r="B79" s="275" t="s">
        <v>565</v>
      </c>
      <c r="C79" s="276" t="s">
        <v>39</v>
      </c>
      <c r="D79" s="276" t="s">
        <v>9</v>
      </c>
      <c r="E79" s="277">
        <f>COUNT(G79:R79)-COUNT(#REF!)</f>
        <v>11</v>
      </c>
      <c r="F79" s="296"/>
      <c r="G79" s="280">
        <v>4046849.5599999996</v>
      </c>
      <c r="H79" s="280">
        <v>3680739.56</v>
      </c>
      <c r="I79" s="280">
        <v>4089349.5599999996</v>
      </c>
      <c r="J79" s="280">
        <v>4080599.5599999996</v>
      </c>
      <c r="K79" s="280">
        <v>3791028.56</v>
      </c>
      <c r="L79" s="280">
        <v>3386390.56</v>
      </c>
      <c r="M79" s="280">
        <v>3628690.36</v>
      </c>
      <c r="N79" s="280">
        <v>3575316.36</v>
      </c>
      <c r="O79" s="280">
        <v>3527460.36</v>
      </c>
      <c r="P79" s="280">
        <v>3532194.36</v>
      </c>
      <c r="Q79" s="279">
        <v>1725653.36</v>
      </c>
      <c r="R79" s="501"/>
      <c r="S79" s="281">
        <f t="shared" si="3"/>
        <v>39064272.159999996</v>
      </c>
      <c r="T79" s="279">
        <v>4049100</v>
      </c>
      <c r="U79" s="279">
        <v>200000</v>
      </c>
      <c r="V79" s="279"/>
      <c r="W79" s="299">
        <f t="shared" si="0"/>
        <v>43313372.159999996</v>
      </c>
      <c r="X79" s="277" t="b">
        <f t="shared" si="7"/>
        <v>0</v>
      </c>
      <c r="Y79" s="299">
        <f t="shared" si="8"/>
        <v>0</v>
      </c>
    </row>
    <row r="80" spans="1:25">
      <c r="A80" s="274">
        <v>75</v>
      </c>
      <c r="B80" s="275" t="s">
        <v>566</v>
      </c>
      <c r="C80" s="276" t="s">
        <v>39</v>
      </c>
      <c r="D80" s="276" t="s">
        <v>11</v>
      </c>
      <c r="E80" s="277">
        <f>COUNT(G80:R80)-COUNT(#REF!)</f>
        <v>11</v>
      </c>
      <c r="F80" s="296"/>
      <c r="G80" s="280">
        <v>4096449.5599999996</v>
      </c>
      <c r="H80" s="280">
        <v>3596519.56</v>
      </c>
      <c r="I80" s="280">
        <v>4298369.5599999996</v>
      </c>
      <c r="J80" s="280">
        <v>4042829.5599999996</v>
      </c>
      <c r="K80" s="280">
        <v>4032534.56</v>
      </c>
      <c r="L80" s="280">
        <v>3767572.56</v>
      </c>
      <c r="M80" s="280">
        <v>3868529.96</v>
      </c>
      <c r="N80" s="280">
        <v>4421042.96</v>
      </c>
      <c r="O80" s="280">
        <v>4422560.96</v>
      </c>
      <c r="P80" s="280">
        <v>4248686.96</v>
      </c>
      <c r="Q80" s="279">
        <v>4528871.96</v>
      </c>
      <c r="R80" s="300"/>
      <c r="S80" s="281">
        <f t="shared" si="3"/>
        <v>45323968.159999996</v>
      </c>
      <c r="T80" s="279">
        <v>4093600</v>
      </c>
      <c r="U80" s="279">
        <v>200000</v>
      </c>
      <c r="V80" s="279"/>
      <c r="W80" s="299">
        <f t="shared" si="0"/>
        <v>49617568.159999996</v>
      </c>
      <c r="X80" s="277" t="b">
        <f t="shared" si="7"/>
        <v>0</v>
      </c>
      <c r="Y80" s="299">
        <f t="shared" si="8"/>
        <v>0</v>
      </c>
    </row>
    <row r="81" spans="1:25">
      <c r="A81" s="274">
        <v>76</v>
      </c>
      <c r="B81" s="275" t="s">
        <v>567</v>
      </c>
      <c r="C81" s="276" t="s">
        <v>39</v>
      </c>
      <c r="D81" s="276" t="s">
        <v>9</v>
      </c>
      <c r="E81" s="277">
        <f>COUNT(G81:R81)-COUNT(#REF!)</f>
        <v>11</v>
      </c>
      <c r="F81" s="296"/>
      <c r="G81" s="280">
        <v>4076799.5599999996</v>
      </c>
      <c r="H81" s="280">
        <v>3874109.56</v>
      </c>
      <c r="I81" s="280">
        <v>4279219.5599999996</v>
      </c>
      <c r="J81" s="280">
        <v>4120349.5599999996</v>
      </c>
      <c r="K81" s="280">
        <v>3886402.56</v>
      </c>
      <c r="L81" s="280">
        <v>3754574.56</v>
      </c>
      <c r="M81" s="280">
        <v>4073100.3600000003</v>
      </c>
      <c r="N81" s="280">
        <v>4073100.3600000003</v>
      </c>
      <c r="O81" s="280">
        <v>3940180.36</v>
      </c>
      <c r="P81" s="280">
        <v>4206020.3600000003</v>
      </c>
      <c r="Q81" s="279">
        <v>3940180.36</v>
      </c>
      <c r="R81" s="300"/>
      <c r="S81" s="281">
        <f t="shared" si="3"/>
        <v>44224037.159999996</v>
      </c>
      <c r="T81" s="279">
        <v>4101600</v>
      </c>
      <c r="U81" s="279">
        <v>200000</v>
      </c>
      <c r="V81" s="279"/>
      <c r="W81" s="299">
        <f t="shared" si="0"/>
        <v>48525637.159999996</v>
      </c>
      <c r="X81" s="277" t="b">
        <f t="shared" si="7"/>
        <v>0</v>
      </c>
      <c r="Y81" s="299">
        <f t="shared" si="8"/>
        <v>0</v>
      </c>
    </row>
    <row r="82" spans="1:25">
      <c r="A82" s="274">
        <v>77</v>
      </c>
      <c r="B82" s="275" t="s">
        <v>568</v>
      </c>
      <c r="C82" s="276" t="s">
        <v>39</v>
      </c>
      <c r="D82" s="276" t="s">
        <v>11</v>
      </c>
      <c r="E82" s="277">
        <f>COUNT(G82:R82)-COUNT(#REF!)</f>
        <v>11</v>
      </c>
      <c r="F82" s="296"/>
      <c r="G82" s="280">
        <v>4225469.5599999996</v>
      </c>
      <c r="H82" s="280">
        <v>3852059.56</v>
      </c>
      <c r="I82" s="280">
        <v>4007829.56</v>
      </c>
      <c r="J82" s="280">
        <v>4007829.56</v>
      </c>
      <c r="K82" s="280">
        <v>4179104.5599999996</v>
      </c>
      <c r="L82" s="280">
        <v>3366704.56</v>
      </c>
      <c r="M82" s="280">
        <v>3866876.36</v>
      </c>
      <c r="N82" s="280">
        <v>4310454.3600000003</v>
      </c>
      <c r="O82" s="280">
        <v>4166280.3600000003</v>
      </c>
      <c r="P82" s="280">
        <v>3977445.36</v>
      </c>
      <c r="Q82" s="279">
        <v>4377204.3600000003</v>
      </c>
      <c r="R82" s="300"/>
      <c r="S82" s="281">
        <f t="shared" si="3"/>
        <v>44337258.159999996</v>
      </c>
      <c r="T82" s="279">
        <v>4090100</v>
      </c>
      <c r="U82" s="279">
        <v>200000</v>
      </c>
      <c r="V82" s="279"/>
      <c r="W82" s="299">
        <f t="shared" si="0"/>
        <v>48627358.159999996</v>
      </c>
      <c r="X82" s="277" t="b">
        <f t="shared" si="7"/>
        <v>0</v>
      </c>
      <c r="Y82" s="299">
        <f t="shared" si="8"/>
        <v>0</v>
      </c>
    </row>
    <row r="83" spans="1:25">
      <c r="A83" s="274">
        <v>78</v>
      </c>
      <c r="B83" s="275" t="s">
        <v>569</v>
      </c>
      <c r="C83" s="276" t="s">
        <v>39</v>
      </c>
      <c r="D83" s="276" t="s">
        <v>11</v>
      </c>
      <c r="E83" s="277">
        <f>COUNT(G83:R83)-COUNT(#REF!)</f>
        <v>10</v>
      </c>
      <c r="F83" s="296"/>
      <c r="G83" s="280">
        <v>4064699.5599999996</v>
      </c>
      <c r="H83" s="280">
        <v>3668039.56</v>
      </c>
      <c r="I83" s="280">
        <v>4082849.5599999996</v>
      </c>
      <c r="J83" s="280">
        <v>3814559.56</v>
      </c>
      <c r="K83" s="280">
        <v>3712052.56</v>
      </c>
      <c r="L83" s="280">
        <v>3203215.56</v>
      </c>
      <c r="M83" s="280">
        <v>3411159.76</v>
      </c>
      <c r="N83" s="280">
        <v>3901206.76</v>
      </c>
      <c r="O83" s="280">
        <v>3593015.76</v>
      </c>
      <c r="P83" s="280">
        <v>2596572.7599999998</v>
      </c>
      <c r="Q83" s="497"/>
      <c r="R83" s="501"/>
      <c r="S83" s="281">
        <f t="shared" si="3"/>
        <v>36047371.399999991</v>
      </c>
      <c r="T83" s="279">
        <v>4067100</v>
      </c>
      <c r="U83" s="279">
        <v>200000</v>
      </c>
      <c r="V83" s="279"/>
      <c r="W83" s="299">
        <f t="shared" si="0"/>
        <v>40314471.399999991</v>
      </c>
      <c r="X83" s="277" t="b">
        <f t="shared" si="7"/>
        <v>0</v>
      </c>
      <c r="Y83" s="299">
        <f t="shared" si="8"/>
        <v>0</v>
      </c>
    </row>
    <row r="84" spans="1:25">
      <c r="A84" s="274">
        <v>79</v>
      </c>
      <c r="B84" s="275" t="s">
        <v>570</v>
      </c>
      <c r="C84" s="276" t="s">
        <v>39</v>
      </c>
      <c r="D84" s="276" t="s">
        <v>17</v>
      </c>
      <c r="E84" s="277">
        <f>COUNT(G84:R84)-COUNT(#REF!)</f>
        <v>11</v>
      </c>
      <c r="F84" s="296"/>
      <c r="G84" s="280">
        <v>4124469.5599999996</v>
      </c>
      <c r="H84" s="280">
        <v>3766909.56</v>
      </c>
      <c r="I84" s="280">
        <v>4145069.5599999996</v>
      </c>
      <c r="J84" s="280">
        <v>4037099.56</v>
      </c>
      <c r="K84" s="280">
        <v>3993769.56</v>
      </c>
      <c r="L84" s="280">
        <v>3570066.56</v>
      </c>
      <c r="M84" s="280">
        <v>3541524.16</v>
      </c>
      <c r="N84" s="280">
        <v>4585009.96</v>
      </c>
      <c r="O84" s="530">
        <v>4456365.96</v>
      </c>
      <c r="P84" s="280">
        <v>4020391.96</v>
      </c>
      <c r="Q84" s="279">
        <v>4575480.96</v>
      </c>
      <c r="R84" s="300"/>
      <c r="S84" s="281">
        <f t="shared" si="3"/>
        <v>44816157.359999999</v>
      </c>
      <c r="T84" s="279">
        <v>3995100</v>
      </c>
      <c r="U84" s="279">
        <v>200000</v>
      </c>
      <c r="V84" s="279"/>
      <c r="W84" s="299">
        <f t="shared" si="0"/>
        <v>49011257.359999999</v>
      </c>
      <c r="X84" s="277" t="b">
        <f t="shared" si="7"/>
        <v>0</v>
      </c>
      <c r="Y84" s="299">
        <f t="shared" si="8"/>
        <v>0</v>
      </c>
    </row>
    <row r="85" spans="1:25">
      <c r="A85" s="274">
        <v>80</v>
      </c>
      <c r="B85" s="275" t="s">
        <v>571</v>
      </c>
      <c r="C85" s="276" t="s">
        <v>39</v>
      </c>
      <c r="D85" s="276" t="s">
        <v>11</v>
      </c>
      <c r="E85" s="277">
        <f>COUNT(G85:R85)-COUNT(#REF!)</f>
        <v>11</v>
      </c>
      <c r="F85" s="296"/>
      <c r="G85" s="280">
        <v>4060649.5599999996</v>
      </c>
      <c r="H85" s="280">
        <v>3549519.56</v>
      </c>
      <c r="I85" s="280">
        <v>3980079.56</v>
      </c>
      <c r="J85" s="280">
        <v>3992329.56</v>
      </c>
      <c r="K85" s="280">
        <v>3860807.56</v>
      </c>
      <c r="L85" s="280">
        <v>3618538.56</v>
      </c>
      <c r="M85" s="280">
        <v>3781960.16</v>
      </c>
      <c r="N85" s="280">
        <v>3913902.16</v>
      </c>
      <c r="O85" s="530">
        <v>3665716.16</v>
      </c>
      <c r="P85" s="280">
        <v>3638201.16</v>
      </c>
      <c r="Q85" s="279">
        <v>3657310.16</v>
      </c>
      <c r="R85" s="300"/>
      <c r="S85" s="281">
        <f t="shared" si="3"/>
        <v>41719014.159999996</v>
      </c>
      <c r="T85" s="279">
        <v>4064100</v>
      </c>
      <c r="U85" s="279">
        <v>200000</v>
      </c>
      <c r="V85" s="279"/>
      <c r="W85" s="299">
        <f t="shared" si="0"/>
        <v>45983114.159999996</v>
      </c>
      <c r="X85" s="277" t="b">
        <f t="shared" si="7"/>
        <v>0</v>
      </c>
      <c r="Y85" s="299">
        <f t="shared" si="8"/>
        <v>0</v>
      </c>
    </row>
    <row r="86" spans="1:25">
      <c r="A86" s="274">
        <v>81</v>
      </c>
      <c r="B86" s="275" t="s">
        <v>572</v>
      </c>
      <c r="C86" s="276" t="s">
        <v>39</v>
      </c>
      <c r="D86" s="276" t="s">
        <v>17</v>
      </c>
      <c r="E86" s="277">
        <f>COUNT(G86:R86)-COUNT(#REF!)</f>
        <v>11</v>
      </c>
      <c r="F86" s="296"/>
      <c r="G86" s="280">
        <v>3731409.56</v>
      </c>
      <c r="H86" s="280">
        <v>3609439.56</v>
      </c>
      <c r="I86" s="280">
        <v>3880879.56</v>
      </c>
      <c r="J86" s="280">
        <v>3764159.56</v>
      </c>
      <c r="K86" s="280">
        <v>3630718.56</v>
      </c>
      <c r="L86" s="280">
        <v>3481830.56</v>
      </c>
      <c r="M86" s="280">
        <v>3215809.76</v>
      </c>
      <c r="N86" s="280">
        <v>3912696.76</v>
      </c>
      <c r="O86" s="280">
        <v>3643293.76</v>
      </c>
      <c r="P86" s="280">
        <v>3465370.76</v>
      </c>
      <c r="Q86" s="279">
        <v>3774792.76</v>
      </c>
      <c r="R86" s="300"/>
      <c r="S86" s="281">
        <f t="shared" si="3"/>
        <v>40110401.159999989</v>
      </c>
      <c r="T86" s="279">
        <v>4001100</v>
      </c>
      <c r="U86" s="279">
        <v>200000</v>
      </c>
      <c r="V86" s="279"/>
      <c r="W86" s="299">
        <f t="shared" si="0"/>
        <v>44311501.159999989</v>
      </c>
      <c r="X86" s="277" t="b">
        <f t="shared" si="7"/>
        <v>0</v>
      </c>
      <c r="Y86" s="299">
        <f t="shared" si="8"/>
        <v>0</v>
      </c>
    </row>
    <row r="87" spans="1:25">
      <c r="A87" s="274">
        <v>82</v>
      </c>
      <c r="B87" s="275" t="s">
        <v>573</v>
      </c>
      <c r="C87" s="276" t="s">
        <v>39</v>
      </c>
      <c r="D87" s="276" t="s">
        <v>9</v>
      </c>
      <c r="E87" s="277">
        <f>COUNT(G87:R87)-COUNT(#REF!)</f>
        <v>5</v>
      </c>
      <c r="F87" s="296"/>
      <c r="G87" s="280">
        <v>4029600</v>
      </c>
      <c r="H87" s="280">
        <v>3500369.56</v>
      </c>
      <c r="I87" s="280">
        <v>4056849.5599999996</v>
      </c>
      <c r="J87" s="280">
        <v>3739409.56</v>
      </c>
      <c r="K87" s="280">
        <v>2149769.56</v>
      </c>
      <c r="L87" s="498"/>
      <c r="M87" s="498"/>
      <c r="N87" s="498"/>
      <c r="O87" s="498"/>
      <c r="P87" s="498"/>
      <c r="Q87" s="497"/>
      <c r="R87" s="501"/>
      <c r="S87" s="281">
        <f t="shared" si="3"/>
        <v>17475998.240000002</v>
      </c>
      <c r="T87" s="279">
        <v>4034100</v>
      </c>
      <c r="U87" s="279">
        <v>200000</v>
      </c>
      <c r="V87" s="279"/>
      <c r="W87" s="299">
        <f t="shared" si="0"/>
        <v>21710098.240000002</v>
      </c>
      <c r="X87" s="277" t="b">
        <f t="shared" si="7"/>
        <v>0</v>
      </c>
      <c r="Y87" s="299">
        <f t="shared" si="8"/>
        <v>0</v>
      </c>
    </row>
    <row r="88" spans="1:25">
      <c r="A88" s="274">
        <v>83</v>
      </c>
      <c r="B88" s="275" t="s">
        <v>574</v>
      </c>
      <c r="C88" s="276" t="s">
        <v>39</v>
      </c>
      <c r="D88" s="276" t="s">
        <v>7</v>
      </c>
      <c r="E88" s="277">
        <f>COUNT(G88:R88)-COUNT(#REF!)</f>
        <v>11</v>
      </c>
      <c r="F88" s="296"/>
      <c r="G88" s="280">
        <v>3815129.56</v>
      </c>
      <c r="H88" s="280">
        <v>3441719.56</v>
      </c>
      <c r="I88" s="280">
        <v>3844879.56</v>
      </c>
      <c r="J88" s="280">
        <v>3701159.56</v>
      </c>
      <c r="K88" s="280">
        <v>3675696.56</v>
      </c>
      <c r="L88" s="280">
        <v>3412094.56</v>
      </c>
      <c r="M88" s="280">
        <v>3535589.56</v>
      </c>
      <c r="N88" s="280">
        <v>3788628.56</v>
      </c>
      <c r="O88" s="280">
        <v>3652417.56</v>
      </c>
      <c r="P88" s="280">
        <v>3627773.56</v>
      </c>
      <c r="Q88" s="279">
        <v>4102639.5599999996</v>
      </c>
      <c r="R88" s="300"/>
      <c r="S88" s="281">
        <f t="shared" si="3"/>
        <v>40597728.159999996</v>
      </c>
      <c r="T88" s="279">
        <v>3946600</v>
      </c>
      <c r="U88" s="279">
        <v>200000</v>
      </c>
      <c r="V88" s="279"/>
      <c r="W88" s="299">
        <f t="shared" si="0"/>
        <v>44744328.159999996</v>
      </c>
      <c r="X88" s="277" t="b">
        <f t="shared" si="7"/>
        <v>0</v>
      </c>
      <c r="Y88" s="299">
        <f t="shared" si="8"/>
        <v>0</v>
      </c>
    </row>
    <row r="89" spans="1:25">
      <c r="A89" s="274">
        <v>84</v>
      </c>
      <c r="B89" s="275" t="s">
        <v>575</v>
      </c>
      <c r="C89" s="276" t="s">
        <v>39</v>
      </c>
      <c r="D89" s="276" t="s">
        <v>9</v>
      </c>
      <c r="E89" s="277">
        <f>COUNT(G89:R89)-COUNT(#REF!)</f>
        <v>11</v>
      </c>
      <c r="F89" s="296"/>
      <c r="G89" s="280">
        <v>4486386.5599999996</v>
      </c>
      <c r="H89" s="280">
        <v>3963859.56</v>
      </c>
      <c r="I89" s="280">
        <v>5139977.5599999996</v>
      </c>
      <c r="J89" s="280">
        <v>4051349.5599999996</v>
      </c>
      <c r="K89" s="280">
        <v>4086727.5599999996</v>
      </c>
      <c r="L89" s="280">
        <v>3700713.56</v>
      </c>
      <c r="M89" s="280">
        <v>3696819.56</v>
      </c>
      <c r="N89" s="280">
        <v>3891557.56</v>
      </c>
      <c r="O89" s="280">
        <v>3739012.56</v>
      </c>
      <c r="P89" s="280">
        <v>3829995.56</v>
      </c>
      <c r="Q89" s="279">
        <v>2878031.56</v>
      </c>
      <c r="R89" s="501"/>
      <c r="S89" s="281">
        <f t="shared" si="3"/>
        <v>43464431.159999996</v>
      </c>
      <c r="T89" s="279">
        <v>4028600</v>
      </c>
      <c r="U89" s="279">
        <v>200000</v>
      </c>
      <c r="V89" s="279"/>
      <c r="W89" s="299">
        <f t="shared" si="0"/>
        <v>47693031.159999996</v>
      </c>
      <c r="X89" s="277" t="b">
        <f t="shared" si="7"/>
        <v>0</v>
      </c>
      <c r="Y89" s="299">
        <f t="shared" si="8"/>
        <v>0</v>
      </c>
    </row>
    <row r="90" spans="1:25">
      <c r="A90" s="274">
        <v>85</v>
      </c>
      <c r="B90" s="275" t="s">
        <v>576</v>
      </c>
      <c r="C90" s="276" t="s">
        <v>39</v>
      </c>
      <c r="D90" s="276" t="s">
        <v>7</v>
      </c>
      <c r="E90" s="277">
        <f>COUNT(G90:R90)-COUNT(#REF!)</f>
        <v>11</v>
      </c>
      <c r="F90" s="296"/>
      <c r="G90" s="280">
        <v>4666083.5599999996</v>
      </c>
      <c r="H90" s="280">
        <v>3786648.56</v>
      </c>
      <c r="I90" s="280">
        <v>5567299.5599999996</v>
      </c>
      <c r="J90" s="280">
        <v>3983349.56</v>
      </c>
      <c r="K90" s="280">
        <v>3938686.56</v>
      </c>
      <c r="L90" s="280">
        <v>3882321.56</v>
      </c>
      <c r="M90" s="280">
        <v>4063529.5599999996</v>
      </c>
      <c r="N90" s="280">
        <v>4373046.5599999996</v>
      </c>
      <c r="O90" s="280">
        <v>4344236.5599999996</v>
      </c>
      <c r="P90" s="280">
        <v>3942261.56</v>
      </c>
      <c r="Q90" s="279">
        <v>4280541.5599999996</v>
      </c>
      <c r="R90" s="300"/>
      <c r="S90" s="281">
        <f t="shared" si="3"/>
        <v>46828005.160000004</v>
      </c>
      <c r="T90" s="279">
        <v>3946600</v>
      </c>
      <c r="U90" s="279">
        <v>200000</v>
      </c>
      <c r="V90" s="279"/>
      <c r="W90" s="299">
        <f t="shared" si="0"/>
        <v>50974605.160000004</v>
      </c>
      <c r="X90" s="277" t="b">
        <f t="shared" si="7"/>
        <v>0</v>
      </c>
      <c r="Y90" s="299">
        <f t="shared" si="8"/>
        <v>0</v>
      </c>
    </row>
    <row r="91" spans="1:25">
      <c r="A91" s="274">
        <v>86</v>
      </c>
      <c r="B91" s="275" t="s">
        <v>577</v>
      </c>
      <c r="C91" s="276" t="s">
        <v>39</v>
      </c>
      <c r="D91" s="276" t="s">
        <v>7</v>
      </c>
      <c r="E91" s="277">
        <f>COUNT(G91:R91)-COUNT(#REF!)</f>
        <v>11</v>
      </c>
      <c r="F91" s="296"/>
      <c r="G91" s="280">
        <v>4609630.5599999996</v>
      </c>
      <c r="H91" s="280">
        <v>3879659.56</v>
      </c>
      <c r="I91" s="280">
        <v>5518592.5599999996</v>
      </c>
      <c r="J91" s="280">
        <v>3955349.56</v>
      </c>
      <c r="K91" s="280">
        <v>3981114.56</v>
      </c>
      <c r="L91" s="280">
        <v>3887024.56</v>
      </c>
      <c r="M91" s="280">
        <v>4093279.5599999996</v>
      </c>
      <c r="N91" s="280">
        <v>4169160.5599999996</v>
      </c>
      <c r="O91" s="280">
        <v>4118371.5599999996</v>
      </c>
      <c r="P91" s="280">
        <v>3994218.56</v>
      </c>
      <c r="Q91" s="279">
        <v>3742735.56</v>
      </c>
      <c r="R91" s="300"/>
      <c r="S91" s="281">
        <f t="shared" si="3"/>
        <v>45949137.160000004</v>
      </c>
      <c r="T91" s="279">
        <v>3946600</v>
      </c>
      <c r="U91" s="279">
        <v>200000</v>
      </c>
      <c r="V91" s="279"/>
      <c r="W91" s="299">
        <f t="shared" si="0"/>
        <v>50095737.160000004</v>
      </c>
      <c r="X91" s="277" t="b">
        <f t="shared" si="7"/>
        <v>0</v>
      </c>
      <c r="Y91" s="299">
        <f t="shared" si="8"/>
        <v>0</v>
      </c>
    </row>
    <row r="92" spans="1:25">
      <c r="A92" s="274">
        <v>87</v>
      </c>
      <c r="B92" s="275" t="s">
        <v>578</v>
      </c>
      <c r="C92" s="276" t="s">
        <v>39</v>
      </c>
      <c r="D92" s="276" t="s">
        <v>7</v>
      </c>
      <c r="E92" s="277">
        <f>COUNT(G92:R92)-COUNT(#REF!)</f>
        <v>4</v>
      </c>
      <c r="F92" s="296"/>
      <c r="G92" s="498"/>
      <c r="H92" s="280">
        <v>3113529.56</v>
      </c>
      <c r="I92" s="280">
        <v>4042569.5599999996</v>
      </c>
      <c r="J92" s="280">
        <v>3770129.56</v>
      </c>
      <c r="K92" s="280">
        <v>523879.56000000006</v>
      </c>
      <c r="L92" s="498"/>
      <c r="M92" s="498"/>
      <c r="N92" s="498"/>
      <c r="O92" s="498"/>
      <c r="P92" s="498"/>
      <c r="Q92" s="497"/>
      <c r="R92" s="501"/>
      <c r="S92" s="281">
        <f t="shared" si="3"/>
        <v>11450108.24</v>
      </c>
      <c r="T92" s="279">
        <v>323050</v>
      </c>
      <c r="U92" s="279"/>
      <c r="V92" s="279"/>
      <c r="W92" s="299">
        <f t="shared" si="0"/>
        <v>11773158.24</v>
      </c>
      <c r="X92" s="277" t="b">
        <f t="shared" si="7"/>
        <v>0</v>
      </c>
      <c r="Y92" s="299">
        <f t="shared" si="8"/>
        <v>0</v>
      </c>
    </row>
    <row r="93" spans="1:25">
      <c r="A93" s="274">
        <v>88</v>
      </c>
      <c r="B93" s="275" t="s">
        <v>703</v>
      </c>
      <c r="C93" s="276" t="s">
        <v>39</v>
      </c>
      <c r="D93" s="276" t="s">
        <v>9</v>
      </c>
      <c r="E93" s="277">
        <f>COUNT(G93:R93)-COUNT(#REF!)</f>
        <v>11</v>
      </c>
      <c r="F93" s="296"/>
      <c r="G93" s="280">
        <v>4986234.5599999996</v>
      </c>
      <c r="H93" s="280">
        <v>3932867.56</v>
      </c>
      <c r="I93" s="280">
        <v>5031415.5599999996</v>
      </c>
      <c r="J93" s="280">
        <v>4223139.5599999996</v>
      </c>
      <c r="K93" s="280">
        <v>4029599.56</v>
      </c>
      <c r="L93" s="280">
        <v>4026099.56</v>
      </c>
      <c r="M93" s="280">
        <v>4162469.5599999996</v>
      </c>
      <c r="N93" s="280">
        <v>4028599.56</v>
      </c>
      <c r="O93" s="280">
        <v>4028599.56</v>
      </c>
      <c r="P93" s="280">
        <v>4418309.5599999996</v>
      </c>
      <c r="Q93" s="279">
        <v>4622128.5599999996</v>
      </c>
      <c r="R93" s="300"/>
      <c r="S93" s="281">
        <f t="shared" si="3"/>
        <v>47489463.160000004</v>
      </c>
      <c r="T93" s="279">
        <v>4026100</v>
      </c>
      <c r="U93" s="279">
        <v>200000</v>
      </c>
      <c r="V93" s="279"/>
      <c r="W93" s="299">
        <f t="shared" si="0"/>
        <v>51715563.160000004</v>
      </c>
      <c r="X93" s="277" t="b">
        <f t="shared" si="7"/>
        <v>0</v>
      </c>
      <c r="Y93" s="299">
        <f t="shared" si="8"/>
        <v>0</v>
      </c>
    </row>
    <row r="94" spans="1:25">
      <c r="A94" s="274">
        <v>89</v>
      </c>
      <c r="B94" s="275" t="s">
        <v>704</v>
      </c>
      <c r="C94" s="276" t="s">
        <v>39</v>
      </c>
      <c r="D94" s="276" t="s">
        <v>17</v>
      </c>
      <c r="E94" s="277">
        <f>COUNT(G94:R94)-COUNT(#REF!)</f>
        <v>11</v>
      </c>
      <c r="F94" s="296"/>
      <c r="G94" s="280">
        <v>3998132.56</v>
      </c>
      <c r="H94" s="280">
        <v>3587419.56</v>
      </c>
      <c r="I94" s="280">
        <v>5125439.5599999996</v>
      </c>
      <c r="J94" s="280">
        <v>3686450.56</v>
      </c>
      <c r="K94" s="280">
        <v>3894729.56</v>
      </c>
      <c r="L94" s="280">
        <v>4028599.56</v>
      </c>
      <c r="M94" s="280">
        <v>3923329.56</v>
      </c>
      <c r="N94" s="280">
        <v>3653789.56</v>
      </c>
      <c r="O94" s="280">
        <v>3524269.56</v>
      </c>
      <c r="P94" s="280">
        <v>3653789.56</v>
      </c>
      <c r="Q94" s="279">
        <v>3249479.56</v>
      </c>
      <c r="R94" s="300"/>
      <c r="S94" s="281">
        <f t="shared" si="3"/>
        <v>42325429.160000004</v>
      </c>
      <c r="T94" s="279">
        <v>4000100</v>
      </c>
      <c r="U94" s="279">
        <v>200000</v>
      </c>
      <c r="V94" s="279"/>
      <c r="W94" s="299">
        <f t="shared" si="0"/>
        <v>46525529.160000004</v>
      </c>
      <c r="X94" s="277" t="b">
        <f t="shared" si="7"/>
        <v>0</v>
      </c>
      <c r="Y94" s="299">
        <f t="shared" si="8"/>
        <v>0</v>
      </c>
    </row>
    <row r="95" spans="1:25">
      <c r="A95" s="274">
        <v>90</v>
      </c>
      <c r="B95" s="275" t="s">
        <v>705</v>
      </c>
      <c r="C95" s="276" t="s">
        <v>39</v>
      </c>
      <c r="D95" s="276" t="s">
        <v>9</v>
      </c>
      <c r="E95" s="277">
        <f>COUNT(G95:R95)-COUNT(#REF!)</f>
        <v>9</v>
      </c>
      <c r="F95" s="296"/>
      <c r="G95" s="280">
        <v>4645392.9999999991</v>
      </c>
      <c r="H95" s="280">
        <v>3851540.56</v>
      </c>
      <c r="I95" s="280">
        <v>4697083.5599999996</v>
      </c>
      <c r="J95" s="280">
        <v>4386482.5599999996</v>
      </c>
      <c r="K95" s="280">
        <v>4040099.5599999996</v>
      </c>
      <c r="L95" s="280">
        <v>4040099.5599999996</v>
      </c>
      <c r="M95" s="280">
        <v>4173969.96</v>
      </c>
      <c r="N95" s="280">
        <v>3906229.96</v>
      </c>
      <c r="O95" s="280">
        <v>3638489.96</v>
      </c>
      <c r="P95" s="498"/>
      <c r="Q95" s="497"/>
      <c r="R95" s="501"/>
      <c r="S95" s="281">
        <f t="shared" si="3"/>
        <v>37379388.679999992</v>
      </c>
      <c r="T95" s="279">
        <v>4040100</v>
      </c>
      <c r="U95" s="279">
        <v>200000</v>
      </c>
      <c r="V95" s="279"/>
      <c r="W95" s="299">
        <f t="shared" si="0"/>
        <v>41619488.679999992</v>
      </c>
      <c r="X95" s="277" t="b">
        <f t="shared" si="7"/>
        <v>0</v>
      </c>
      <c r="Y95" s="299">
        <f t="shared" si="8"/>
        <v>0</v>
      </c>
    </row>
    <row r="96" spans="1:25">
      <c r="A96" s="274">
        <v>91</v>
      </c>
      <c r="B96" s="275" t="s">
        <v>714</v>
      </c>
      <c r="C96" s="276" t="s">
        <v>39</v>
      </c>
      <c r="D96" s="276" t="s">
        <v>9</v>
      </c>
      <c r="E96" s="277">
        <f>COUNT(G96:R96)-COUNT(#REF!)</f>
        <v>11</v>
      </c>
      <c r="F96" s="296"/>
      <c r="G96" s="280">
        <v>4266025.9999999991</v>
      </c>
      <c r="H96" s="280">
        <v>3695234.56</v>
      </c>
      <c r="I96" s="280">
        <v>4333569.5599999996</v>
      </c>
      <c r="J96" s="280">
        <v>4350220.5599999996</v>
      </c>
      <c r="K96" s="280">
        <v>4609475.5599999996</v>
      </c>
      <c r="L96" s="280">
        <v>4132794.5599999996</v>
      </c>
      <c r="M96" s="280">
        <v>4068783.76</v>
      </c>
      <c r="N96" s="280">
        <v>4986438.76</v>
      </c>
      <c r="O96" s="280">
        <v>5079863.76</v>
      </c>
      <c r="P96" s="280">
        <v>4683782.76</v>
      </c>
      <c r="Q96" s="279">
        <v>4892565.76</v>
      </c>
      <c r="R96" s="300"/>
      <c r="S96" s="281">
        <f t="shared" si="3"/>
        <v>49098755.599999987</v>
      </c>
      <c r="T96" s="279">
        <v>3998100</v>
      </c>
      <c r="U96" s="279">
        <v>600000</v>
      </c>
      <c r="V96" s="279"/>
      <c r="W96" s="299">
        <f t="shared" si="0"/>
        <v>53696855.599999987</v>
      </c>
      <c r="X96" s="277" t="b">
        <f t="shared" si="7"/>
        <v>0</v>
      </c>
      <c r="Y96" s="299">
        <f t="shared" si="8"/>
        <v>0</v>
      </c>
    </row>
    <row r="97" spans="1:25">
      <c r="A97" s="274">
        <v>92</v>
      </c>
      <c r="B97" s="275" t="s">
        <v>715</v>
      </c>
      <c r="C97" s="276" t="s">
        <v>39</v>
      </c>
      <c r="D97" s="276" t="s">
        <v>11</v>
      </c>
      <c r="E97" s="277">
        <f>COUNT(G97:R97)-COUNT(#REF!)</f>
        <v>11</v>
      </c>
      <c r="F97" s="296"/>
      <c r="G97" s="280">
        <v>3799480.56</v>
      </c>
      <c r="H97" s="280">
        <v>3692563.56</v>
      </c>
      <c r="I97" s="280">
        <v>4014825.56</v>
      </c>
      <c r="J97" s="280">
        <v>3878111.56</v>
      </c>
      <c r="K97" s="280">
        <v>4348119.5599999996</v>
      </c>
      <c r="L97" s="280">
        <v>4388011.5599999996</v>
      </c>
      <c r="M97" s="280">
        <v>4396945.5599999996</v>
      </c>
      <c r="N97" s="280">
        <v>4914393.5599999996</v>
      </c>
      <c r="O97" s="280">
        <v>4931229.5599999996</v>
      </c>
      <c r="P97" s="280">
        <v>4537432.5599999996</v>
      </c>
      <c r="Q97" s="279">
        <v>4769867.5599999996</v>
      </c>
      <c r="R97" s="300"/>
      <c r="S97" s="281">
        <f t="shared" si="3"/>
        <v>47670981.160000004</v>
      </c>
      <c r="T97" s="279">
        <v>4048100</v>
      </c>
      <c r="U97" s="279">
        <v>200000</v>
      </c>
      <c r="V97" s="279"/>
      <c r="W97" s="299">
        <f t="shared" si="0"/>
        <v>51919081.160000004</v>
      </c>
      <c r="X97" s="277" t="b">
        <f t="shared" si="7"/>
        <v>0</v>
      </c>
      <c r="Y97" s="299">
        <f t="shared" si="8"/>
        <v>0</v>
      </c>
    </row>
    <row r="98" spans="1:25">
      <c r="A98" s="274">
        <v>93</v>
      </c>
      <c r="B98" s="275" t="s">
        <v>716</v>
      </c>
      <c r="C98" s="276" t="s">
        <v>39</v>
      </c>
      <c r="D98" s="276" t="s">
        <v>11</v>
      </c>
      <c r="E98" s="277">
        <f>COUNT(G98:R98)-COUNT(#REF!)</f>
        <v>11</v>
      </c>
      <c r="F98" s="296"/>
      <c r="G98" s="280">
        <v>4512774.5599999996</v>
      </c>
      <c r="H98" s="280">
        <v>4458409.5599999996</v>
      </c>
      <c r="I98" s="280">
        <v>4468436.5599999996</v>
      </c>
      <c r="J98" s="280">
        <v>4695349.5599999996</v>
      </c>
      <c r="K98" s="280">
        <v>4739229.5599999996</v>
      </c>
      <c r="L98" s="280">
        <v>4189009.5599999996</v>
      </c>
      <c r="M98" s="280">
        <v>4446895.5599999996</v>
      </c>
      <c r="N98" s="280">
        <v>4854669.5599999996</v>
      </c>
      <c r="O98" s="280">
        <v>4382872.5599999996</v>
      </c>
      <c r="P98" s="280">
        <v>4361295.5599999996</v>
      </c>
      <c r="Q98" s="279">
        <v>4482337.5599999996</v>
      </c>
      <c r="R98" s="300"/>
      <c r="S98" s="281">
        <f t="shared" si="3"/>
        <v>49591280.160000004</v>
      </c>
      <c r="T98" s="279">
        <v>4053100</v>
      </c>
      <c r="U98" s="279">
        <v>200000</v>
      </c>
      <c r="V98" s="279"/>
      <c r="W98" s="299">
        <f t="shared" si="0"/>
        <v>53844380.160000004</v>
      </c>
      <c r="X98" s="277" t="b">
        <f t="shared" si="7"/>
        <v>0</v>
      </c>
      <c r="Y98" s="299">
        <f t="shared" si="8"/>
        <v>0</v>
      </c>
    </row>
    <row r="99" spans="1:25">
      <c r="A99" s="274">
        <v>94</v>
      </c>
      <c r="B99" s="275" t="s">
        <v>729</v>
      </c>
      <c r="C99" s="276" t="s">
        <v>39</v>
      </c>
      <c r="D99" s="276" t="s">
        <v>9</v>
      </c>
      <c r="E99" s="277">
        <f>COUNT(G99:R99)-COUNT(#REF!)</f>
        <v>9</v>
      </c>
      <c r="F99" s="296"/>
      <c r="G99" s="498"/>
      <c r="H99" s="498"/>
      <c r="I99" s="280">
        <v>3053999.56</v>
      </c>
      <c r="J99" s="280">
        <v>3833911.56</v>
      </c>
      <c r="K99" s="280">
        <v>4457752.5599999996</v>
      </c>
      <c r="L99" s="280">
        <v>4308799.5599999996</v>
      </c>
      <c r="M99" s="280">
        <v>4285850.5599999996</v>
      </c>
      <c r="N99" s="280">
        <v>4580296.5599999996</v>
      </c>
      <c r="O99" s="280">
        <v>4651359.5599999996</v>
      </c>
      <c r="P99" s="280">
        <v>4374892.5599999996</v>
      </c>
      <c r="Q99" s="279">
        <v>4619019.5599999996</v>
      </c>
      <c r="R99" s="300"/>
      <c r="S99" s="281">
        <f t="shared" si="3"/>
        <v>38165882.039999992</v>
      </c>
      <c r="T99" s="279"/>
      <c r="U99" s="279"/>
      <c r="V99" s="279"/>
      <c r="W99" s="299">
        <f t="shared" si="0"/>
        <v>38165882.039999992</v>
      </c>
      <c r="X99" s="277" t="b">
        <f t="shared" si="7"/>
        <v>0</v>
      </c>
      <c r="Y99" s="299">
        <f t="shared" si="8"/>
        <v>0</v>
      </c>
    </row>
    <row r="100" spans="1:25">
      <c r="A100" s="274">
        <v>95</v>
      </c>
      <c r="B100" s="275" t="s">
        <v>735</v>
      </c>
      <c r="C100" s="276" t="s">
        <v>39</v>
      </c>
      <c r="D100" s="276" t="s">
        <v>11</v>
      </c>
      <c r="E100" s="277">
        <f>COUNT(G100:R100)-COUNT(#REF!)</f>
        <v>11</v>
      </c>
      <c r="F100" s="296"/>
      <c r="G100" s="280">
        <v>4536828.5599999996</v>
      </c>
      <c r="H100" s="280">
        <v>4277007.5599999996</v>
      </c>
      <c r="I100" s="280">
        <v>4357829.5599999996</v>
      </c>
      <c r="J100" s="280">
        <v>5387338.5599999996</v>
      </c>
      <c r="K100" s="280">
        <v>4948339.5599999996</v>
      </c>
      <c r="L100" s="280">
        <v>4068232.5599999996</v>
      </c>
      <c r="M100" s="280">
        <v>3997059.56</v>
      </c>
      <c r="N100" s="280">
        <v>3972355.56</v>
      </c>
      <c r="O100" s="280">
        <v>4198916.5599999996</v>
      </c>
      <c r="P100" s="280">
        <v>3399834.56</v>
      </c>
      <c r="Q100" s="279">
        <v>5014285.5599999996</v>
      </c>
      <c r="R100" s="300"/>
      <c r="S100" s="281">
        <f t="shared" si="3"/>
        <v>48158028.160000004</v>
      </c>
      <c r="T100" s="279">
        <v>4050600</v>
      </c>
      <c r="U100" s="279">
        <v>200000</v>
      </c>
      <c r="V100" s="279"/>
      <c r="W100" s="299">
        <f t="shared" si="0"/>
        <v>52408628.160000004</v>
      </c>
      <c r="X100" s="277" t="b">
        <f t="shared" si="7"/>
        <v>0</v>
      </c>
      <c r="Y100" s="299">
        <f t="shared" si="8"/>
        <v>0</v>
      </c>
    </row>
    <row r="101" spans="1:25">
      <c r="A101" s="274">
        <v>96</v>
      </c>
      <c r="B101" s="275" t="s">
        <v>739</v>
      </c>
      <c r="C101" s="276" t="s">
        <v>39</v>
      </c>
      <c r="D101" s="276" t="s">
        <v>7</v>
      </c>
      <c r="E101" s="277">
        <f>COUNT(G101:R101)-COUNT(#REF!)</f>
        <v>0</v>
      </c>
      <c r="F101" s="296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79"/>
      <c r="R101" s="300"/>
      <c r="S101" s="281">
        <f t="shared" si="3"/>
        <v>0</v>
      </c>
      <c r="T101" s="279"/>
      <c r="U101" s="279"/>
      <c r="V101" s="279"/>
      <c r="W101" s="299">
        <f t="shared" si="0"/>
        <v>0</v>
      </c>
      <c r="X101" s="277" t="b">
        <f t="shared" si="7"/>
        <v>0</v>
      </c>
      <c r="Y101" s="299">
        <f t="shared" si="8"/>
        <v>0</v>
      </c>
    </row>
    <row r="102" spans="1:25">
      <c r="A102" s="274">
        <v>97</v>
      </c>
      <c r="B102" s="275" t="s">
        <v>740</v>
      </c>
      <c r="C102" s="276" t="s">
        <v>39</v>
      </c>
      <c r="D102" s="276" t="s">
        <v>7</v>
      </c>
      <c r="E102" s="277">
        <f>COUNT(G102:R102)-COUNT(#REF!)</f>
        <v>0</v>
      </c>
      <c r="F102" s="296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79"/>
      <c r="R102" s="300"/>
      <c r="S102" s="281">
        <f t="shared" si="3"/>
        <v>0</v>
      </c>
      <c r="T102" s="279"/>
      <c r="U102" s="279"/>
      <c r="V102" s="279"/>
      <c r="W102" s="299">
        <f t="shared" si="0"/>
        <v>0</v>
      </c>
      <c r="X102" s="277" t="b">
        <f t="shared" si="7"/>
        <v>0</v>
      </c>
      <c r="Y102" s="299">
        <f t="shared" si="8"/>
        <v>0</v>
      </c>
    </row>
    <row r="103" spans="1:25">
      <c r="A103" s="274">
        <v>98</v>
      </c>
      <c r="B103" s="275" t="s">
        <v>741</v>
      </c>
      <c r="C103" s="276" t="s">
        <v>39</v>
      </c>
      <c r="D103" s="276" t="s">
        <v>7</v>
      </c>
      <c r="E103" s="277">
        <f>COUNT(G103:R103)-COUNT(#REF!)</f>
        <v>0</v>
      </c>
      <c r="F103" s="296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79"/>
      <c r="R103" s="300"/>
      <c r="S103" s="281">
        <f t="shared" si="3"/>
        <v>0</v>
      </c>
      <c r="T103" s="279"/>
      <c r="U103" s="279"/>
      <c r="V103" s="279"/>
      <c r="W103" s="299">
        <f t="shared" si="0"/>
        <v>0</v>
      </c>
      <c r="X103" s="277" t="b">
        <f t="shared" si="7"/>
        <v>0</v>
      </c>
      <c r="Y103" s="299">
        <f t="shared" si="8"/>
        <v>0</v>
      </c>
    </row>
    <row r="104" spans="1:25">
      <c r="A104" s="274">
        <v>99</v>
      </c>
      <c r="B104" s="275" t="s">
        <v>742</v>
      </c>
      <c r="C104" s="276" t="s">
        <v>39</v>
      </c>
      <c r="D104" s="276" t="s">
        <v>16</v>
      </c>
      <c r="E104" s="277">
        <f>COUNT(G104:R104)-COUNT(#REF!)</f>
        <v>0</v>
      </c>
      <c r="F104" s="296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79"/>
      <c r="R104" s="300"/>
      <c r="S104" s="281">
        <f t="shared" si="3"/>
        <v>0</v>
      </c>
      <c r="T104" s="279"/>
      <c r="U104" s="279"/>
      <c r="V104" s="279"/>
      <c r="W104" s="299">
        <f t="shared" si="0"/>
        <v>0</v>
      </c>
      <c r="X104" s="277" t="b">
        <f t="shared" ref="X104:X117" si="9">IF(D104="TK",54000000,IF(D104="K0",58500000,IF(D104="K1",63000000,IF(D104="K2",67500000,IF(D104="K3",72000000)))))</f>
        <v>0</v>
      </c>
      <c r="Y104" s="299">
        <f t="shared" ref="Y104:Y117" si="10">IF(W104&lt;=X104,0,IF(W104&gt;X104,W104-X104))</f>
        <v>0</v>
      </c>
    </row>
    <row r="105" spans="1:25">
      <c r="A105" s="274">
        <v>100</v>
      </c>
      <c r="B105" s="275" t="s">
        <v>743</v>
      </c>
      <c r="C105" s="276" t="s">
        <v>39</v>
      </c>
      <c r="D105" s="276" t="s">
        <v>7</v>
      </c>
      <c r="E105" s="277">
        <f>COUNT(G105:R105)-COUNT(#REF!)</f>
        <v>0</v>
      </c>
      <c r="F105" s="296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79"/>
      <c r="R105" s="300"/>
      <c r="S105" s="281">
        <f t="shared" si="3"/>
        <v>0</v>
      </c>
      <c r="T105" s="279"/>
      <c r="U105" s="279"/>
      <c r="V105" s="279"/>
      <c r="W105" s="299">
        <f t="shared" si="0"/>
        <v>0</v>
      </c>
      <c r="X105" s="277" t="b">
        <f t="shared" si="9"/>
        <v>0</v>
      </c>
      <c r="Y105" s="299">
        <f t="shared" si="10"/>
        <v>0</v>
      </c>
    </row>
    <row r="106" spans="1:25">
      <c r="A106" s="274">
        <v>101</v>
      </c>
      <c r="B106" s="275"/>
      <c r="C106" s="276"/>
      <c r="D106" s="276"/>
      <c r="E106" s="277">
        <f>COUNT(G106:R106)-COUNT(#REF!)</f>
        <v>0</v>
      </c>
      <c r="F106" s="296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79"/>
      <c r="R106" s="300"/>
      <c r="S106" s="281">
        <f t="shared" si="3"/>
        <v>0</v>
      </c>
      <c r="T106" s="279"/>
      <c r="U106" s="279"/>
      <c r="V106" s="279"/>
      <c r="W106" s="299">
        <f t="shared" si="0"/>
        <v>0</v>
      </c>
      <c r="X106" s="277" t="b">
        <f t="shared" si="9"/>
        <v>0</v>
      </c>
      <c r="Y106" s="299">
        <f t="shared" si="10"/>
        <v>0</v>
      </c>
    </row>
    <row r="107" spans="1:25">
      <c r="A107" s="274">
        <v>102</v>
      </c>
      <c r="B107" s="275"/>
      <c r="C107" s="276"/>
      <c r="D107" s="276"/>
      <c r="E107" s="277">
        <f>COUNT(G107:R107)-COUNT(#REF!)</f>
        <v>0</v>
      </c>
      <c r="F107" s="296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79"/>
      <c r="R107" s="300"/>
      <c r="S107" s="281">
        <f t="shared" si="3"/>
        <v>0</v>
      </c>
      <c r="T107" s="279"/>
      <c r="U107" s="279"/>
      <c r="V107" s="279"/>
      <c r="W107" s="299">
        <f t="shared" si="0"/>
        <v>0</v>
      </c>
      <c r="X107" s="277" t="b">
        <f t="shared" si="9"/>
        <v>0</v>
      </c>
      <c r="Y107" s="299">
        <f t="shared" si="10"/>
        <v>0</v>
      </c>
    </row>
    <row r="108" spans="1:25">
      <c r="A108" s="274">
        <v>103</v>
      </c>
      <c r="B108" s="275"/>
      <c r="C108" s="276"/>
      <c r="D108" s="276"/>
      <c r="E108" s="277">
        <f>COUNT(G108:R108)-COUNT(#REF!)</f>
        <v>0</v>
      </c>
      <c r="F108" s="296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79"/>
      <c r="R108" s="300"/>
      <c r="S108" s="281">
        <f t="shared" si="3"/>
        <v>0</v>
      </c>
      <c r="T108" s="279"/>
      <c r="U108" s="279"/>
      <c r="V108" s="279"/>
      <c r="W108" s="299">
        <f t="shared" si="0"/>
        <v>0</v>
      </c>
      <c r="X108" s="277" t="b">
        <f t="shared" si="9"/>
        <v>0</v>
      </c>
      <c r="Y108" s="299">
        <f t="shared" si="10"/>
        <v>0</v>
      </c>
    </row>
    <row r="109" spans="1:25">
      <c r="A109" s="274">
        <v>104</v>
      </c>
      <c r="B109" s="275"/>
      <c r="C109" s="276"/>
      <c r="D109" s="276"/>
      <c r="E109" s="277">
        <f>COUNT(G109:R109)-COUNT(#REF!)</f>
        <v>0</v>
      </c>
      <c r="F109" s="296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79"/>
      <c r="R109" s="300"/>
      <c r="S109" s="281">
        <f t="shared" si="3"/>
        <v>0</v>
      </c>
      <c r="T109" s="279"/>
      <c r="U109" s="279"/>
      <c r="V109" s="279"/>
      <c r="W109" s="299">
        <f t="shared" si="0"/>
        <v>0</v>
      </c>
      <c r="X109" s="277" t="b">
        <f t="shared" si="9"/>
        <v>0</v>
      </c>
      <c r="Y109" s="299">
        <f t="shared" si="10"/>
        <v>0</v>
      </c>
    </row>
    <row r="110" spans="1:25">
      <c r="A110" s="274">
        <v>105</v>
      </c>
      <c r="B110" s="275"/>
      <c r="C110" s="276"/>
      <c r="D110" s="276"/>
      <c r="E110" s="277">
        <f>COUNT(G110:R110)-COUNT(#REF!)</f>
        <v>0</v>
      </c>
      <c r="F110" s="296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79"/>
      <c r="R110" s="300"/>
      <c r="S110" s="281">
        <f t="shared" si="3"/>
        <v>0</v>
      </c>
      <c r="T110" s="279"/>
      <c r="U110" s="279"/>
      <c r="V110" s="279"/>
      <c r="W110" s="299">
        <f t="shared" si="0"/>
        <v>0</v>
      </c>
      <c r="X110" s="277" t="b">
        <f t="shared" si="9"/>
        <v>0</v>
      </c>
      <c r="Y110" s="299">
        <f t="shared" si="10"/>
        <v>0</v>
      </c>
    </row>
    <row r="111" spans="1:25">
      <c r="A111" s="274">
        <v>106</v>
      </c>
      <c r="B111" s="275"/>
      <c r="C111" s="276"/>
      <c r="D111" s="276"/>
      <c r="E111" s="277">
        <f>COUNT(G111:R111)-COUNT(#REF!)</f>
        <v>0</v>
      </c>
      <c r="F111" s="296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79"/>
      <c r="R111" s="300"/>
      <c r="S111" s="281">
        <f t="shared" si="3"/>
        <v>0</v>
      </c>
      <c r="T111" s="279"/>
      <c r="U111" s="279"/>
      <c r="V111" s="279"/>
      <c r="W111" s="299">
        <f t="shared" si="0"/>
        <v>0</v>
      </c>
      <c r="X111" s="277" t="b">
        <f t="shared" si="9"/>
        <v>0</v>
      </c>
      <c r="Y111" s="299">
        <f t="shared" si="10"/>
        <v>0</v>
      </c>
    </row>
    <row r="112" spans="1:25">
      <c r="A112" s="274">
        <v>107</v>
      </c>
      <c r="B112" s="275"/>
      <c r="C112" s="276"/>
      <c r="D112" s="276"/>
      <c r="E112" s="277">
        <f>COUNT(G112:R112)-COUNT(#REF!)</f>
        <v>0</v>
      </c>
      <c r="F112" s="296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79"/>
      <c r="R112" s="300"/>
      <c r="S112" s="281">
        <f t="shared" si="3"/>
        <v>0</v>
      </c>
      <c r="T112" s="279"/>
      <c r="U112" s="279"/>
      <c r="V112" s="279"/>
      <c r="W112" s="299">
        <f t="shared" si="0"/>
        <v>0</v>
      </c>
      <c r="X112" s="277" t="b">
        <f t="shared" si="9"/>
        <v>0</v>
      </c>
      <c r="Y112" s="299">
        <f t="shared" si="10"/>
        <v>0</v>
      </c>
    </row>
    <row r="113" spans="1:28">
      <c r="A113" s="274">
        <v>108</v>
      </c>
      <c r="B113" s="275"/>
      <c r="C113" s="276"/>
      <c r="D113" s="276"/>
      <c r="E113" s="277">
        <f>COUNT(G113:R113)-COUNT(#REF!)</f>
        <v>0</v>
      </c>
      <c r="F113" s="296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79"/>
      <c r="R113" s="300"/>
      <c r="S113" s="281">
        <f t="shared" si="3"/>
        <v>0</v>
      </c>
      <c r="T113" s="279"/>
      <c r="U113" s="279"/>
      <c r="V113" s="279"/>
      <c r="W113" s="299">
        <f t="shared" si="0"/>
        <v>0</v>
      </c>
      <c r="X113" s="277" t="b">
        <f t="shared" si="9"/>
        <v>0</v>
      </c>
      <c r="Y113" s="299">
        <f t="shared" si="10"/>
        <v>0</v>
      </c>
    </row>
    <row r="114" spans="1:28">
      <c r="A114" s="274">
        <v>109</v>
      </c>
      <c r="B114" s="275"/>
      <c r="C114" s="276"/>
      <c r="D114" s="276"/>
      <c r="E114" s="277">
        <f>COUNT(G114:R114)-COUNT(#REF!)</f>
        <v>0</v>
      </c>
      <c r="F114" s="296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79"/>
      <c r="R114" s="300"/>
      <c r="S114" s="281">
        <f t="shared" si="3"/>
        <v>0</v>
      </c>
      <c r="T114" s="279"/>
      <c r="U114" s="279"/>
      <c r="V114" s="279"/>
      <c r="W114" s="299">
        <f t="shared" si="0"/>
        <v>0</v>
      </c>
      <c r="X114" s="277" t="b">
        <f t="shared" si="9"/>
        <v>0</v>
      </c>
      <c r="Y114" s="299">
        <f t="shared" si="10"/>
        <v>0</v>
      </c>
    </row>
    <row r="115" spans="1:28">
      <c r="A115" s="274">
        <v>110</v>
      </c>
      <c r="B115" s="275"/>
      <c r="C115" s="276"/>
      <c r="D115" s="276"/>
      <c r="E115" s="277">
        <f>COUNT(G115:R115)-COUNT(#REF!)</f>
        <v>0</v>
      </c>
      <c r="F115" s="296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79"/>
      <c r="R115" s="300"/>
      <c r="S115" s="281">
        <f t="shared" si="3"/>
        <v>0</v>
      </c>
      <c r="T115" s="279"/>
      <c r="U115" s="279"/>
      <c r="V115" s="279"/>
      <c r="W115" s="299">
        <f t="shared" si="0"/>
        <v>0</v>
      </c>
      <c r="X115" s="277" t="b">
        <f t="shared" si="9"/>
        <v>0</v>
      </c>
      <c r="Y115" s="299">
        <f t="shared" si="10"/>
        <v>0</v>
      </c>
    </row>
    <row r="116" spans="1:28">
      <c r="A116" s="274">
        <v>111</v>
      </c>
      <c r="B116" s="275"/>
      <c r="C116" s="276"/>
      <c r="D116" s="276"/>
      <c r="E116" s="277">
        <f>COUNT(G116:R116)-COUNT(#REF!)</f>
        <v>0</v>
      </c>
      <c r="F116" s="296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79"/>
      <c r="R116" s="300"/>
      <c r="S116" s="281">
        <f t="shared" si="3"/>
        <v>0</v>
      </c>
      <c r="T116" s="279"/>
      <c r="U116" s="279"/>
      <c r="V116" s="279"/>
      <c r="W116" s="299">
        <f t="shared" si="0"/>
        <v>0</v>
      </c>
      <c r="X116" s="277" t="b">
        <f t="shared" si="9"/>
        <v>0</v>
      </c>
      <c r="Y116" s="299">
        <f t="shared" si="10"/>
        <v>0</v>
      </c>
    </row>
    <row r="117" spans="1:28" ht="15.75" thickBot="1">
      <c r="A117" s="274">
        <v>112</v>
      </c>
      <c r="B117" s="297"/>
      <c r="C117" s="298"/>
      <c r="D117" s="298"/>
      <c r="E117" s="277">
        <f>COUNT(G117:R117)-COUNT(#REF!)</f>
        <v>0</v>
      </c>
      <c r="F117" s="386"/>
      <c r="G117" s="387"/>
      <c r="H117" s="387"/>
      <c r="I117" s="387"/>
      <c r="J117" s="387"/>
      <c r="K117" s="387"/>
      <c r="L117" s="387"/>
      <c r="M117" s="387"/>
      <c r="N117" s="387"/>
      <c r="O117" s="387"/>
      <c r="P117" s="387"/>
      <c r="Q117" s="293"/>
      <c r="R117" s="380"/>
      <c r="S117" s="281">
        <f t="shared" si="3"/>
        <v>0</v>
      </c>
      <c r="T117" s="293"/>
      <c r="U117" s="293"/>
      <c r="V117" s="293"/>
      <c r="W117" s="299">
        <f t="shared" si="0"/>
        <v>0</v>
      </c>
      <c r="X117" s="277" t="b">
        <f t="shared" si="9"/>
        <v>0</v>
      </c>
      <c r="Y117" s="299">
        <f t="shared" si="10"/>
        <v>0</v>
      </c>
    </row>
    <row r="118" spans="1:28" s="391" customFormat="1" ht="15.75" thickBot="1">
      <c r="A118" s="388"/>
      <c r="B118" s="389" t="s">
        <v>461</v>
      </c>
      <c r="C118" s="390"/>
      <c r="D118" s="390"/>
      <c r="E118" s="307">
        <f>SUM(E6:E117)</f>
        <v>1016</v>
      </c>
      <c r="F118" s="307">
        <f t="shared" ref="F118:Y118" si="11">SUM(F6:F117)</f>
        <v>0</v>
      </c>
      <c r="G118" s="307">
        <f t="shared" si="11"/>
        <v>398063788.40000015</v>
      </c>
      <c r="H118" s="307">
        <f t="shared" si="11"/>
        <v>365428197.64000016</v>
      </c>
      <c r="I118" s="307">
        <f t="shared" si="11"/>
        <v>403691685.20000017</v>
      </c>
      <c r="J118" s="307">
        <f t="shared" si="11"/>
        <v>389700385.20000017</v>
      </c>
      <c r="K118" s="307">
        <f t="shared" si="11"/>
        <v>398217086.20000017</v>
      </c>
      <c r="L118" s="307">
        <f t="shared" si="11"/>
        <v>376693667.08000016</v>
      </c>
      <c r="M118" s="307">
        <f t="shared" si="11"/>
        <v>380947990.48000014</v>
      </c>
      <c r="N118" s="307">
        <f t="shared" si="11"/>
        <v>382373056.96000004</v>
      </c>
      <c r="O118" s="307">
        <f t="shared" si="11"/>
        <v>368859679.00000006</v>
      </c>
      <c r="P118" s="307">
        <f t="shared" si="11"/>
        <v>367849582.44000018</v>
      </c>
      <c r="Q118" s="307">
        <f t="shared" si="11"/>
        <v>359354300.48000014</v>
      </c>
      <c r="R118" s="307">
        <f t="shared" si="11"/>
        <v>0</v>
      </c>
      <c r="S118" s="307">
        <f t="shared" si="11"/>
        <v>4191179419.0799961</v>
      </c>
      <c r="T118" s="307">
        <f t="shared" si="11"/>
        <v>366669325</v>
      </c>
      <c r="U118" s="307">
        <f t="shared" si="11"/>
        <v>23616667</v>
      </c>
      <c r="V118" s="307">
        <f t="shared" si="11"/>
        <v>0</v>
      </c>
      <c r="W118" s="307">
        <f t="shared" si="11"/>
        <v>4581465411.0799971</v>
      </c>
      <c r="X118" s="307">
        <f t="shared" si="11"/>
        <v>0</v>
      </c>
      <c r="Y118" s="307">
        <f t="shared" si="11"/>
        <v>0</v>
      </c>
    </row>
    <row r="121" spans="1:28">
      <c r="A121" s="274">
        <v>74</v>
      </c>
      <c r="B121" s="275" t="s">
        <v>564</v>
      </c>
      <c r="C121" s="276" t="s">
        <v>39</v>
      </c>
      <c r="D121" s="276" t="s">
        <v>17</v>
      </c>
      <c r="E121" s="277">
        <f>COUNT(G121:R121)-COUNT(#REF!)</f>
        <v>8</v>
      </c>
      <c r="F121" s="296"/>
      <c r="G121" s="280">
        <v>3863479.56</v>
      </c>
      <c r="H121" s="280">
        <v>3660489.56</v>
      </c>
      <c r="I121" s="280">
        <v>4197719.5599999996</v>
      </c>
      <c r="J121" s="280">
        <v>3646489.56</v>
      </c>
      <c r="K121" s="280">
        <v>3909083.56</v>
      </c>
      <c r="L121" s="280">
        <v>3280576.56</v>
      </c>
      <c r="M121" s="280">
        <v>3372969.56</v>
      </c>
      <c r="N121" s="280">
        <v>3426875.56</v>
      </c>
      <c r="O121" s="280"/>
      <c r="P121" s="280"/>
      <c r="Q121" s="279"/>
      <c r="R121" s="300"/>
      <c r="S121" s="281">
        <f>SUM(G121:R121)</f>
        <v>29357683.479999997</v>
      </c>
      <c r="T121" s="279">
        <v>4023600</v>
      </c>
      <c r="U121" s="279">
        <v>200000</v>
      </c>
      <c r="V121" s="279"/>
      <c r="W121" s="299">
        <f>S121+T121+U121+V121</f>
        <v>33581283.479999997</v>
      </c>
      <c r="X121" s="277" t="b">
        <f>IF(D121="TK",54000000,IF(D121="K0",58500000,IF(D121="K1",63000000,IF(D121="K2",67500000,IF(D121="K3",72000000)))))</f>
        <v>0</v>
      </c>
      <c r="Y121" s="299">
        <f>IF(W121&lt;=X121,0,IF(W121&gt;X121,W121-X121))</f>
        <v>0</v>
      </c>
    </row>
    <row r="122" spans="1:28">
      <c r="A122" s="274">
        <v>2</v>
      </c>
      <c r="B122" s="275" t="s">
        <v>224</v>
      </c>
      <c r="C122" s="276" t="s">
        <v>38</v>
      </c>
      <c r="D122" s="276" t="s">
        <v>7</v>
      </c>
      <c r="E122" s="277">
        <f>COUNT(G122:R122)-COUNT(#REF!)</f>
        <v>10</v>
      </c>
      <c r="F122" s="276"/>
      <c r="G122" s="278">
        <v>6286746.5599999996</v>
      </c>
      <c r="H122" s="278">
        <v>5779592.5599999996</v>
      </c>
      <c r="I122" s="278">
        <v>6086869.5599999996</v>
      </c>
      <c r="J122" s="278">
        <v>5972807.5599999996</v>
      </c>
      <c r="K122" s="279">
        <v>6498919.5599999996</v>
      </c>
      <c r="L122" s="278">
        <v>6208092.5599999996</v>
      </c>
      <c r="M122" s="279">
        <v>6856745.1600000001</v>
      </c>
      <c r="N122" s="279">
        <v>7179162.1600000001</v>
      </c>
      <c r="O122" s="279">
        <v>6778795.1600000001</v>
      </c>
      <c r="P122" s="280">
        <v>6699888.1600000001</v>
      </c>
      <c r="Q122" s="280"/>
      <c r="R122" s="280"/>
      <c r="S122" s="281">
        <f>SUM(G122:R122)</f>
        <v>64347618.999999985</v>
      </c>
      <c r="T122" s="282">
        <v>3962100</v>
      </c>
      <c r="U122" s="283">
        <v>900000</v>
      </c>
      <c r="V122" s="282"/>
      <c r="W122" s="284">
        <f>S122+T122+U122+V122</f>
        <v>69209718.999999985</v>
      </c>
      <c r="X122" s="277" t="b">
        <f>IF(D122="TK",54000000,IF(D122="K0",58500000,IF(D122="K1",63000000,IF(D122="K2",67500000,IF(D122="K3",72000000)))))</f>
        <v>0</v>
      </c>
      <c r="Y122" s="284">
        <f>IF(W122&lt;=X122,0,IF(W122&gt;X122,W122-X122))</f>
        <v>0</v>
      </c>
      <c r="Z122" s="285">
        <f>S122-G122</f>
        <v>58060872.439999983</v>
      </c>
      <c r="AA122" s="257">
        <v>29483999</v>
      </c>
      <c r="AB122" s="285">
        <f>Z122-AA122</f>
        <v>28576873.439999983</v>
      </c>
    </row>
  </sheetData>
  <mergeCells count="21">
    <mergeCell ref="A3:A5"/>
    <mergeCell ref="B3:B5"/>
    <mergeCell ref="C3:C5"/>
    <mergeCell ref="D3:D5"/>
    <mergeCell ref="E3:E5"/>
    <mergeCell ref="U4:U5"/>
    <mergeCell ref="X3:X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G3:V3"/>
    <mergeCell ref="P4:P5"/>
    <mergeCell ref="Q4:Q5"/>
    <mergeCell ref="R4:R5"/>
    <mergeCell ref="T4:T5"/>
  </mergeCells>
  <pageMargins left="0.7" right="0.7" top="0.75" bottom="0.75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2"/>
  <sheetViews>
    <sheetView topLeftCell="A86" workbookViewId="0">
      <selection activeCell="R89" sqref="R89"/>
    </sheetView>
  </sheetViews>
  <sheetFormatPr defaultRowHeight="15"/>
  <cols>
    <col min="1" max="1" width="5.85546875" style="363" customWidth="1"/>
    <col min="2" max="2" width="8.5703125" style="363" hidden="1" customWidth="1"/>
    <col min="3" max="3" width="24.5703125" style="363" customWidth="1"/>
    <col min="4" max="4" width="3.7109375" style="363" customWidth="1"/>
    <col min="5" max="5" width="6.85546875" style="363" customWidth="1"/>
    <col min="6" max="6" width="7.28515625" style="363" customWidth="1"/>
    <col min="7" max="7" width="15.28515625" style="363" customWidth="1"/>
    <col min="8" max="8" width="16.5703125" style="363" customWidth="1"/>
    <col min="9" max="9" width="12.42578125" style="363" customWidth="1"/>
    <col min="10" max="10" width="13.7109375" style="363" customWidth="1"/>
    <col min="11" max="11" width="14" style="363" customWidth="1"/>
    <col min="12" max="12" width="12.42578125" style="363" customWidth="1"/>
    <col min="13" max="13" width="25" style="363" customWidth="1"/>
    <col min="14" max="14" width="18.7109375" style="363" customWidth="1"/>
    <col min="15" max="15" width="26.7109375" style="363" customWidth="1"/>
    <col min="16" max="16" width="12.5703125" style="363" customWidth="1"/>
    <col min="17" max="17" width="18.140625" style="363" customWidth="1"/>
    <col min="18" max="18" width="20.28515625" style="363" customWidth="1"/>
    <col min="19" max="19" width="15.42578125" style="363" customWidth="1"/>
    <col min="20" max="20" width="16.5703125" style="363" customWidth="1"/>
    <col min="21" max="21" width="16.42578125" style="257" hidden="1" customWidth="1"/>
    <col min="22" max="22" width="14.42578125" style="257" hidden="1" customWidth="1"/>
    <col min="23" max="23" width="10.5703125" style="257" bestFit="1" customWidth="1"/>
    <col min="24" max="16384" width="9.140625" style="257"/>
  </cols>
  <sheetData>
    <row r="1" spans="1:23" s="312" customFormat="1" ht="18.75" customHeight="1">
      <c r="A1" s="311" t="s">
        <v>470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</row>
    <row r="2" spans="1:23" s="312" customFormat="1" ht="18.75" customHeight="1" thickBot="1">
      <c r="A2" s="311" t="s">
        <v>522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</row>
    <row r="3" spans="1:23" s="317" customFormat="1" ht="18.75" customHeight="1" thickBot="1">
      <c r="A3" s="635" t="s">
        <v>0</v>
      </c>
      <c r="B3" s="313" t="s">
        <v>471</v>
      </c>
      <c r="C3" s="623" t="s">
        <v>443</v>
      </c>
      <c r="D3" s="623" t="s">
        <v>37</v>
      </c>
      <c r="E3" s="623" t="s">
        <v>444</v>
      </c>
      <c r="F3" s="623" t="s">
        <v>445</v>
      </c>
      <c r="G3" s="629" t="s">
        <v>472</v>
      </c>
      <c r="H3" s="630"/>
      <c r="I3" s="630"/>
      <c r="J3" s="630"/>
      <c r="K3" s="630"/>
      <c r="L3" s="631"/>
      <c r="M3" s="314" t="s">
        <v>473</v>
      </c>
      <c r="N3" s="621" t="s">
        <v>474</v>
      </c>
      <c r="O3" s="622"/>
      <c r="P3" s="622"/>
      <c r="Q3" s="622"/>
      <c r="R3" s="315" t="s">
        <v>464</v>
      </c>
      <c r="S3" s="623" t="s">
        <v>6</v>
      </c>
      <c r="T3" s="316" t="s">
        <v>448</v>
      </c>
    </row>
    <row r="4" spans="1:23" s="317" customFormat="1" ht="18.75" customHeight="1">
      <c r="A4" s="636"/>
      <c r="B4" s="318" t="s">
        <v>475</v>
      </c>
      <c r="C4" s="624"/>
      <c r="D4" s="624"/>
      <c r="E4" s="624"/>
      <c r="F4" s="624"/>
      <c r="G4" s="626" t="s">
        <v>476</v>
      </c>
      <c r="H4" s="319" t="s">
        <v>477</v>
      </c>
      <c r="I4" s="320" t="s">
        <v>478</v>
      </c>
      <c r="J4" s="628" t="s">
        <v>185</v>
      </c>
      <c r="K4" s="321" t="s">
        <v>479</v>
      </c>
      <c r="L4" s="628" t="s">
        <v>480</v>
      </c>
      <c r="M4" s="322" t="s">
        <v>448</v>
      </c>
      <c r="N4" s="323" t="s">
        <v>481</v>
      </c>
      <c r="O4" s="323" t="s">
        <v>482</v>
      </c>
      <c r="P4" s="324" t="s">
        <v>483</v>
      </c>
      <c r="Q4" s="325" t="s">
        <v>447</v>
      </c>
      <c r="R4" s="326" t="s">
        <v>484</v>
      </c>
      <c r="S4" s="624"/>
      <c r="T4" s="327" t="s">
        <v>465</v>
      </c>
    </row>
    <row r="5" spans="1:23" s="317" customFormat="1" ht="18.75" customHeight="1" thickBot="1">
      <c r="A5" s="636"/>
      <c r="B5" s="328" t="s">
        <v>485</v>
      </c>
      <c r="C5" s="625"/>
      <c r="D5" s="625"/>
      <c r="E5" s="625"/>
      <c r="F5" s="625"/>
      <c r="G5" s="627"/>
      <c r="H5" s="329" t="s">
        <v>486</v>
      </c>
      <c r="I5" s="330">
        <v>8.3999999999999995E-3</v>
      </c>
      <c r="J5" s="625"/>
      <c r="K5" s="331" t="s">
        <v>487</v>
      </c>
      <c r="L5" s="625"/>
      <c r="M5" s="332" t="s">
        <v>468</v>
      </c>
      <c r="N5" s="333" t="s">
        <v>488</v>
      </c>
      <c r="O5" s="334" t="s">
        <v>489</v>
      </c>
      <c r="P5" s="333">
        <v>0.01</v>
      </c>
      <c r="Q5" s="334" t="s">
        <v>490</v>
      </c>
      <c r="R5" s="334" t="s">
        <v>491</v>
      </c>
      <c r="S5" s="625"/>
      <c r="T5" s="335" t="s">
        <v>469</v>
      </c>
    </row>
    <row r="6" spans="1:23" s="317" customFormat="1" ht="12.75" customHeight="1">
      <c r="A6" s="343">
        <v>1</v>
      </c>
      <c r="B6" s="344">
        <v>850</v>
      </c>
      <c r="C6" s="345" t="str">
        <f>+PERBULAN!B6</f>
        <v>ARYADI</v>
      </c>
      <c r="D6" s="345" t="str">
        <f>+PERBULAN!C6</f>
        <v>L</v>
      </c>
      <c r="E6" s="345" t="str">
        <f>+PERBULAN!D6</f>
        <v>TK/0</v>
      </c>
      <c r="F6" s="346">
        <f>+PERBULAN!E6</f>
        <v>11</v>
      </c>
      <c r="G6" s="347">
        <f>+PERBULAN!S6</f>
        <v>46033604.159999996</v>
      </c>
      <c r="H6" s="347">
        <f>+BPJS!Q5</f>
        <v>1727084</v>
      </c>
      <c r="I6" s="347">
        <f>+BPJS!Q127</f>
        <v>360318.84</v>
      </c>
      <c r="J6" s="348">
        <f>+PERBULAN!T6</f>
        <v>3991100</v>
      </c>
      <c r="K6" s="349"/>
      <c r="L6" s="347">
        <f>+PERBULAN!U6</f>
        <v>200000</v>
      </c>
      <c r="M6" s="347">
        <f t="shared" ref="M6:M36" si="0">SUM(G6:L6)</f>
        <v>52312107</v>
      </c>
      <c r="N6" s="347">
        <f>+'ASTEK 2% -DIISI SMPAI DESEMBER'!O5</f>
        <v>936432</v>
      </c>
      <c r="O6" s="349">
        <f t="shared" ref="O6:O36" si="1">M6*0.05</f>
        <v>2615605.35</v>
      </c>
      <c r="P6" s="347">
        <f>+'ASTEK 2% -DIISI SMPAI DESEMBER'!O124</f>
        <v>468216</v>
      </c>
      <c r="Q6" s="347">
        <f t="shared" ref="Q6:Q36" si="2">SUM(N6:P6)</f>
        <v>4020253.35</v>
      </c>
      <c r="R6" s="349">
        <f t="shared" ref="R6:R36" si="3">M6-Q6</f>
        <v>48291853.649999999</v>
      </c>
      <c r="S6" s="350">
        <f t="shared" ref="S6:S36" si="4">IF(E6="TK/0",54000000,IF(E6="K/0",58500000,IF(E6="K/1",63000000,IF(E6="K/2",67500000,IF(E6="K/3",72000000)))))</f>
        <v>54000000</v>
      </c>
      <c r="T6" s="351">
        <f t="shared" ref="T6:T40" si="5">IF(R6&lt;=S6,0,IF(R6&gt;S6,R6-S6))</f>
        <v>0</v>
      </c>
      <c r="U6" s="341">
        <f t="shared" ref="U6:U30" si="6">H6+I6</f>
        <v>2087402.84</v>
      </c>
      <c r="V6" s="341">
        <f t="shared" ref="V6:V30" si="7">N6+P6</f>
        <v>1404648</v>
      </c>
      <c r="W6" s="342">
        <f t="shared" ref="W6:W68" si="8">I6+H6</f>
        <v>2087402.84</v>
      </c>
    </row>
    <row r="7" spans="1:23" s="317" customFormat="1" ht="12.75" customHeight="1">
      <c r="A7" s="343">
        <v>2</v>
      </c>
      <c r="B7" s="344">
        <v>855</v>
      </c>
      <c r="C7" s="345" t="str">
        <f>+PERBULAN!B7</f>
        <v>SUPRI</v>
      </c>
      <c r="D7" s="345" t="str">
        <f>+PERBULAN!C7</f>
        <v>L</v>
      </c>
      <c r="E7" s="345" t="str">
        <f>+PERBULAN!D7</f>
        <v>TK/0</v>
      </c>
      <c r="F7" s="346">
        <f>+PERBULAN!E7</f>
        <v>11</v>
      </c>
      <c r="G7" s="347">
        <f>+PERBULAN!S7</f>
        <v>43092970.159999996</v>
      </c>
      <c r="H7" s="347">
        <f>+BPJS!Q6</f>
        <v>1727784</v>
      </c>
      <c r="I7" s="347">
        <f>+BPJS!Q128</f>
        <v>360318.84</v>
      </c>
      <c r="J7" s="348">
        <f>+PERBULAN!T7</f>
        <v>3994600</v>
      </c>
      <c r="K7" s="349"/>
      <c r="L7" s="347">
        <f>+PERBULAN!U7</f>
        <v>200000</v>
      </c>
      <c r="M7" s="347">
        <f t="shared" si="0"/>
        <v>49375673</v>
      </c>
      <c r="N7" s="347">
        <f>+'ASTEK 2% -DIISI SMPAI DESEMBER'!O6</f>
        <v>936432</v>
      </c>
      <c r="O7" s="349">
        <f t="shared" si="1"/>
        <v>2468783.65</v>
      </c>
      <c r="P7" s="347">
        <f>+'ASTEK 2% -DIISI SMPAI DESEMBER'!O125</f>
        <v>468216</v>
      </c>
      <c r="Q7" s="347">
        <f t="shared" si="2"/>
        <v>3873431.65</v>
      </c>
      <c r="R7" s="349">
        <f t="shared" si="3"/>
        <v>45502241.350000001</v>
      </c>
      <c r="S7" s="350">
        <f t="shared" si="4"/>
        <v>54000000</v>
      </c>
      <c r="T7" s="351">
        <f t="shared" si="5"/>
        <v>0</v>
      </c>
      <c r="U7" s="341">
        <f t="shared" si="6"/>
        <v>2088102.84</v>
      </c>
      <c r="V7" s="341">
        <f t="shared" si="7"/>
        <v>1404648</v>
      </c>
      <c r="W7" s="342">
        <f t="shared" si="8"/>
        <v>2088102.84</v>
      </c>
    </row>
    <row r="8" spans="1:23" s="317" customFormat="1" ht="12.75" customHeight="1">
      <c r="A8" s="343">
        <v>3</v>
      </c>
      <c r="B8" s="344">
        <v>861</v>
      </c>
      <c r="C8" s="345" t="str">
        <f>+PERBULAN!B8</f>
        <v>ROTIA</v>
      </c>
      <c r="D8" s="345" t="str">
        <f>+PERBULAN!C8</f>
        <v>P</v>
      </c>
      <c r="E8" s="345" t="str">
        <f>+PERBULAN!D8</f>
        <v>TK/0</v>
      </c>
      <c r="F8" s="346">
        <f>+PERBULAN!E8</f>
        <v>11</v>
      </c>
      <c r="G8" s="347">
        <f>+PERBULAN!S8</f>
        <v>44511976.360000007</v>
      </c>
      <c r="H8" s="347">
        <f>+BPJS!Q7</f>
        <v>1729744</v>
      </c>
      <c r="I8" s="347">
        <f>+BPJS!Q129</f>
        <v>360524.64</v>
      </c>
      <c r="J8" s="348">
        <f>+PERBULAN!T8</f>
        <v>3998100</v>
      </c>
      <c r="K8" s="349"/>
      <c r="L8" s="347">
        <f>+PERBULAN!U8</f>
        <v>200000</v>
      </c>
      <c r="M8" s="347">
        <f t="shared" si="0"/>
        <v>50800345.000000007</v>
      </c>
      <c r="N8" s="347">
        <f>+'ASTEK 2% -DIISI SMPAI DESEMBER'!O7</f>
        <v>937062</v>
      </c>
      <c r="O8" s="349">
        <f t="shared" si="1"/>
        <v>2540017.2500000005</v>
      </c>
      <c r="P8" s="347">
        <f>+'ASTEK 2% -DIISI SMPAI DESEMBER'!O126</f>
        <v>468531</v>
      </c>
      <c r="Q8" s="347">
        <f t="shared" si="2"/>
        <v>3945610.2500000005</v>
      </c>
      <c r="R8" s="349">
        <f t="shared" si="3"/>
        <v>46854734.750000007</v>
      </c>
      <c r="S8" s="350">
        <f t="shared" si="4"/>
        <v>54000000</v>
      </c>
      <c r="T8" s="351">
        <f t="shared" si="5"/>
        <v>0</v>
      </c>
      <c r="U8" s="341">
        <f t="shared" si="6"/>
        <v>2090268.6400000001</v>
      </c>
      <c r="V8" s="341">
        <f t="shared" si="7"/>
        <v>1405593</v>
      </c>
      <c r="W8" s="342">
        <f t="shared" si="8"/>
        <v>2090268.6400000001</v>
      </c>
    </row>
    <row r="9" spans="1:23" s="317" customFormat="1" ht="12.75" customHeight="1">
      <c r="A9" s="343">
        <v>4</v>
      </c>
      <c r="B9" s="344">
        <v>862</v>
      </c>
      <c r="C9" s="345" t="str">
        <f>+PERBULAN!B9</f>
        <v>SURYANI</v>
      </c>
      <c r="D9" s="345" t="str">
        <f>+PERBULAN!C9</f>
        <v>P</v>
      </c>
      <c r="E9" s="345" t="str">
        <f>+PERBULAN!D9</f>
        <v>TK/0</v>
      </c>
      <c r="F9" s="346">
        <f>+PERBULAN!E9</f>
        <v>11</v>
      </c>
      <c r="G9" s="347">
        <f>+PERBULAN!S9</f>
        <v>44579905.160000004</v>
      </c>
      <c r="H9" s="347">
        <f>+BPJS!Q8</f>
        <v>1729324</v>
      </c>
      <c r="I9" s="347">
        <f>+BPJS!Q130</f>
        <v>360465.83999999997</v>
      </c>
      <c r="J9" s="348">
        <f>+PERBULAN!T9</f>
        <v>3998100</v>
      </c>
      <c r="K9" s="349"/>
      <c r="L9" s="347">
        <f>+PERBULAN!U9</f>
        <v>200000</v>
      </c>
      <c r="M9" s="347">
        <f t="shared" si="0"/>
        <v>50867795.000000007</v>
      </c>
      <c r="N9" s="347">
        <f>+'ASTEK 2% -DIISI SMPAI DESEMBER'!O8</f>
        <v>936852</v>
      </c>
      <c r="O9" s="349">
        <f t="shared" si="1"/>
        <v>2543389.7500000005</v>
      </c>
      <c r="P9" s="347">
        <f>+'ASTEK 2% -DIISI SMPAI DESEMBER'!O127</f>
        <v>468426</v>
      </c>
      <c r="Q9" s="347">
        <f t="shared" si="2"/>
        <v>3948667.7500000005</v>
      </c>
      <c r="R9" s="349">
        <f t="shared" si="3"/>
        <v>46919127.250000007</v>
      </c>
      <c r="S9" s="350">
        <f t="shared" si="4"/>
        <v>54000000</v>
      </c>
      <c r="T9" s="351">
        <f t="shared" si="5"/>
        <v>0</v>
      </c>
      <c r="U9" s="341">
        <f t="shared" si="6"/>
        <v>2089789.8399999999</v>
      </c>
      <c r="V9" s="341">
        <f t="shared" si="7"/>
        <v>1405278</v>
      </c>
      <c r="W9" s="342">
        <f t="shared" si="8"/>
        <v>2089789.8399999999</v>
      </c>
    </row>
    <row r="10" spans="1:23" s="317" customFormat="1" ht="12.75" customHeight="1">
      <c r="A10" s="343">
        <v>5</v>
      </c>
      <c r="B10" s="344">
        <v>865</v>
      </c>
      <c r="C10" s="345" t="str">
        <f>+PERBULAN!B10</f>
        <v>SAHINA YUNI</v>
      </c>
      <c r="D10" s="345" t="str">
        <f>+PERBULAN!C10</f>
        <v>P</v>
      </c>
      <c r="E10" s="345" t="str">
        <f>+PERBULAN!D10</f>
        <v>TK/0</v>
      </c>
      <c r="F10" s="346">
        <f>+PERBULAN!E10</f>
        <v>11</v>
      </c>
      <c r="G10" s="347">
        <f>+PERBULAN!S10</f>
        <v>44150497.159999996</v>
      </c>
      <c r="H10" s="347">
        <f>+BPJS!Q9</f>
        <v>1727924</v>
      </c>
      <c r="I10" s="347">
        <f>+BPJS!Q131</f>
        <v>360318.84</v>
      </c>
      <c r="J10" s="348">
        <f>+PERBULAN!T10</f>
        <v>3994600</v>
      </c>
      <c r="K10" s="349"/>
      <c r="L10" s="347">
        <f>+PERBULAN!U10</f>
        <v>200000</v>
      </c>
      <c r="M10" s="347">
        <f t="shared" si="0"/>
        <v>50433340</v>
      </c>
      <c r="N10" s="347">
        <f>+'ASTEK 2% -DIISI SMPAI DESEMBER'!O9</f>
        <v>936502</v>
      </c>
      <c r="O10" s="349">
        <f t="shared" si="1"/>
        <v>2521667</v>
      </c>
      <c r="P10" s="347">
        <f>+'ASTEK 2% -DIISI SMPAI DESEMBER'!O128</f>
        <v>468251</v>
      </c>
      <c r="Q10" s="347">
        <f t="shared" si="2"/>
        <v>3926420</v>
      </c>
      <c r="R10" s="349">
        <f t="shared" si="3"/>
        <v>46506920</v>
      </c>
      <c r="S10" s="350">
        <f t="shared" si="4"/>
        <v>54000000</v>
      </c>
      <c r="T10" s="351">
        <f t="shared" si="5"/>
        <v>0</v>
      </c>
      <c r="U10" s="341">
        <f t="shared" si="6"/>
        <v>2088242.84</v>
      </c>
      <c r="V10" s="341">
        <f t="shared" si="7"/>
        <v>1404753</v>
      </c>
      <c r="W10" s="342">
        <f t="shared" si="8"/>
        <v>2088242.84</v>
      </c>
    </row>
    <row r="11" spans="1:23" s="317" customFormat="1" ht="12.75" customHeight="1">
      <c r="A11" s="343">
        <v>6</v>
      </c>
      <c r="B11" s="344">
        <v>870</v>
      </c>
      <c r="C11" s="345" t="str">
        <f>+PERBULAN!B11</f>
        <v>NURLELA</v>
      </c>
      <c r="D11" s="345" t="str">
        <f>+PERBULAN!C11</f>
        <v>P</v>
      </c>
      <c r="E11" s="345" t="str">
        <f>+PERBULAN!D11</f>
        <v>TK/0</v>
      </c>
      <c r="F11" s="346">
        <f>+PERBULAN!E11</f>
        <v>11</v>
      </c>
      <c r="G11" s="347">
        <f>+PERBULAN!S11</f>
        <v>44655038.159999996</v>
      </c>
      <c r="H11" s="347">
        <f>+BPJS!Q10</f>
        <v>1745984</v>
      </c>
      <c r="I11" s="347">
        <f>+BPJS!Q132</f>
        <v>362229.83999999997</v>
      </c>
      <c r="J11" s="348">
        <f>+PERBULAN!T11</f>
        <v>4033100</v>
      </c>
      <c r="K11" s="349"/>
      <c r="L11" s="347">
        <f>+PERBULAN!U11</f>
        <v>200000</v>
      </c>
      <c r="M11" s="347">
        <f t="shared" si="0"/>
        <v>50996352</v>
      </c>
      <c r="N11" s="347">
        <f>+'ASTEK 2% -DIISI SMPAI DESEMBER'!O10</f>
        <v>941892</v>
      </c>
      <c r="O11" s="349">
        <f t="shared" si="1"/>
        <v>2549817.6</v>
      </c>
      <c r="P11" s="347">
        <f>+'ASTEK 2% -DIISI SMPAI DESEMBER'!O129</f>
        <v>470946</v>
      </c>
      <c r="Q11" s="347">
        <f t="shared" si="2"/>
        <v>3962655.6</v>
      </c>
      <c r="R11" s="349">
        <f t="shared" si="3"/>
        <v>47033696.399999999</v>
      </c>
      <c r="S11" s="350">
        <f t="shared" si="4"/>
        <v>54000000</v>
      </c>
      <c r="T11" s="351">
        <f t="shared" si="5"/>
        <v>0</v>
      </c>
      <c r="U11" s="341">
        <f t="shared" si="6"/>
        <v>2108213.84</v>
      </c>
      <c r="V11" s="341">
        <f t="shared" si="7"/>
        <v>1412838</v>
      </c>
      <c r="W11" s="342">
        <f t="shared" si="8"/>
        <v>2108213.84</v>
      </c>
    </row>
    <row r="12" spans="1:23" s="317" customFormat="1" ht="12.75" customHeight="1">
      <c r="A12" s="343">
        <v>7</v>
      </c>
      <c r="B12" s="344">
        <v>871</v>
      </c>
      <c r="C12" s="345" t="str">
        <f>+PERBULAN!B12</f>
        <v>SUSINARTI</v>
      </c>
      <c r="D12" s="345" t="str">
        <f>+PERBULAN!C12</f>
        <v>P</v>
      </c>
      <c r="E12" s="345" t="str">
        <f>+PERBULAN!D12</f>
        <v>TK/0</v>
      </c>
      <c r="F12" s="346">
        <f>+PERBULAN!E12</f>
        <v>11</v>
      </c>
      <c r="G12" s="347">
        <f>+PERBULAN!S12</f>
        <v>44303507.359999992</v>
      </c>
      <c r="H12" s="347">
        <f>+BPJS!Q11</f>
        <v>1726664</v>
      </c>
      <c r="I12" s="347">
        <f>+BPJS!Q133</f>
        <v>360230.64</v>
      </c>
      <c r="J12" s="348">
        <f>+PERBULAN!T12</f>
        <v>3991100</v>
      </c>
      <c r="K12" s="349"/>
      <c r="L12" s="347">
        <f>+PERBULAN!U12</f>
        <v>200000</v>
      </c>
      <c r="M12" s="347">
        <f t="shared" si="0"/>
        <v>50581501.999999993</v>
      </c>
      <c r="N12" s="347">
        <f>+'ASTEK 2% -DIISI SMPAI DESEMBER'!O11</f>
        <v>936222</v>
      </c>
      <c r="O12" s="349">
        <f t="shared" si="1"/>
        <v>2529075.0999999996</v>
      </c>
      <c r="P12" s="347">
        <f>+'ASTEK 2% -DIISI SMPAI DESEMBER'!O130</f>
        <v>468111</v>
      </c>
      <c r="Q12" s="347">
        <f t="shared" si="2"/>
        <v>3933408.0999999996</v>
      </c>
      <c r="R12" s="349">
        <f t="shared" si="3"/>
        <v>46648093.899999991</v>
      </c>
      <c r="S12" s="350">
        <f t="shared" si="4"/>
        <v>54000000</v>
      </c>
      <c r="T12" s="351">
        <f t="shared" si="5"/>
        <v>0</v>
      </c>
      <c r="U12" s="341">
        <f t="shared" si="6"/>
        <v>2086894.6400000001</v>
      </c>
      <c r="V12" s="341">
        <f t="shared" si="7"/>
        <v>1404333</v>
      </c>
      <c r="W12" s="342">
        <f t="shared" si="8"/>
        <v>2086894.6400000001</v>
      </c>
    </row>
    <row r="13" spans="1:23" s="317" customFormat="1" ht="12.75" customHeight="1">
      <c r="A13" s="343">
        <v>8</v>
      </c>
      <c r="B13" s="344">
        <v>874</v>
      </c>
      <c r="C13" s="345" t="str">
        <f>+PERBULAN!B13</f>
        <v>JAHIMIN</v>
      </c>
      <c r="D13" s="345" t="str">
        <f>+PERBULAN!C13</f>
        <v>L</v>
      </c>
      <c r="E13" s="345" t="str">
        <f>+PERBULAN!D13</f>
        <v>K/0</v>
      </c>
      <c r="F13" s="346">
        <f>+PERBULAN!E13</f>
        <v>11</v>
      </c>
      <c r="G13" s="347">
        <f>+PERBULAN!S13</f>
        <v>44427465.159999996</v>
      </c>
      <c r="H13" s="347">
        <f>+BPJS!Q12</f>
        <v>1741644</v>
      </c>
      <c r="I13" s="347">
        <f>+BPJS!Q134</f>
        <v>361788.84</v>
      </c>
      <c r="J13" s="348">
        <f>+PERBULAN!T13</f>
        <v>4069600</v>
      </c>
      <c r="K13" s="349"/>
      <c r="L13" s="347">
        <f>+PERBULAN!U13</f>
        <v>200000</v>
      </c>
      <c r="M13" s="347">
        <f t="shared" si="0"/>
        <v>50800498</v>
      </c>
      <c r="N13" s="347">
        <f>+'ASTEK 2% -DIISI SMPAI DESEMBER'!O12</f>
        <v>940632</v>
      </c>
      <c r="O13" s="349">
        <f t="shared" si="1"/>
        <v>2540024.9000000004</v>
      </c>
      <c r="P13" s="347">
        <f>+'ASTEK 2% -DIISI SMPAI DESEMBER'!O131</f>
        <v>470316</v>
      </c>
      <c r="Q13" s="347">
        <f t="shared" si="2"/>
        <v>3950972.9000000004</v>
      </c>
      <c r="R13" s="349">
        <f t="shared" si="3"/>
        <v>46849525.100000001</v>
      </c>
      <c r="S13" s="350">
        <f t="shared" si="4"/>
        <v>58500000</v>
      </c>
      <c r="T13" s="351">
        <f t="shared" si="5"/>
        <v>0</v>
      </c>
      <c r="U13" s="341">
        <f t="shared" si="6"/>
        <v>2103432.84</v>
      </c>
      <c r="V13" s="341">
        <f t="shared" si="7"/>
        <v>1410948</v>
      </c>
      <c r="W13" s="342">
        <f t="shared" si="8"/>
        <v>2103432.84</v>
      </c>
    </row>
    <row r="14" spans="1:23" s="317" customFormat="1" ht="12.75" customHeight="1">
      <c r="A14" s="343">
        <v>9</v>
      </c>
      <c r="B14" s="344">
        <v>878</v>
      </c>
      <c r="C14" s="345" t="str">
        <f>+PERBULAN!B14</f>
        <v>GUSTAMI</v>
      </c>
      <c r="D14" s="345" t="str">
        <f>+PERBULAN!C14</f>
        <v>L</v>
      </c>
      <c r="E14" s="345" t="str">
        <f>+PERBULAN!D14</f>
        <v>K/1</v>
      </c>
      <c r="F14" s="346">
        <f>+PERBULAN!E14</f>
        <v>11</v>
      </c>
      <c r="G14" s="347">
        <f>+PERBULAN!S14</f>
        <v>45289429.159999996</v>
      </c>
      <c r="H14" s="347">
        <f>+BPJS!Q13</f>
        <v>1720224</v>
      </c>
      <c r="I14" s="347">
        <f>+BPJS!Q135</f>
        <v>359583.84</v>
      </c>
      <c r="J14" s="348">
        <f>+PERBULAN!T14</f>
        <v>4049100</v>
      </c>
      <c r="K14" s="349"/>
      <c r="L14" s="347">
        <f>+PERBULAN!U14</f>
        <v>200000</v>
      </c>
      <c r="M14" s="347">
        <f t="shared" si="0"/>
        <v>51618337</v>
      </c>
      <c r="N14" s="347">
        <f>+'ASTEK 2% -DIISI SMPAI DESEMBER'!O13</f>
        <v>934402</v>
      </c>
      <c r="O14" s="349">
        <f t="shared" si="1"/>
        <v>2580916.85</v>
      </c>
      <c r="P14" s="347">
        <f>+'ASTEK 2% -DIISI SMPAI DESEMBER'!O132</f>
        <v>467201</v>
      </c>
      <c r="Q14" s="347">
        <f t="shared" si="2"/>
        <v>3982519.85</v>
      </c>
      <c r="R14" s="349">
        <f t="shared" si="3"/>
        <v>47635817.149999999</v>
      </c>
      <c r="S14" s="350">
        <f t="shared" si="4"/>
        <v>63000000</v>
      </c>
      <c r="T14" s="351">
        <f t="shared" si="5"/>
        <v>0</v>
      </c>
      <c r="U14" s="341">
        <f t="shared" si="6"/>
        <v>2079807.84</v>
      </c>
      <c r="V14" s="341">
        <f t="shared" si="7"/>
        <v>1401603</v>
      </c>
      <c r="W14" s="342">
        <f t="shared" si="8"/>
        <v>2079807.84</v>
      </c>
    </row>
    <row r="15" spans="1:23" s="317" customFormat="1" ht="12.75" customHeight="1">
      <c r="A15" s="343">
        <v>10</v>
      </c>
      <c r="B15" s="344">
        <v>879</v>
      </c>
      <c r="C15" s="345" t="str">
        <f>+PERBULAN!B15</f>
        <v>AGUS TRIANTIKA</v>
      </c>
      <c r="D15" s="345" t="str">
        <f>+PERBULAN!C15</f>
        <v>L</v>
      </c>
      <c r="E15" s="345" t="str">
        <f>+PERBULAN!D15</f>
        <v>K/2</v>
      </c>
      <c r="F15" s="346">
        <f>+PERBULAN!E15</f>
        <v>11</v>
      </c>
      <c r="G15" s="347">
        <f>+PERBULAN!S15</f>
        <v>43398046.359999992</v>
      </c>
      <c r="H15" s="347">
        <f>+BPJS!Q14</f>
        <v>1716744</v>
      </c>
      <c r="I15" s="347">
        <f>+BPJS!Q136</f>
        <v>359306.63999999996</v>
      </c>
      <c r="J15" s="348">
        <f>+PERBULAN!T15</f>
        <v>4067100</v>
      </c>
      <c r="K15" s="349"/>
      <c r="L15" s="347">
        <f>+PERBULAN!U15</f>
        <v>200000</v>
      </c>
      <c r="M15" s="347">
        <f t="shared" si="0"/>
        <v>49741196.999999993</v>
      </c>
      <c r="N15" s="347">
        <f>+'ASTEK 2% -DIISI SMPAI DESEMBER'!O14</f>
        <v>933552</v>
      </c>
      <c r="O15" s="349">
        <f t="shared" si="1"/>
        <v>2487059.8499999996</v>
      </c>
      <c r="P15" s="347">
        <f>+'ASTEK 2% -DIISI SMPAI DESEMBER'!O133</f>
        <v>466776</v>
      </c>
      <c r="Q15" s="347">
        <f t="shared" si="2"/>
        <v>3887387.8499999996</v>
      </c>
      <c r="R15" s="349">
        <f t="shared" si="3"/>
        <v>45853809.149999991</v>
      </c>
      <c r="S15" s="350">
        <f t="shared" si="4"/>
        <v>67500000</v>
      </c>
      <c r="T15" s="351">
        <f t="shared" si="5"/>
        <v>0</v>
      </c>
      <c r="U15" s="341">
        <f t="shared" si="6"/>
        <v>2076050.64</v>
      </c>
      <c r="V15" s="341">
        <f t="shared" si="7"/>
        <v>1400328</v>
      </c>
      <c r="W15" s="342">
        <f t="shared" si="8"/>
        <v>2076050.64</v>
      </c>
    </row>
    <row r="16" spans="1:23" s="317" customFormat="1" ht="12.75" customHeight="1">
      <c r="A16" s="343">
        <v>11</v>
      </c>
      <c r="B16" s="344"/>
      <c r="C16" s="345" t="str">
        <f>+PERBULAN!B16</f>
        <v>FIKA HOIRI</v>
      </c>
      <c r="D16" s="345" t="str">
        <f>+PERBULAN!C16</f>
        <v>L</v>
      </c>
      <c r="E16" s="345" t="str">
        <f>+PERBULAN!D16</f>
        <v>K/1</v>
      </c>
      <c r="F16" s="346">
        <f>+PERBULAN!E16</f>
        <v>11</v>
      </c>
      <c r="G16" s="347">
        <f>+PERBULAN!S16</f>
        <v>42277195.160000004</v>
      </c>
      <c r="H16" s="347">
        <f>+BPJS!Q15</f>
        <v>1710204</v>
      </c>
      <c r="I16" s="347">
        <f>+BPJS!Q137</f>
        <v>358638.83999999997</v>
      </c>
      <c r="J16" s="348">
        <f>+PERBULAN!T16</f>
        <v>4026100</v>
      </c>
      <c r="K16" s="349"/>
      <c r="L16" s="347">
        <f>+PERBULAN!U16</f>
        <v>200000</v>
      </c>
      <c r="M16" s="347">
        <f t="shared" si="0"/>
        <v>48572138.000000007</v>
      </c>
      <c r="N16" s="347">
        <f>+'ASTEK 2% -DIISI SMPAI DESEMBER'!O15</f>
        <v>931672</v>
      </c>
      <c r="O16" s="349">
        <f t="shared" si="1"/>
        <v>2428606.9000000004</v>
      </c>
      <c r="P16" s="347">
        <f>+'ASTEK 2% -DIISI SMPAI DESEMBER'!O134</f>
        <v>465836</v>
      </c>
      <c r="Q16" s="347">
        <f t="shared" si="2"/>
        <v>3826114.9000000004</v>
      </c>
      <c r="R16" s="349">
        <f t="shared" si="3"/>
        <v>44746023.100000009</v>
      </c>
      <c r="S16" s="350">
        <f t="shared" si="4"/>
        <v>63000000</v>
      </c>
      <c r="T16" s="351">
        <f t="shared" si="5"/>
        <v>0</v>
      </c>
      <c r="U16" s="341">
        <f t="shared" si="6"/>
        <v>2068842.8399999999</v>
      </c>
      <c r="V16" s="341">
        <f t="shared" si="7"/>
        <v>1397508</v>
      </c>
      <c r="W16" s="342">
        <f t="shared" si="8"/>
        <v>2068842.8399999999</v>
      </c>
    </row>
    <row r="17" spans="1:23" s="317" customFormat="1" ht="12.75" customHeight="1">
      <c r="A17" s="343">
        <v>12</v>
      </c>
      <c r="B17" s="344">
        <v>888</v>
      </c>
      <c r="C17" s="345" t="str">
        <f>+PERBULAN!B17</f>
        <v>NOPI HARIKA</v>
      </c>
      <c r="D17" s="345" t="str">
        <f>+PERBULAN!C17</f>
        <v>P</v>
      </c>
      <c r="E17" s="345" t="str">
        <f>+PERBULAN!D17</f>
        <v>TK/0</v>
      </c>
      <c r="F17" s="346">
        <f>+PERBULAN!E17</f>
        <v>11</v>
      </c>
      <c r="G17" s="347">
        <f>+PERBULAN!S17</f>
        <v>44051069.159999996</v>
      </c>
      <c r="H17" s="347">
        <f>+BPJS!Q16</f>
        <v>1727084</v>
      </c>
      <c r="I17" s="347">
        <f>+BPJS!Q138</f>
        <v>360318.84</v>
      </c>
      <c r="J17" s="348">
        <f>+PERBULAN!T17</f>
        <v>3991100</v>
      </c>
      <c r="K17" s="349"/>
      <c r="L17" s="347">
        <f>+PERBULAN!U17</f>
        <v>200000</v>
      </c>
      <c r="M17" s="347">
        <f t="shared" si="0"/>
        <v>50329572</v>
      </c>
      <c r="N17" s="347">
        <f>+'ASTEK 2% -DIISI SMPAI DESEMBER'!O16</f>
        <v>936432</v>
      </c>
      <c r="O17" s="349">
        <f t="shared" si="1"/>
        <v>2516478.6</v>
      </c>
      <c r="P17" s="347">
        <f>+'ASTEK 2% -DIISI SMPAI DESEMBER'!O135</f>
        <v>468216</v>
      </c>
      <c r="Q17" s="347">
        <f t="shared" si="2"/>
        <v>3921126.6</v>
      </c>
      <c r="R17" s="349">
        <f t="shared" si="3"/>
        <v>46408445.399999999</v>
      </c>
      <c r="S17" s="350">
        <f t="shared" si="4"/>
        <v>54000000</v>
      </c>
      <c r="T17" s="351">
        <f t="shared" si="5"/>
        <v>0</v>
      </c>
      <c r="U17" s="341">
        <f t="shared" si="6"/>
        <v>2087402.84</v>
      </c>
      <c r="V17" s="341">
        <f t="shared" si="7"/>
        <v>1404648</v>
      </c>
      <c r="W17" s="342">
        <f t="shared" si="8"/>
        <v>2087402.84</v>
      </c>
    </row>
    <row r="18" spans="1:23" s="317" customFormat="1" ht="12.75" customHeight="1">
      <c r="A18" s="343">
        <v>13</v>
      </c>
      <c r="B18" s="344">
        <v>901</v>
      </c>
      <c r="C18" s="345" t="str">
        <f>+PERBULAN!B18</f>
        <v>SARI IRIANTI</v>
      </c>
      <c r="D18" s="345" t="str">
        <f>+PERBULAN!C18</f>
        <v>P</v>
      </c>
      <c r="E18" s="345" t="str">
        <f>+PERBULAN!D18</f>
        <v>TK/0</v>
      </c>
      <c r="F18" s="346">
        <f>+PERBULAN!E18</f>
        <v>11</v>
      </c>
      <c r="G18" s="347">
        <f>+PERBULAN!S18</f>
        <v>43825565.359999999</v>
      </c>
      <c r="H18" s="347">
        <f>+BPJS!Q17</f>
        <v>1718064</v>
      </c>
      <c r="I18" s="347">
        <f>+BPJS!Q139</f>
        <v>359432.63999999996</v>
      </c>
      <c r="J18" s="348">
        <f>+PERBULAN!T18</f>
        <v>3971100</v>
      </c>
      <c r="K18" s="349"/>
      <c r="L18" s="347">
        <f>+PERBULAN!U18</f>
        <v>200000</v>
      </c>
      <c r="M18" s="347">
        <f t="shared" si="0"/>
        <v>50074162</v>
      </c>
      <c r="N18" s="347">
        <f>+'ASTEK 2% -DIISI SMPAI DESEMBER'!O17</f>
        <v>933912</v>
      </c>
      <c r="O18" s="349">
        <f t="shared" si="1"/>
        <v>2503708.1</v>
      </c>
      <c r="P18" s="347">
        <f>+'ASTEK 2% -DIISI SMPAI DESEMBER'!O136</f>
        <v>466956</v>
      </c>
      <c r="Q18" s="347">
        <f t="shared" si="2"/>
        <v>3904576.1</v>
      </c>
      <c r="R18" s="349">
        <f t="shared" si="3"/>
        <v>46169585.899999999</v>
      </c>
      <c r="S18" s="350">
        <f t="shared" si="4"/>
        <v>54000000</v>
      </c>
      <c r="T18" s="351">
        <f t="shared" si="5"/>
        <v>0</v>
      </c>
      <c r="U18" s="341">
        <f t="shared" si="6"/>
        <v>2077496.64</v>
      </c>
      <c r="V18" s="341">
        <f t="shared" si="7"/>
        <v>1400868</v>
      </c>
      <c r="W18" s="342">
        <f t="shared" si="8"/>
        <v>2077496.64</v>
      </c>
    </row>
    <row r="19" spans="1:23" s="317" customFormat="1" ht="12.75" customHeight="1">
      <c r="A19" s="343">
        <v>14</v>
      </c>
      <c r="B19" s="344">
        <v>910</v>
      </c>
      <c r="C19" s="345" t="str">
        <f>+PERBULAN!B19</f>
        <v>ROSNANI</v>
      </c>
      <c r="D19" s="345" t="str">
        <f>+PERBULAN!C19</f>
        <v>P</v>
      </c>
      <c r="E19" s="345" t="str">
        <f>+PERBULAN!D19</f>
        <v>TK/0</v>
      </c>
      <c r="F19" s="346">
        <f>+PERBULAN!E19</f>
        <v>11</v>
      </c>
      <c r="G19" s="347">
        <f>+PERBULAN!S19</f>
        <v>44190748.360000007</v>
      </c>
      <c r="H19" s="347">
        <f>+BPJS!Q18</f>
        <v>1729744</v>
      </c>
      <c r="I19" s="347">
        <f>+BPJS!Q140</f>
        <v>360524.64</v>
      </c>
      <c r="J19" s="348">
        <f>+PERBULAN!T19</f>
        <v>3998100</v>
      </c>
      <c r="K19" s="349"/>
      <c r="L19" s="347">
        <f>+PERBULAN!U19</f>
        <v>200000</v>
      </c>
      <c r="M19" s="347">
        <f t="shared" si="0"/>
        <v>50479117.000000007</v>
      </c>
      <c r="N19" s="347">
        <f>+'ASTEK 2% -DIISI SMPAI DESEMBER'!O18</f>
        <v>937062</v>
      </c>
      <c r="O19" s="349">
        <f t="shared" si="1"/>
        <v>2523955.8500000006</v>
      </c>
      <c r="P19" s="347">
        <f>+'ASTEK 2% -DIISI SMPAI DESEMBER'!O137</f>
        <v>468531</v>
      </c>
      <c r="Q19" s="347">
        <f t="shared" si="2"/>
        <v>3929548.8500000006</v>
      </c>
      <c r="R19" s="349">
        <f t="shared" si="3"/>
        <v>46549568.150000006</v>
      </c>
      <c r="S19" s="350">
        <f t="shared" si="4"/>
        <v>54000000</v>
      </c>
      <c r="T19" s="351">
        <f t="shared" si="5"/>
        <v>0</v>
      </c>
      <c r="U19" s="341">
        <f t="shared" si="6"/>
        <v>2090268.6400000001</v>
      </c>
      <c r="V19" s="341">
        <f t="shared" si="7"/>
        <v>1405593</v>
      </c>
      <c r="W19" s="342">
        <f t="shared" si="8"/>
        <v>2090268.6400000001</v>
      </c>
    </row>
    <row r="20" spans="1:23" s="317" customFormat="1" ht="12.75" customHeight="1">
      <c r="A20" s="343">
        <v>15</v>
      </c>
      <c r="B20" s="344">
        <v>911</v>
      </c>
      <c r="C20" s="345" t="str">
        <f>+PERBULAN!B20</f>
        <v>YESI</v>
      </c>
      <c r="D20" s="345" t="str">
        <f>+PERBULAN!C20</f>
        <v>P</v>
      </c>
      <c r="E20" s="345" t="str">
        <f>+PERBULAN!D20</f>
        <v>TK/0</v>
      </c>
      <c r="F20" s="346">
        <f>+PERBULAN!E20</f>
        <v>11</v>
      </c>
      <c r="G20" s="347">
        <f>+PERBULAN!S20</f>
        <v>43671280.159999996</v>
      </c>
      <c r="H20" s="347">
        <f>+BPJS!Q19</f>
        <v>1714224</v>
      </c>
      <c r="I20" s="347">
        <f>+BPJS!Q141</f>
        <v>359079.83999999997</v>
      </c>
      <c r="J20" s="348">
        <f>+PERBULAN!T20</f>
        <v>3962100</v>
      </c>
      <c r="K20" s="349"/>
      <c r="L20" s="347">
        <f>+PERBULAN!U20</f>
        <v>200000</v>
      </c>
      <c r="M20" s="347">
        <f t="shared" si="0"/>
        <v>49906684</v>
      </c>
      <c r="N20" s="347">
        <f>+'ASTEK 2% -DIISI SMPAI DESEMBER'!O19</f>
        <v>932892</v>
      </c>
      <c r="O20" s="349">
        <f t="shared" si="1"/>
        <v>2495334.2000000002</v>
      </c>
      <c r="P20" s="347">
        <f>+'ASTEK 2% -DIISI SMPAI DESEMBER'!O138</f>
        <v>466446</v>
      </c>
      <c r="Q20" s="347">
        <f t="shared" si="2"/>
        <v>3894672.2</v>
      </c>
      <c r="R20" s="349">
        <f t="shared" si="3"/>
        <v>46012011.799999997</v>
      </c>
      <c r="S20" s="350">
        <f t="shared" si="4"/>
        <v>54000000</v>
      </c>
      <c r="T20" s="351">
        <f t="shared" si="5"/>
        <v>0</v>
      </c>
      <c r="U20" s="341">
        <f t="shared" si="6"/>
        <v>2073303.8399999999</v>
      </c>
      <c r="V20" s="341">
        <f t="shared" si="7"/>
        <v>1399338</v>
      </c>
      <c r="W20" s="342">
        <f t="shared" si="8"/>
        <v>2073303.8399999999</v>
      </c>
    </row>
    <row r="21" spans="1:23" s="317" customFormat="1" ht="12.75" customHeight="1">
      <c r="A21" s="343">
        <v>16</v>
      </c>
      <c r="B21" s="344">
        <v>904</v>
      </c>
      <c r="C21" s="345" t="str">
        <f>+PERBULAN!B21</f>
        <v>WAKINI</v>
      </c>
      <c r="D21" s="345" t="str">
        <f>+PERBULAN!C21</f>
        <v>P</v>
      </c>
      <c r="E21" s="345" t="str">
        <f>+PERBULAN!D21</f>
        <v>TK/0</v>
      </c>
      <c r="F21" s="346">
        <f>+PERBULAN!E21</f>
        <v>11</v>
      </c>
      <c r="G21" s="347">
        <f>+PERBULAN!S21</f>
        <v>44704100.159999996</v>
      </c>
      <c r="H21" s="347">
        <f>+BPJS!Q20</f>
        <v>1714224</v>
      </c>
      <c r="I21" s="347">
        <f>+BPJS!Q142</f>
        <v>359079.83999999997</v>
      </c>
      <c r="J21" s="348">
        <f>+PERBULAN!T21</f>
        <v>3962100</v>
      </c>
      <c r="K21" s="349"/>
      <c r="L21" s="347">
        <f>+PERBULAN!U21</f>
        <v>900000</v>
      </c>
      <c r="M21" s="347">
        <f t="shared" si="0"/>
        <v>51639504</v>
      </c>
      <c r="N21" s="347">
        <f>+'ASTEK 2% -DIISI SMPAI DESEMBER'!O20</f>
        <v>932892</v>
      </c>
      <c r="O21" s="349">
        <f t="shared" si="1"/>
        <v>2581975.2000000002</v>
      </c>
      <c r="P21" s="347">
        <f>+'ASTEK 2% -DIISI SMPAI DESEMBER'!O139</f>
        <v>466446</v>
      </c>
      <c r="Q21" s="347">
        <f t="shared" si="2"/>
        <v>3981313.2</v>
      </c>
      <c r="R21" s="349">
        <f t="shared" si="3"/>
        <v>47658190.799999997</v>
      </c>
      <c r="S21" s="350">
        <f t="shared" si="4"/>
        <v>54000000</v>
      </c>
      <c r="T21" s="351">
        <f>IF(R21&lt;=S21,0,IF(R21&gt;S21,R21-S21))</f>
        <v>0</v>
      </c>
      <c r="U21" s="341">
        <f t="shared" si="6"/>
        <v>2073303.8399999999</v>
      </c>
      <c r="V21" s="341">
        <f t="shared" si="7"/>
        <v>1399338</v>
      </c>
      <c r="W21" s="342">
        <f t="shared" si="8"/>
        <v>2073303.8399999999</v>
      </c>
    </row>
    <row r="22" spans="1:23" s="317" customFormat="1" ht="12.75" customHeight="1">
      <c r="A22" s="343">
        <v>17</v>
      </c>
      <c r="B22" s="344">
        <v>912</v>
      </c>
      <c r="C22" s="345" t="str">
        <f>+PERBULAN!B22</f>
        <v>WITA SARI</v>
      </c>
      <c r="D22" s="345" t="str">
        <f>+PERBULAN!C22</f>
        <v>P</v>
      </c>
      <c r="E22" s="345" t="str">
        <f>+PERBULAN!D22</f>
        <v>TK/0</v>
      </c>
      <c r="F22" s="346">
        <f>+PERBULAN!E22</f>
        <v>11</v>
      </c>
      <c r="G22" s="347">
        <f>+PERBULAN!S22</f>
        <v>44704100.159999996</v>
      </c>
      <c r="H22" s="347">
        <f>+BPJS!Q21</f>
        <v>1714224</v>
      </c>
      <c r="I22" s="347">
        <f>+BPJS!Q143</f>
        <v>359079.83999999997</v>
      </c>
      <c r="J22" s="348">
        <f>+PERBULAN!T22</f>
        <v>3962100</v>
      </c>
      <c r="K22" s="349"/>
      <c r="L22" s="347">
        <f>+PERBULAN!U22</f>
        <v>200000</v>
      </c>
      <c r="M22" s="347">
        <f t="shared" si="0"/>
        <v>50939504</v>
      </c>
      <c r="N22" s="347">
        <f>+'ASTEK 2% -DIISI SMPAI DESEMBER'!O21</f>
        <v>932892</v>
      </c>
      <c r="O22" s="349">
        <f t="shared" si="1"/>
        <v>2546975.2000000002</v>
      </c>
      <c r="P22" s="347">
        <f>+'ASTEK 2% -DIISI SMPAI DESEMBER'!O140</f>
        <v>466446</v>
      </c>
      <c r="Q22" s="347">
        <f t="shared" si="2"/>
        <v>3946313.2</v>
      </c>
      <c r="R22" s="349">
        <f t="shared" si="3"/>
        <v>46993190.799999997</v>
      </c>
      <c r="S22" s="350">
        <f t="shared" si="4"/>
        <v>54000000</v>
      </c>
      <c r="T22" s="351">
        <f t="shared" si="5"/>
        <v>0</v>
      </c>
      <c r="U22" s="341">
        <f t="shared" si="6"/>
        <v>2073303.8399999999</v>
      </c>
      <c r="V22" s="341">
        <f t="shared" si="7"/>
        <v>1399338</v>
      </c>
      <c r="W22" s="342">
        <f t="shared" si="8"/>
        <v>2073303.8399999999</v>
      </c>
    </row>
    <row r="23" spans="1:23" s="317" customFormat="1" ht="12.75" customHeight="1">
      <c r="A23" s="343">
        <v>18</v>
      </c>
      <c r="B23" s="344">
        <v>917</v>
      </c>
      <c r="C23" s="345" t="str">
        <f>+PERBULAN!B23</f>
        <v>SARWANDI</v>
      </c>
      <c r="D23" s="345" t="str">
        <f>+PERBULAN!C23</f>
        <v>L</v>
      </c>
      <c r="E23" s="345" t="str">
        <f>+PERBULAN!D23</f>
        <v>K/0</v>
      </c>
      <c r="F23" s="346">
        <f>+PERBULAN!E23</f>
        <v>11</v>
      </c>
      <c r="G23" s="347">
        <f>+PERBULAN!S23</f>
        <v>42537736.760000005</v>
      </c>
      <c r="H23" s="347">
        <f>+BPJS!Q22</f>
        <v>1721904</v>
      </c>
      <c r="I23" s="347">
        <f>+BPJS!Q144</f>
        <v>359760.24</v>
      </c>
      <c r="J23" s="348">
        <f>+PERBULAN!T23</f>
        <v>4024100</v>
      </c>
      <c r="K23" s="349"/>
      <c r="L23" s="347">
        <f>+PERBULAN!U23</f>
        <v>200000</v>
      </c>
      <c r="M23" s="347">
        <f t="shared" si="0"/>
        <v>48843501.000000007</v>
      </c>
      <c r="N23" s="347">
        <f>+'ASTEK 2% -DIISI SMPAI DESEMBER'!O22</f>
        <v>934892</v>
      </c>
      <c r="O23" s="349">
        <f t="shared" si="1"/>
        <v>2442175.0500000003</v>
      </c>
      <c r="P23" s="347">
        <f>+'ASTEK 2% -DIISI SMPAI DESEMBER'!O141</f>
        <v>467446</v>
      </c>
      <c r="Q23" s="347">
        <f t="shared" si="2"/>
        <v>3844513.0500000003</v>
      </c>
      <c r="R23" s="349">
        <f t="shared" si="3"/>
        <v>44998987.95000001</v>
      </c>
      <c r="S23" s="350">
        <f t="shared" si="4"/>
        <v>58500000</v>
      </c>
      <c r="T23" s="351">
        <f t="shared" si="5"/>
        <v>0</v>
      </c>
      <c r="U23" s="341">
        <f t="shared" si="6"/>
        <v>2081664.24</v>
      </c>
      <c r="V23" s="341">
        <f t="shared" si="7"/>
        <v>1402338</v>
      </c>
      <c r="W23" s="342">
        <f t="shared" si="8"/>
        <v>2081664.24</v>
      </c>
    </row>
    <row r="24" spans="1:23" s="317" customFormat="1" ht="12.75" customHeight="1">
      <c r="A24" s="343">
        <v>19</v>
      </c>
      <c r="B24" s="344">
        <v>920</v>
      </c>
      <c r="C24" s="345" t="str">
        <f>+PERBULAN!B24</f>
        <v>ANI MARIA</v>
      </c>
      <c r="D24" s="345" t="str">
        <f>+PERBULAN!C24</f>
        <v>P</v>
      </c>
      <c r="E24" s="345" t="str">
        <f>+PERBULAN!D24</f>
        <v>TK/0</v>
      </c>
      <c r="F24" s="346">
        <f>+PERBULAN!E24</f>
        <v>11</v>
      </c>
      <c r="G24" s="347">
        <f>+PERBULAN!S24</f>
        <v>43393719.159999996</v>
      </c>
      <c r="H24" s="347">
        <f>+BPJS!Q23</f>
        <v>1727084</v>
      </c>
      <c r="I24" s="347">
        <f>+BPJS!Q145</f>
        <v>360318.84</v>
      </c>
      <c r="J24" s="348">
        <f>+PERBULAN!T24</f>
        <v>3991100</v>
      </c>
      <c r="K24" s="349"/>
      <c r="L24" s="347">
        <f>+PERBULAN!U24</f>
        <v>200000</v>
      </c>
      <c r="M24" s="347">
        <f t="shared" si="0"/>
        <v>49672222</v>
      </c>
      <c r="N24" s="347">
        <f>+'ASTEK 2% -DIISI SMPAI DESEMBER'!O23</f>
        <v>936432</v>
      </c>
      <c r="O24" s="349">
        <f t="shared" si="1"/>
        <v>2483611.1</v>
      </c>
      <c r="P24" s="347">
        <f>+'ASTEK 2% -DIISI SMPAI DESEMBER'!O142</f>
        <v>468216</v>
      </c>
      <c r="Q24" s="347">
        <f t="shared" si="2"/>
        <v>3888259.1</v>
      </c>
      <c r="R24" s="349">
        <f t="shared" si="3"/>
        <v>45783962.899999999</v>
      </c>
      <c r="S24" s="350">
        <f t="shared" si="4"/>
        <v>54000000</v>
      </c>
      <c r="T24" s="351">
        <f t="shared" si="5"/>
        <v>0</v>
      </c>
      <c r="U24" s="341">
        <f t="shared" si="6"/>
        <v>2087402.84</v>
      </c>
      <c r="V24" s="341">
        <f t="shared" si="7"/>
        <v>1404648</v>
      </c>
      <c r="W24" s="342">
        <f t="shared" si="8"/>
        <v>2087402.84</v>
      </c>
    </row>
    <row r="25" spans="1:23" s="317" customFormat="1" ht="12.75" customHeight="1">
      <c r="A25" s="343">
        <v>20</v>
      </c>
      <c r="B25" s="344">
        <v>909</v>
      </c>
      <c r="C25" s="345" t="str">
        <f>+PERBULAN!B25</f>
        <v>YULIARDI</v>
      </c>
      <c r="D25" s="345" t="str">
        <f>+PERBULAN!C25</f>
        <v>L</v>
      </c>
      <c r="E25" s="345" t="str">
        <f>+PERBULAN!D25</f>
        <v>K/2</v>
      </c>
      <c r="F25" s="346">
        <f>+PERBULAN!E25</f>
        <v>11</v>
      </c>
      <c r="G25" s="347">
        <f>+PERBULAN!S25</f>
        <v>41251539.159999996</v>
      </c>
      <c r="H25" s="347">
        <f>+BPJS!Q24</f>
        <v>1727924</v>
      </c>
      <c r="I25" s="347">
        <f>+BPJS!Q146</f>
        <v>360318.84</v>
      </c>
      <c r="J25" s="348">
        <f>+PERBULAN!T25</f>
        <v>4093600</v>
      </c>
      <c r="K25" s="349"/>
      <c r="L25" s="347">
        <f>+PERBULAN!U25</f>
        <v>200000</v>
      </c>
      <c r="M25" s="347">
        <f t="shared" si="0"/>
        <v>47633382</v>
      </c>
      <c r="N25" s="347">
        <f>+'ASTEK 2% -DIISI SMPAI DESEMBER'!O24</f>
        <v>936432</v>
      </c>
      <c r="O25" s="349">
        <f t="shared" si="1"/>
        <v>2381669.1</v>
      </c>
      <c r="P25" s="347">
        <f>+'ASTEK 2% -DIISI SMPAI DESEMBER'!O143</f>
        <v>468216</v>
      </c>
      <c r="Q25" s="347">
        <f t="shared" si="2"/>
        <v>3786317.1</v>
      </c>
      <c r="R25" s="349">
        <f t="shared" si="3"/>
        <v>43847064.899999999</v>
      </c>
      <c r="S25" s="350">
        <f t="shared" si="4"/>
        <v>67500000</v>
      </c>
      <c r="T25" s="351">
        <f>IF(R25&lt;=S25,0,IF(R25&gt;S25,R25-S25))</f>
        <v>0</v>
      </c>
      <c r="U25" s="341">
        <f t="shared" si="6"/>
        <v>2088242.84</v>
      </c>
      <c r="V25" s="341">
        <f t="shared" si="7"/>
        <v>1404648</v>
      </c>
      <c r="W25" s="342">
        <f t="shared" si="8"/>
        <v>2088242.84</v>
      </c>
    </row>
    <row r="26" spans="1:23" s="317" customFormat="1" ht="12.75" customHeight="1">
      <c r="A26" s="343">
        <v>21</v>
      </c>
      <c r="B26" s="344">
        <v>921</v>
      </c>
      <c r="C26" s="345" t="str">
        <f>+PERBULAN!B26</f>
        <v>YADI</v>
      </c>
      <c r="D26" s="345" t="str">
        <f>+PERBULAN!C26</f>
        <v>L</v>
      </c>
      <c r="E26" s="345" t="str">
        <f>+PERBULAN!D26</f>
        <v>K/2</v>
      </c>
      <c r="F26" s="346">
        <f>+PERBULAN!E26</f>
        <v>11</v>
      </c>
      <c r="G26" s="347">
        <f>+PERBULAN!S26</f>
        <v>43212635.159999989</v>
      </c>
      <c r="H26" s="347">
        <f>+BPJS!Q25</f>
        <v>1716984</v>
      </c>
      <c r="I26" s="347">
        <f>+BPJS!Q147</f>
        <v>359331.83999999997</v>
      </c>
      <c r="J26" s="348">
        <f>+PERBULAN!T26</f>
        <v>4067100</v>
      </c>
      <c r="K26" s="349"/>
      <c r="L26" s="347">
        <f>+PERBULAN!U26</f>
        <v>200000</v>
      </c>
      <c r="M26" s="347">
        <f t="shared" si="0"/>
        <v>49556050.999999993</v>
      </c>
      <c r="N26" s="347">
        <f>+'ASTEK 2% -DIISI SMPAI DESEMBER'!O25</f>
        <v>933612</v>
      </c>
      <c r="O26" s="349">
        <f t="shared" si="1"/>
        <v>2477802.5499999998</v>
      </c>
      <c r="P26" s="347">
        <f>+'ASTEK 2% -DIISI SMPAI DESEMBER'!O144</f>
        <v>466806</v>
      </c>
      <c r="Q26" s="347">
        <f t="shared" si="2"/>
        <v>3878220.55</v>
      </c>
      <c r="R26" s="349">
        <f t="shared" si="3"/>
        <v>45677830.449999996</v>
      </c>
      <c r="S26" s="350">
        <f t="shared" si="4"/>
        <v>67500000</v>
      </c>
      <c r="T26" s="351">
        <f t="shared" si="5"/>
        <v>0</v>
      </c>
      <c r="U26" s="341">
        <f t="shared" si="6"/>
        <v>2076315.8399999999</v>
      </c>
      <c r="V26" s="341">
        <f t="shared" si="7"/>
        <v>1400418</v>
      </c>
      <c r="W26" s="342">
        <f t="shared" si="8"/>
        <v>2076315.8399999999</v>
      </c>
    </row>
    <row r="27" spans="1:23" s="317" customFormat="1" ht="12.75" customHeight="1">
      <c r="A27" s="343">
        <v>22</v>
      </c>
      <c r="B27" s="344">
        <v>924</v>
      </c>
      <c r="C27" s="345" t="str">
        <f>+PERBULAN!B27</f>
        <v>YEKILIA</v>
      </c>
      <c r="D27" s="345" t="str">
        <f>+PERBULAN!C27</f>
        <v>P</v>
      </c>
      <c r="E27" s="345" t="str">
        <f>+PERBULAN!D27</f>
        <v>TK/0</v>
      </c>
      <c r="F27" s="346">
        <f>+PERBULAN!E27</f>
        <v>11</v>
      </c>
      <c r="G27" s="347">
        <f>+PERBULAN!S27</f>
        <v>43861038.159999996</v>
      </c>
      <c r="H27" s="347">
        <f>+BPJS!Q26</f>
        <v>1714224</v>
      </c>
      <c r="I27" s="347">
        <f>+BPJS!Q148</f>
        <v>359079.83999999997</v>
      </c>
      <c r="J27" s="348">
        <f>+PERBULAN!T27</f>
        <v>3962100</v>
      </c>
      <c r="K27" s="349"/>
      <c r="L27" s="347">
        <f>+PERBULAN!U27</f>
        <v>200000</v>
      </c>
      <c r="M27" s="347">
        <f t="shared" si="0"/>
        <v>50096442</v>
      </c>
      <c r="N27" s="347">
        <f>+'ASTEK 2% -DIISI SMPAI DESEMBER'!O26</f>
        <v>932892</v>
      </c>
      <c r="O27" s="349">
        <f t="shared" si="1"/>
        <v>2504822.1</v>
      </c>
      <c r="P27" s="347">
        <f>+'ASTEK 2% -DIISI SMPAI DESEMBER'!O145</f>
        <v>466446</v>
      </c>
      <c r="Q27" s="347">
        <f t="shared" si="2"/>
        <v>3904160.1</v>
      </c>
      <c r="R27" s="349">
        <f t="shared" si="3"/>
        <v>46192281.899999999</v>
      </c>
      <c r="S27" s="350">
        <f t="shared" si="4"/>
        <v>54000000</v>
      </c>
      <c r="T27" s="351">
        <f t="shared" si="5"/>
        <v>0</v>
      </c>
      <c r="U27" s="341">
        <f t="shared" si="6"/>
        <v>2073303.8399999999</v>
      </c>
      <c r="V27" s="341">
        <f t="shared" si="7"/>
        <v>1399338</v>
      </c>
      <c r="W27" s="342">
        <f t="shared" si="8"/>
        <v>2073303.8399999999</v>
      </c>
    </row>
    <row r="28" spans="1:23" s="317" customFormat="1" ht="12.75" customHeight="1">
      <c r="A28" s="343">
        <v>23</v>
      </c>
      <c r="B28" s="344">
        <v>926</v>
      </c>
      <c r="C28" s="345" t="str">
        <f>+PERBULAN!B28</f>
        <v>LESMANA GIRI</v>
      </c>
      <c r="D28" s="345" t="str">
        <f>+PERBULAN!C28</f>
        <v>L</v>
      </c>
      <c r="E28" s="345" t="str">
        <f>+PERBULAN!D28</f>
        <v>TK/0</v>
      </c>
      <c r="F28" s="346">
        <f>+PERBULAN!E28</f>
        <v>11</v>
      </c>
      <c r="G28" s="347">
        <f>+PERBULAN!S28</f>
        <v>40008844.159999996</v>
      </c>
      <c r="H28" s="347">
        <f>+BPJS!Q27</f>
        <v>1707204</v>
      </c>
      <c r="I28" s="347">
        <f>+BPJS!Q149</f>
        <v>358386.83999999997</v>
      </c>
      <c r="J28" s="348">
        <f>+PERBULAN!T28</f>
        <v>3946600</v>
      </c>
      <c r="K28" s="349"/>
      <c r="L28" s="347">
        <f>+PERBULAN!U28</f>
        <v>200000</v>
      </c>
      <c r="M28" s="347">
        <f t="shared" si="0"/>
        <v>46221035</v>
      </c>
      <c r="N28" s="347">
        <f>+'ASTEK 2% -DIISI SMPAI DESEMBER'!O27</f>
        <v>930922</v>
      </c>
      <c r="O28" s="349">
        <f t="shared" si="1"/>
        <v>2311051.75</v>
      </c>
      <c r="P28" s="347">
        <f>+'ASTEK 2% -DIISI SMPAI DESEMBER'!O146</f>
        <v>465461</v>
      </c>
      <c r="Q28" s="347">
        <f t="shared" si="2"/>
        <v>3707434.75</v>
      </c>
      <c r="R28" s="349">
        <f t="shared" si="3"/>
        <v>42513600.25</v>
      </c>
      <c r="S28" s="350">
        <f t="shared" si="4"/>
        <v>54000000</v>
      </c>
      <c r="T28" s="351">
        <f t="shared" si="5"/>
        <v>0</v>
      </c>
      <c r="U28" s="341">
        <f t="shared" si="6"/>
        <v>2065590.8399999999</v>
      </c>
      <c r="V28" s="341">
        <f t="shared" si="7"/>
        <v>1396383</v>
      </c>
      <c r="W28" s="342">
        <f t="shared" si="8"/>
        <v>2065590.8399999999</v>
      </c>
    </row>
    <row r="29" spans="1:23" s="317" customFormat="1" ht="12.75" customHeight="1">
      <c r="A29" s="343">
        <v>24</v>
      </c>
      <c r="B29" s="352"/>
      <c r="C29" s="345" t="str">
        <f>+PERBULAN!B29</f>
        <v>RAFIKA UDIN</v>
      </c>
      <c r="D29" s="345" t="str">
        <f>+PERBULAN!C29</f>
        <v>L</v>
      </c>
      <c r="E29" s="345" t="str">
        <f>+PERBULAN!D29</f>
        <v>K/0</v>
      </c>
      <c r="F29" s="346">
        <f>+PERBULAN!E29</f>
        <v>11</v>
      </c>
      <c r="G29" s="347">
        <f>+PERBULAN!S29</f>
        <v>41733686.159999989</v>
      </c>
      <c r="H29" s="347">
        <f>+BPJS!Q28</f>
        <v>1717104</v>
      </c>
      <c r="I29" s="347">
        <f>+BPJS!Q150</f>
        <v>359331.83999999997</v>
      </c>
      <c r="J29" s="348">
        <f>+PERBULAN!T29</f>
        <v>4011600</v>
      </c>
      <c r="K29" s="349"/>
      <c r="L29" s="347">
        <f>+PERBULAN!U29</f>
        <v>200000</v>
      </c>
      <c r="M29" s="349">
        <f t="shared" si="0"/>
        <v>48021721.999999993</v>
      </c>
      <c r="N29" s="347">
        <f>+'ASTEK 2% -DIISI SMPAI DESEMBER'!O28</f>
        <v>933612</v>
      </c>
      <c r="O29" s="349">
        <f t="shared" si="1"/>
        <v>2401086.0999999996</v>
      </c>
      <c r="P29" s="347">
        <f>+'ASTEK 2% -DIISI SMPAI DESEMBER'!O147</f>
        <v>466806</v>
      </c>
      <c r="Q29" s="347">
        <f t="shared" si="2"/>
        <v>3801504.0999999996</v>
      </c>
      <c r="R29" s="349">
        <f t="shared" si="3"/>
        <v>44220217.899999991</v>
      </c>
      <c r="S29" s="350">
        <f t="shared" si="4"/>
        <v>58500000</v>
      </c>
      <c r="T29" s="351">
        <f t="shared" si="5"/>
        <v>0</v>
      </c>
      <c r="U29" s="341">
        <f t="shared" si="6"/>
        <v>2076435.8399999999</v>
      </c>
      <c r="V29" s="341">
        <f t="shared" si="7"/>
        <v>1400418</v>
      </c>
      <c r="W29" s="342">
        <f t="shared" si="8"/>
        <v>2076435.8399999999</v>
      </c>
    </row>
    <row r="30" spans="1:23" s="317" customFormat="1" ht="12.75" customHeight="1">
      <c r="A30" s="343">
        <v>25</v>
      </c>
      <c r="B30" s="352"/>
      <c r="C30" s="345" t="str">
        <f>+PERBULAN!B30</f>
        <v>MARDIANSYAH</v>
      </c>
      <c r="D30" s="345" t="str">
        <f>+PERBULAN!C30</f>
        <v>L</v>
      </c>
      <c r="E30" s="345" t="str">
        <f>+PERBULAN!D30</f>
        <v>K/2</v>
      </c>
      <c r="F30" s="346">
        <f>+PERBULAN!E30</f>
        <v>11</v>
      </c>
      <c r="G30" s="347">
        <f>+PERBULAN!S30</f>
        <v>41909806.760000005</v>
      </c>
      <c r="H30" s="347">
        <f>+BPJS!Q29</f>
        <v>1721904</v>
      </c>
      <c r="I30" s="347">
        <f>+BPJS!Q151</f>
        <v>359760.24</v>
      </c>
      <c r="J30" s="348">
        <f>+PERBULAN!T30</f>
        <v>4079600</v>
      </c>
      <c r="K30" s="349"/>
      <c r="L30" s="347">
        <f>+PERBULAN!U30</f>
        <v>200000</v>
      </c>
      <c r="M30" s="349">
        <f t="shared" si="0"/>
        <v>48271071.000000007</v>
      </c>
      <c r="N30" s="347">
        <f>+'ASTEK 2% -DIISI SMPAI DESEMBER'!O29</f>
        <v>934892</v>
      </c>
      <c r="O30" s="349">
        <f t="shared" si="1"/>
        <v>2413553.5500000003</v>
      </c>
      <c r="P30" s="347">
        <f>+'ASTEK 2% -DIISI SMPAI DESEMBER'!O148</f>
        <v>467446</v>
      </c>
      <c r="Q30" s="347">
        <f t="shared" si="2"/>
        <v>3815891.5500000003</v>
      </c>
      <c r="R30" s="349">
        <f t="shared" si="3"/>
        <v>44455179.45000001</v>
      </c>
      <c r="S30" s="350">
        <f t="shared" si="4"/>
        <v>67500000</v>
      </c>
      <c r="T30" s="351">
        <f t="shared" si="5"/>
        <v>0</v>
      </c>
      <c r="U30" s="341">
        <f t="shared" si="6"/>
        <v>2081664.24</v>
      </c>
      <c r="V30" s="341">
        <f t="shared" si="7"/>
        <v>1402338</v>
      </c>
      <c r="W30" s="342">
        <f t="shared" si="8"/>
        <v>2081664.24</v>
      </c>
    </row>
    <row r="31" spans="1:23" s="317" customFormat="1" ht="12.75" customHeight="1">
      <c r="A31" s="343">
        <v>26</v>
      </c>
      <c r="B31" s="352"/>
      <c r="C31" s="345" t="str">
        <f>+PERBULAN!B31</f>
        <v>SUTRISNO</v>
      </c>
      <c r="D31" s="345" t="str">
        <f>+PERBULAN!C31</f>
        <v>L</v>
      </c>
      <c r="E31" s="345" t="str">
        <f>+PERBULAN!D31</f>
        <v>K/2</v>
      </c>
      <c r="F31" s="346">
        <f>+PERBULAN!E31</f>
        <v>11</v>
      </c>
      <c r="G31" s="347">
        <f>+PERBULAN!S31</f>
        <v>43106816.75999999</v>
      </c>
      <c r="H31" s="347">
        <f>+BPJS!Q30</f>
        <v>1726664</v>
      </c>
      <c r="I31" s="347">
        <f>+BPJS!Q152</f>
        <v>360201.24</v>
      </c>
      <c r="J31" s="348">
        <f>+PERBULAN!T31</f>
        <v>4093600</v>
      </c>
      <c r="K31" s="349"/>
      <c r="L31" s="347">
        <f>+PERBULAN!U31</f>
        <v>200000</v>
      </c>
      <c r="M31" s="349">
        <f t="shared" si="0"/>
        <v>49487281.999999993</v>
      </c>
      <c r="N31" s="347">
        <f>+'ASTEK 2% -DIISI SMPAI DESEMBER'!O30</f>
        <v>936152</v>
      </c>
      <c r="O31" s="349">
        <f t="shared" si="1"/>
        <v>2474364.0999999996</v>
      </c>
      <c r="P31" s="347">
        <f>+'ASTEK 2% -DIISI SMPAI DESEMBER'!O149</f>
        <v>468076</v>
      </c>
      <c r="Q31" s="347">
        <f t="shared" si="2"/>
        <v>3878592.0999999996</v>
      </c>
      <c r="R31" s="349">
        <f t="shared" si="3"/>
        <v>45608689.899999991</v>
      </c>
      <c r="S31" s="350">
        <f t="shared" si="4"/>
        <v>67500000</v>
      </c>
      <c r="T31" s="351">
        <f t="shared" ref="T31:T32" si="9">IF(R31&lt;=S31,0,IF(R31&gt;S31,R31-S31))</f>
        <v>0</v>
      </c>
      <c r="U31" s="341"/>
      <c r="V31" s="341"/>
      <c r="W31" s="342">
        <f t="shared" si="8"/>
        <v>2086865.24</v>
      </c>
    </row>
    <row r="32" spans="1:23" s="317" customFormat="1" ht="12.75" customHeight="1">
      <c r="A32" s="343">
        <v>27</v>
      </c>
      <c r="B32" s="352"/>
      <c r="C32" s="345" t="str">
        <f>+PERBULAN!B32</f>
        <v>SLAMET UNTUNG</v>
      </c>
      <c r="D32" s="345" t="str">
        <f>+PERBULAN!C32</f>
        <v>L</v>
      </c>
      <c r="E32" s="345" t="str">
        <f>+PERBULAN!D32</f>
        <v>K/1</v>
      </c>
      <c r="F32" s="346">
        <f>+PERBULAN!E32</f>
        <v>11</v>
      </c>
      <c r="G32" s="347">
        <f>+PERBULAN!S32</f>
        <v>40104608.159999996</v>
      </c>
      <c r="H32" s="347">
        <f>+BPJS!Q31</f>
        <v>1714344</v>
      </c>
      <c r="I32" s="347">
        <f>+BPJS!Q153</f>
        <v>359079.83999999997</v>
      </c>
      <c r="J32" s="348">
        <f>+PERBULAN!T32</f>
        <v>4034100</v>
      </c>
      <c r="K32" s="349"/>
      <c r="L32" s="347">
        <f>+PERBULAN!U32</f>
        <v>600000</v>
      </c>
      <c r="M32" s="349">
        <f t="shared" si="0"/>
        <v>46812132</v>
      </c>
      <c r="N32" s="347">
        <f>+'ASTEK 2% -DIISI SMPAI DESEMBER'!O31</f>
        <v>932892</v>
      </c>
      <c r="O32" s="349">
        <f t="shared" si="1"/>
        <v>2340606.6</v>
      </c>
      <c r="P32" s="347">
        <f>+'ASTEK 2% -DIISI SMPAI DESEMBER'!O150</f>
        <v>466446</v>
      </c>
      <c r="Q32" s="347">
        <f t="shared" si="2"/>
        <v>3739944.6</v>
      </c>
      <c r="R32" s="349">
        <f t="shared" si="3"/>
        <v>43072187.399999999</v>
      </c>
      <c r="S32" s="350">
        <f t="shared" si="4"/>
        <v>63000000</v>
      </c>
      <c r="T32" s="351">
        <f t="shared" si="9"/>
        <v>0</v>
      </c>
      <c r="U32" s="341"/>
      <c r="V32" s="341"/>
      <c r="W32" s="342">
        <f t="shared" si="8"/>
        <v>2073423.8399999999</v>
      </c>
    </row>
    <row r="33" spans="1:23" s="317" customFormat="1" ht="12.75" customHeight="1">
      <c r="A33" s="343">
        <v>28</v>
      </c>
      <c r="B33" s="352"/>
      <c r="C33" s="345" t="str">
        <f>+PERBULAN!B33</f>
        <v>WAFIQ AMANDA</v>
      </c>
      <c r="D33" s="345" t="str">
        <f>+PERBULAN!C33</f>
        <v>L</v>
      </c>
      <c r="E33" s="345" t="str">
        <f>+PERBULAN!D33</f>
        <v>TK/0</v>
      </c>
      <c r="F33" s="346">
        <f>+PERBULAN!E33</f>
        <v>11</v>
      </c>
      <c r="G33" s="347">
        <f>+PERBULAN!S33</f>
        <v>41948925.160000004</v>
      </c>
      <c r="H33" s="347">
        <f>+BPJS!Q32</f>
        <v>1706104</v>
      </c>
      <c r="I33" s="347">
        <f>+BPJS!Q154</f>
        <v>358281.83999999997</v>
      </c>
      <c r="J33" s="348">
        <f>+PERBULAN!T33</f>
        <v>2300725</v>
      </c>
      <c r="K33" s="349"/>
      <c r="L33" s="347">
        <f>+PERBULAN!U33</f>
        <v>66667</v>
      </c>
      <c r="M33" s="349">
        <f t="shared" si="0"/>
        <v>46380703.000000007</v>
      </c>
      <c r="N33" s="347">
        <f>+'ASTEK 2% -DIISI SMPAI DESEMBER'!O32</f>
        <v>930622</v>
      </c>
      <c r="O33" s="349">
        <f t="shared" si="1"/>
        <v>2319035.1500000004</v>
      </c>
      <c r="P33" s="347">
        <f>+'ASTEK 2% -DIISI SMPAI DESEMBER'!O151</f>
        <v>465311</v>
      </c>
      <c r="Q33" s="347">
        <f t="shared" si="2"/>
        <v>3714968.1500000004</v>
      </c>
      <c r="R33" s="349">
        <f t="shared" si="3"/>
        <v>42665734.850000009</v>
      </c>
      <c r="S33" s="350">
        <f t="shared" si="4"/>
        <v>54000000</v>
      </c>
      <c r="T33" s="351">
        <f t="shared" si="5"/>
        <v>0</v>
      </c>
      <c r="U33" s="341">
        <f>H33+I33</f>
        <v>2064385.8399999999</v>
      </c>
      <c r="V33" s="341">
        <f>N33+P33</f>
        <v>1395933</v>
      </c>
      <c r="W33" s="342">
        <f t="shared" si="8"/>
        <v>2064385.8399999999</v>
      </c>
    </row>
    <row r="34" spans="1:23" s="317" customFormat="1" ht="12.75" customHeight="1">
      <c r="A34" s="343">
        <v>29</v>
      </c>
      <c r="B34" s="352"/>
      <c r="C34" s="345" t="str">
        <f>+PERBULAN!B34</f>
        <v>HERI GUNAWAN</v>
      </c>
      <c r="D34" s="345" t="str">
        <f>+PERBULAN!C34</f>
        <v>L</v>
      </c>
      <c r="E34" s="345" t="str">
        <f>+PERBULAN!D34</f>
        <v>K/2</v>
      </c>
      <c r="F34" s="346">
        <f>+PERBULAN!E34</f>
        <v>11</v>
      </c>
      <c r="G34" s="347">
        <f>+PERBULAN!S34</f>
        <v>43411358.759999998</v>
      </c>
      <c r="H34" s="347">
        <f>+BPJS!Q33</f>
        <v>1728064</v>
      </c>
      <c r="I34" s="347">
        <f>+BPJS!Q155</f>
        <v>360348.24</v>
      </c>
      <c r="J34" s="348">
        <f>+PERBULAN!T34</f>
        <v>4093600</v>
      </c>
      <c r="K34" s="353"/>
      <c r="L34" s="347">
        <f>+PERBULAN!U34</f>
        <v>200000</v>
      </c>
      <c r="M34" s="353">
        <f t="shared" si="0"/>
        <v>49793371</v>
      </c>
      <c r="N34" s="347">
        <f>+'ASTEK 2% -DIISI SMPAI DESEMBER'!O33</f>
        <v>936572</v>
      </c>
      <c r="O34" s="353">
        <f t="shared" si="1"/>
        <v>2489668.5500000003</v>
      </c>
      <c r="P34" s="347">
        <f>+'ASTEK 2% -DIISI SMPAI DESEMBER'!O152</f>
        <v>468286</v>
      </c>
      <c r="Q34" s="354">
        <f t="shared" si="2"/>
        <v>3894526.5500000003</v>
      </c>
      <c r="R34" s="353">
        <f t="shared" si="3"/>
        <v>45898844.450000003</v>
      </c>
      <c r="S34" s="350">
        <f t="shared" si="4"/>
        <v>67500000</v>
      </c>
      <c r="T34" s="351">
        <f t="shared" si="5"/>
        <v>0</v>
      </c>
      <c r="U34" s="341">
        <f>H34+I34</f>
        <v>2088412.24</v>
      </c>
      <c r="V34" s="341">
        <f>N34+P34</f>
        <v>1404858</v>
      </c>
      <c r="W34" s="342">
        <f t="shared" si="8"/>
        <v>2088412.24</v>
      </c>
    </row>
    <row r="35" spans="1:23" s="317" customFormat="1" ht="12.75" customHeight="1">
      <c r="A35" s="343">
        <v>30</v>
      </c>
      <c r="B35" s="352"/>
      <c r="C35" s="345" t="str">
        <f>+PERBULAN!B35</f>
        <v>BOBI SAPUTRA</v>
      </c>
      <c r="D35" s="345" t="str">
        <f>+PERBULAN!C35</f>
        <v>L</v>
      </c>
      <c r="E35" s="345" t="str">
        <f>+PERBULAN!D35</f>
        <v>K/1</v>
      </c>
      <c r="F35" s="346">
        <f>+PERBULAN!E35</f>
        <v>11</v>
      </c>
      <c r="G35" s="347">
        <f>+PERBULAN!S35</f>
        <v>44851614.959999993</v>
      </c>
      <c r="H35" s="347">
        <f>+BPJS!Q34</f>
        <v>1719024</v>
      </c>
      <c r="I35" s="347">
        <f>+BPJS!Q156</f>
        <v>359483.04</v>
      </c>
      <c r="J35" s="348">
        <f>+PERBULAN!T35</f>
        <v>4046100</v>
      </c>
      <c r="K35" s="349"/>
      <c r="L35" s="347">
        <f>+PERBULAN!U35</f>
        <v>200000</v>
      </c>
      <c r="M35" s="349">
        <f t="shared" si="0"/>
        <v>51176221.999999993</v>
      </c>
      <c r="N35" s="347">
        <f>+'ASTEK 2% -DIISI SMPAI DESEMBER'!O34</f>
        <v>934092</v>
      </c>
      <c r="O35" s="349">
        <f t="shared" si="1"/>
        <v>2558811.0999999996</v>
      </c>
      <c r="P35" s="347">
        <f>+'ASTEK 2% -DIISI SMPAI DESEMBER'!O153</f>
        <v>467046</v>
      </c>
      <c r="Q35" s="349">
        <f t="shared" si="2"/>
        <v>3959949.0999999996</v>
      </c>
      <c r="R35" s="349">
        <f t="shared" si="3"/>
        <v>47216272.899999991</v>
      </c>
      <c r="S35" s="350">
        <f t="shared" si="4"/>
        <v>63000000</v>
      </c>
      <c r="T35" s="351">
        <f t="shared" si="5"/>
        <v>0</v>
      </c>
      <c r="U35" s="341">
        <f>H35+I35</f>
        <v>2078507.04</v>
      </c>
      <c r="V35" s="341">
        <f>N35+P35</f>
        <v>1401138</v>
      </c>
      <c r="W35" s="342">
        <f t="shared" si="8"/>
        <v>2078507.04</v>
      </c>
    </row>
    <row r="36" spans="1:23" s="317" customFormat="1" ht="12.75" customHeight="1">
      <c r="A36" s="343">
        <v>31</v>
      </c>
      <c r="B36" s="352"/>
      <c r="C36" s="345" t="str">
        <f>+PERBULAN!B36</f>
        <v>JULIANSYAH</v>
      </c>
      <c r="D36" s="345" t="str">
        <f>+PERBULAN!C36</f>
        <v>L</v>
      </c>
      <c r="E36" s="345" t="str">
        <f>+PERBULAN!D36</f>
        <v>K/0</v>
      </c>
      <c r="F36" s="346">
        <f>+PERBULAN!E36</f>
        <v>11</v>
      </c>
      <c r="G36" s="347">
        <f>+PERBULAN!S36</f>
        <v>44313096.360000007</v>
      </c>
      <c r="H36" s="347">
        <f>+BPJS!Q35</f>
        <v>1729744</v>
      </c>
      <c r="I36" s="347">
        <f>+BPJS!Q157</f>
        <v>360524.64</v>
      </c>
      <c r="J36" s="348">
        <f>+PERBULAN!T36</f>
        <v>4028100</v>
      </c>
      <c r="K36" s="349"/>
      <c r="L36" s="347">
        <f>+PERBULAN!U36</f>
        <v>200000</v>
      </c>
      <c r="M36" s="349">
        <f t="shared" si="0"/>
        <v>50631465.000000007</v>
      </c>
      <c r="N36" s="347">
        <f>+'ASTEK 2% -DIISI SMPAI DESEMBER'!O35</f>
        <v>937062</v>
      </c>
      <c r="O36" s="349">
        <f t="shared" si="1"/>
        <v>2531573.2500000005</v>
      </c>
      <c r="P36" s="347">
        <f>+'ASTEK 2% -DIISI SMPAI DESEMBER'!O154</f>
        <v>468531</v>
      </c>
      <c r="Q36" s="349">
        <f t="shared" si="2"/>
        <v>3937166.2500000005</v>
      </c>
      <c r="R36" s="349">
        <f t="shared" si="3"/>
        <v>46694298.750000007</v>
      </c>
      <c r="S36" s="350">
        <f t="shared" si="4"/>
        <v>58500000</v>
      </c>
      <c r="T36" s="351">
        <f t="shared" si="5"/>
        <v>0</v>
      </c>
      <c r="U36" s="341">
        <f>H36+I36</f>
        <v>2090268.6400000001</v>
      </c>
      <c r="V36" s="341">
        <f>N36+P36</f>
        <v>1405593</v>
      </c>
      <c r="W36" s="342">
        <f t="shared" si="8"/>
        <v>2090268.6400000001</v>
      </c>
    </row>
    <row r="37" spans="1:23" s="317" customFormat="1" ht="12.75" customHeight="1">
      <c r="A37" s="343">
        <v>32</v>
      </c>
      <c r="B37" s="352"/>
      <c r="C37" s="345" t="str">
        <f>+PERBULAN!B37</f>
        <v>ARDIANTO</v>
      </c>
      <c r="D37" s="345" t="str">
        <f>+PERBULAN!C37</f>
        <v>L</v>
      </c>
      <c r="E37" s="345" t="str">
        <f>+PERBULAN!D37</f>
        <v>K/2</v>
      </c>
      <c r="F37" s="346">
        <f>+PERBULAN!E37</f>
        <v>11</v>
      </c>
      <c r="G37" s="347">
        <f>+PERBULAN!S37</f>
        <v>71612131.160000011</v>
      </c>
      <c r="H37" s="347">
        <f>+BPJS!Q36</f>
        <v>1744864</v>
      </c>
      <c r="I37" s="347">
        <f>+BPJS!Q158</f>
        <v>362082.83999999997</v>
      </c>
      <c r="J37" s="348">
        <f>+PERBULAN!T37</f>
        <v>4132100</v>
      </c>
      <c r="K37" s="349"/>
      <c r="L37" s="347">
        <f>+PERBULAN!U37</f>
        <v>900000</v>
      </c>
      <c r="M37" s="349">
        <f t="shared" ref="M37:M40" si="10">SUM(G37:L37)</f>
        <v>78751178.000000015</v>
      </c>
      <c r="N37" s="347">
        <f>+'ASTEK 2% -DIISI SMPAI DESEMBER'!O36</f>
        <v>941472</v>
      </c>
      <c r="O37" s="349">
        <f t="shared" ref="O37:O40" si="11">M37*0.05</f>
        <v>3937558.9000000008</v>
      </c>
      <c r="P37" s="347">
        <f>+'ASTEK 2% -DIISI SMPAI DESEMBER'!O155</f>
        <v>470736</v>
      </c>
      <c r="Q37" s="349">
        <f t="shared" ref="Q37:Q40" si="12">SUM(N37:P37)</f>
        <v>5349766.9000000004</v>
      </c>
      <c r="R37" s="349">
        <f t="shared" ref="R37:R40" si="13">M37-Q37</f>
        <v>73401411.100000009</v>
      </c>
      <c r="S37" s="350">
        <f t="shared" ref="S37:S40" si="14">IF(E37="TK/0",54000000,IF(E37="K/0",58500000,IF(E37="K/1",63000000,IF(E37="K/2",67500000,IF(E37="K/3",72000000)))))</f>
        <v>67500000</v>
      </c>
      <c r="T37" s="351">
        <f t="shared" si="5"/>
        <v>5901411.1000000089</v>
      </c>
      <c r="U37" s="341">
        <f t="shared" ref="U37:U117" si="15">H37+I37</f>
        <v>2106946.84</v>
      </c>
      <c r="V37" s="341">
        <f>N37+P37</f>
        <v>1412208</v>
      </c>
      <c r="W37" s="342">
        <f t="shared" si="8"/>
        <v>2106946.84</v>
      </c>
    </row>
    <row r="38" spans="1:23" s="317" customFormat="1" ht="12.75" customHeight="1">
      <c r="A38" s="343">
        <v>33</v>
      </c>
      <c r="B38" s="352"/>
      <c r="C38" s="345" t="str">
        <f>+PERBULAN!B38</f>
        <v xml:space="preserve">JUNI </v>
      </c>
      <c r="D38" s="345" t="str">
        <f>+PERBULAN!C38</f>
        <v>L</v>
      </c>
      <c r="E38" s="345" t="str">
        <f>+PERBULAN!D38</f>
        <v>K/2</v>
      </c>
      <c r="F38" s="346">
        <f>+PERBULAN!E38</f>
        <v>11</v>
      </c>
      <c r="G38" s="347">
        <f>+PERBULAN!S38</f>
        <v>70986626.159999996</v>
      </c>
      <c r="H38" s="347">
        <f>+BPJS!Q37</f>
        <v>1743464</v>
      </c>
      <c r="I38" s="347">
        <f>+BPJS!Q159</f>
        <v>361935.83999999997</v>
      </c>
      <c r="J38" s="348">
        <f>+PERBULAN!T38</f>
        <v>4128600</v>
      </c>
      <c r="K38" s="349"/>
      <c r="L38" s="347">
        <f>+PERBULAN!U38</f>
        <v>600000</v>
      </c>
      <c r="M38" s="349">
        <f t="shared" si="10"/>
        <v>77820626</v>
      </c>
      <c r="N38" s="347">
        <f>+'ASTEK 2% -DIISI SMPAI DESEMBER'!O37</f>
        <v>941052</v>
      </c>
      <c r="O38" s="349">
        <f t="shared" si="11"/>
        <v>3891031.3000000003</v>
      </c>
      <c r="P38" s="347">
        <f>+'ASTEK 2% -DIISI SMPAI DESEMBER'!O156</f>
        <v>470526</v>
      </c>
      <c r="Q38" s="349">
        <f t="shared" si="12"/>
        <v>5302609.3000000007</v>
      </c>
      <c r="R38" s="349">
        <f t="shared" si="13"/>
        <v>72518016.700000003</v>
      </c>
      <c r="S38" s="350">
        <f t="shared" si="14"/>
        <v>67500000</v>
      </c>
      <c r="T38" s="351">
        <f t="shared" si="5"/>
        <v>5018016.700000003</v>
      </c>
      <c r="U38" s="341">
        <f t="shared" si="15"/>
        <v>2105399.84</v>
      </c>
      <c r="W38" s="342">
        <f t="shared" si="8"/>
        <v>2105399.84</v>
      </c>
    </row>
    <row r="39" spans="1:23" s="317" customFormat="1" ht="12.75" customHeight="1">
      <c r="A39" s="343">
        <v>34</v>
      </c>
      <c r="B39" s="343">
        <v>35</v>
      </c>
      <c r="C39" s="345" t="str">
        <f>+PERBULAN!B39</f>
        <v>DARMAWAN</v>
      </c>
      <c r="D39" s="345" t="str">
        <f>+PERBULAN!C39</f>
        <v>L</v>
      </c>
      <c r="E39" s="345" t="str">
        <f>+PERBULAN!D39</f>
        <v>K/0</v>
      </c>
      <c r="F39" s="346">
        <f>+PERBULAN!E39</f>
        <v>11</v>
      </c>
      <c r="G39" s="347">
        <f>+PERBULAN!S39</f>
        <v>69556193.359999999</v>
      </c>
      <c r="H39" s="347">
        <f>+BPJS!Q38</f>
        <v>1744024</v>
      </c>
      <c r="I39" s="347">
        <f>+BPJS!Q160</f>
        <v>361994.64</v>
      </c>
      <c r="J39" s="348">
        <f>+PERBULAN!T39</f>
        <v>4076600</v>
      </c>
      <c r="K39" s="349"/>
      <c r="L39" s="347">
        <f>+PERBULAN!U39</f>
        <v>900000</v>
      </c>
      <c r="M39" s="349">
        <f t="shared" si="10"/>
        <v>76638812</v>
      </c>
      <c r="N39" s="347">
        <f>+'ASTEK 2% -DIISI SMPAI DESEMBER'!O38</f>
        <v>941262</v>
      </c>
      <c r="O39" s="349">
        <f t="shared" si="11"/>
        <v>3831940.6</v>
      </c>
      <c r="P39" s="347">
        <f>+'ASTEK 2% -DIISI SMPAI DESEMBER'!O157</f>
        <v>470631</v>
      </c>
      <c r="Q39" s="349">
        <f t="shared" si="12"/>
        <v>5243833.5999999996</v>
      </c>
      <c r="R39" s="349">
        <f t="shared" si="13"/>
        <v>71394978.400000006</v>
      </c>
      <c r="S39" s="350">
        <f t="shared" si="14"/>
        <v>58500000</v>
      </c>
      <c r="T39" s="351">
        <f t="shared" si="5"/>
        <v>12894978.400000006</v>
      </c>
      <c r="U39" s="341">
        <f t="shared" si="15"/>
        <v>2106018.64</v>
      </c>
      <c r="W39" s="342">
        <f t="shared" si="8"/>
        <v>2106018.64</v>
      </c>
    </row>
    <row r="40" spans="1:23" s="317" customFormat="1" ht="12.75" customHeight="1">
      <c r="A40" s="343">
        <v>35</v>
      </c>
      <c r="B40" s="343">
        <v>36</v>
      </c>
      <c r="C40" s="345" t="str">
        <f>+PERBULAN!B40</f>
        <v>DEDI NOPRIADI</v>
      </c>
      <c r="D40" s="345" t="str">
        <f>+PERBULAN!C40</f>
        <v>L</v>
      </c>
      <c r="E40" s="345" t="str">
        <f>+PERBULAN!D40</f>
        <v>K/2</v>
      </c>
      <c r="F40" s="346">
        <f>+PERBULAN!E40</f>
        <v>11</v>
      </c>
      <c r="G40" s="347">
        <f>+PERBULAN!S40</f>
        <v>68704799.559999987</v>
      </c>
      <c r="H40" s="347">
        <f>+BPJS!Q39</f>
        <v>1713984</v>
      </c>
      <c r="I40" s="347">
        <f>+BPJS!Q161</f>
        <v>359029.43999999994</v>
      </c>
      <c r="J40" s="348">
        <f>+PERBULAN!T40</f>
        <v>4061100</v>
      </c>
      <c r="K40" s="349"/>
      <c r="L40" s="347">
        <f>+PERBULAN!U40</f>
        <v>900000</v>
      </c>
      <c r="M40" s="349">
        <f t="shared" si="10"/>
        <v>75738912.999999985</v>
      </c>
      <c r="N40" s="347">
        <f>+'ASTEK 2% -DIISI SMPAI DESEMBER'!O39</f>
        <v>932772</v>
      </c>
      <c r="O40" s="349">
        <f t="shared" si="11"/>
        <v>3786945.6499999994</v>
      </c>
      <c r="P40" s="347">
        <f>+'ASTEK 2% -DIISI SMPAI DESEMBER'!O158</f>
        <v>466386</v>
      </c>
      <c r="Q40" s="349">
        <f t="shared" si="12"/>
        <v>5186103.6499999994</v>
      </c>
      <c r="R40" s="349">
        <f t="shared" si="13"/>
        <v>70552809.349999979</v>
      </c>
      <c r="S40" s="350">
        <f t="shared" si="14"/>
        <v>67500000</v>
      </c>
      <c r="T40" s="351">
        <f t="shared" si="5"/>
        <v>3052809.3499999791</v>
      </c>
      <c r="U40" s="341">
        <f t="shared" si="15"/>
        <v>2073013.44</v>
      </c>
      <c r="W40" s="342">
        <f t="shared" si="8"/>
        <v>2073013.44</v>
      </c>
    </row>
    <row r="41" spans="1:23" s="317" customFormat="1" ht="12.75" customHeight="1">
      <c r="A41" s="343">
        <v>36</v>
      </c>
      <c r="B41" s="495"/>
      <c r="C41" s="345" t="str">
        <f>+PERBULAN!B41</f>
        <v>IRWANTO</v>
      </c>
      <c r="D41" s="345" t="str">
        <f>+PERBULAN!C41</f>
        <v>L</v>
      </c>
      <c r="E41" s="345" t="str">
        <f>+PERBULAN!D41</f>
        <v>K/1</v>
      </c>
      <c r="F41" s="346">
        <f>+PERBULAN!E41</f>
        <v>11</v>
      </c>
      <c r="G41" s="347">
        <f>+PERBULAN!S41</f>
        <v>48961493.159999996</v>
      </c>
      <c r="H41" s="347">
        <f>+BPJS!Q40</f>
        <v>1727644</v>
      </c>
      <c r="I41" s="347">
        <f>+BPJS!Q162</f>
        <v>360318.84</v>
      </c>
      <c r="J41" s="348">
        <f>+PERBULAN!T41</f>
        <v>4066600</v>
      </c>
      <c r="K41" s="349"/>
      <c r="L41" s="347">
        <f>+PERBULAN!U41</f>
        <v>200000</v>
      </c>
      <c r="M41" s="349">
        <f t="shared" ref="M41:M103" si="16">SUM(G41:L41)</f>
        <v>55316056</v>
      </c>
      <c r="N41" s="347">
        <f>+'ASTEK 2% -DIISI SMPAI DESEMBER'!O40</f>
        <v>936432</v>
      </c>
      <c r="O41" s="349">
        <f t="shared" ref="O41:O103" si="17">M41*0.05</f>
        <v>2765802.8000000003</v>
      </c>
      <c r="P41" s="347">
        <f>+'ASTEK 2% -DIISI SMPAI DESEMBER'!O159</f>
        <v>468216</v>
      </c>
      <c r="Q41" s="349">
        <f t="shared" ref="Q41:Q103" si="18">SUM(N41:P41)</f>
        <v>4170450.8000000003</v>
      </c>
      <c r="R41" s="349">
        <f t="shared" ref="R41:R103" si="19">M41-Q41</f>
        <v>51145605.200000003</v>
      </c>
      <c r="S41" s="350">
        <f t="shared" ref="S41:S103" si="20">IF(E41="TK/0",54000000,IF(E41="K/0",58500000,IF(E41="K/1",63000000,IF(E41="K/2",67500000,IF(E41="K/3",72000000)))))</f>
        <v>63000000</v>
      </c>
      <c r="T41" s="351">
        <f t="shared" ref="T41:T103" si="21">IF(R41&lt;=S41,0,IF(R41&gt;S41,R41-S41))</f>
        <v>0</v>
      </c>
      <c r="U41" s="341"/>
      <c r="W41" s="342">
        <f t="shared" si="8"/>
        <v>2087962.84</v>
      </c>
    </row>
    <row r="42" spans="1:23" s="317" customFormat="1" ht="12.75" customHeight="1">
      <c r="A42" s="343">
        <v>37</v>
      </c>
      <c r="B42" s="495"/>
      <c r="C42" s="345" t="str">
        <f>+PERBULAN!B42</f>
        <v>ISRIN YUNUPITA</v>
      </c>
      <c r="D42" s="345" t="str">
        <f>+PERBULAN!C42</f>
        <v>P</v>
      </c>
      <c r="E42" s="345" t="str">
        <f>+PERBULAN!D42</f>
        <v>TK/0</v>
      </c>
      <c r="F42" s="346">
        <f>+PERBULAN!E42</f>
        <v>11</v>
      </c>
      <c r="G42" s="347">
        <f>+PERBULAN!S42</f>
        <v>43499157.560000002</v>
      </c>
      <c r="H42" s="347">
        <f>+BPJS!Q41</f>
        <v>1720784</v>
      </c>
      <c r="I42" s="347">
        <f>+BPJS!Q163</f>
        <v>359701.43999999994</v>
      </c>
      <c r="J42" s="348">
        <f>+PERBULAN!T42</f>
        <v>3977100</v>
      </c>
      <c r="K42" s="349"/>
      <c r="L42" s="347">
        <f>+PERBULAN!U42</f>
        <v>200000</v>
      </c>
      <c r="M42" s="349">
        <f t="shared" si="16"/>
        <v>49756743</v>
      </c>
      <c r="N42" s="347">
        <f>+'ASTEK 2% -DIISI SMPAI DESEMBER'!O41</f>
        <v>934682</v>
      </c>
      <c r="O42" s="349">
        <f t="shared" si="17"/>
        <v>2487837.15</v>
      </c>
      <c r="P42" s="347">
        <f>+'ASTEK 2% -DIISI SMPAI DESEMBER'!O160</f>
        <v>467341</v>
      </c>
      <c r="Q42" s="349">
        <f t="shared" si="18"/>
        <v>3889860.15</v>
      </c>
      <c r="R42" s="349">
        <f t="shared" si="19"/>
        <v>45866882.850000001</v>
      </c>
      <c r="S42" s="350">
        <f t="shared" si="20"/>
        <v>54000000</v>
      </c>
      <c r="T42" s="351">
        <f t="shared" si="21"/>
        <v>0</v>
      </c>
      <c r="U42" s="341"/>
      <c r="W42" s="342">
        <f t="shared" si="8"/>
        <v>2080485.44</v>
      </c>
    </row>
    <row r="43" spans="1:23" s="317" customFormat="1" ht="12.75" customHeight="1">
      <c r="A43" s="343">
        <v>38</v>
      </c>
      <c r="B43" s="495"/>
      <c r="C43" s="345" t="str">
        <f>+PERBULAN!B43</f>
        <v>ARYANI.K</v>
      </c>
      <c r="D43" s="345" t="str">
        <f>+PERBULAN!C43</f>
        <v>P</v>
      </c>
      <c r="E43" s="345" t="str">
        <f>+PERBULAN!D43</f>
        <v>TK/0</v>
      </c>
      <c r="F43" s="346">
        <f>+PERBULAN!E43</f>
        <v>11</v>
      </c>
      <c r="G43" s="347">
        <f>+PERBULAN!S43</f>
        <v>42905275.359999999</v>
      </c>
      <c r="H43" s="347">
        <f>+BPJS!Q42</f>
        <v>1718064</v>
      </c>
      <c r="I43" s="347">
        <f>+BPJS!Q164</f>
        <v>359432.63999999996</v>
      </c>
      <c r="J43" s="348">
        <f>+PERBULAN!T43</f>
        <v>3971100</v>
      </c>
      <c r="K43" s="349"/>
      <c r="L43" s="347">
        <f>+PERBULAN!U43</f>
        <v>200000</v>
      </c>
      <c r="M43" s="349">
        <f t="shared" si="16"/>
        <v>49153872</v>
      </c>
      <c r="N43" s="347">
        <f>+'ASTEK 2% -DIISI SMPAI DESEMBER'!O42</f>
        <v>933912</v>
      </c>
      <c r="O43" s="349">
        <f t="shared" si="17"/>
        <v>2457693.6</v>
      </c>
      <c r="P43" s="347">
        <f>+'ASTEK 2% -DIISI SMPAI DESEMBER'!O161</f>
        <v>466956</v>
      </c>
      <c r="Q43" s="349">
        <f t="shared" si="18"/>
        <v>3858561.6</v>
      </c>
      <c r="R43" s="349">
        <f t="shared" si="19"/>
        <v>45295310.399999999</v>
      </c>
      <c r="S43" s="350">
        <f t="shared" si="20"/>
        <v>54000000</v>
      </c>
      <c r="T43" s="351">
        <f t="shared" si="21"/>
        <v>0</v>
      </c>
      <c r="U43" s="341"/>
      <c r="W43" s="342">
        <f t="shared" si="8"/>
        <v>2077496.64</v>
      </c>
    </row>
    <row r="44" spans="1:23" s="317" customFormat="1" ht="12.75" customHeight="1">
      <c r="A44" s="343">
        <v>39</v>
      </c>
      <c r="B44" s="495"/>
      <c r="C44" s="345" t="str">
        <f>+PERBULAN!B44</f>
        <v>HARYANTI ( K )</v>
      </c>
      <c r="D44" s="345" t="str">
        <f>+PERBULAN!C44</f>
        <v>P</v>
      </c>
      <c r="E44" s="345" t="str">
        <f>+PERBULAN!D44</f>
        <v>TK/0</v>
      </c>
      <c r="F44" s="346">
        <f>+PERBULAN!E44</f>
        <v>11</v>
      </c>
      <c r="G44" s="347">
        <f>+PERBULAN!S44</f>
        <v>43367687.560000002</v>
      </c>
      <c r="H44" s="347">
        <f>+BPJS!Q43</f>
        <v>1720784</v>
      </c>
      <c r="I44" s="347">
        <f>+BPJS!Q165</f>
        <v>359701.43999999994</v>
      </c>
      <c r="J44" s="348">
        <f>+PERBULAN!T44</f>
        <v>3977100</v>
      </c>
      <c r="K44" s="349"/>
      <c r="L44" s="347">
        <f>+PERBULAN!U44</f>
        <v>200000</v>
      </c>
      <c r="M44" s="349">
        <f t="shared" si="16"/>
        <v>49625273</v>
      </c>
      <c r="N44" s="347">
        <f>+'ASTEK 2% -DIISI SMPAI DESEMBER'!O43</f>
        <v>934682</v>
      </c>
      <c r="O44" s="349">
        <f t="shared" si="17"/>
        <v>2481263.65</v>
      </c>
      <c r="P44" s="347">
        <f>+'ASTEK 2% -DIISI SMPAI DESEMBER'!O162</f>
        <v>467341</v>
      </c>
      <c r="Q44" s="349">
        <f t="shared" si="18"/>
        <v>3883286.65</v>
      </c>
      <c r="R44" s="349">
        <f t="shared" si="19"/>
        <v>45741986.350000001</v>
      </c>
      <c r="S44" s="350">
        <f t="shared" si="20"/>
        <v>54000000</v>
      </c>
      <c r="T44" s="351">
        <f t="shared" si="21"/>
        <v>0</v>
      </c>
      <c r="U44" s="341"/>
      <c r="W44" s="342">
        <f t="shared" si="8"/>
        <v>2080485.44</v>
      </c>
    </row>
    <row r="45" spans="1:23" s="317" customFormat="1" ht="12.75" customHeight="1">
      <c r="A45" s="343">
        <v>40</v>
      </c>
      <c r="B45" s="495"/>
      <c r="C45" s="345" t="str">
        <f>+PERBULAN!B45</f>
        <v>YUNIAR</v>
      </c>
      <c r="D45" s="345" t="str">
        <f>+PERBULAN!C45</f>
        <v>P</v>
      </c>
      <c r="E45" s="345" t="str">
        <f>+PERBULAN!D45</f>
        <v>TK/0</v>
      </c>
      <c r="F45" s="346">
        <f>+PERBULAN!E45</f>
        <v>11</v>
      </c>
      <c r="G45" s="347">
        <f>+PERBULAN!S45</f>
        <v>43581187.160000004</v>
      </c>
      <c r="H45" s="347">
        <f>+BPJS!Q44</f>
        <v>1729324</v>
      </c>
      <c r="I45" s="347">
        <f>+BPJS!Q166</f>
        <v>360465.83999999997</v>
      </c>
      <c r="J45" s="348">
        <f>+PERBULAN!T45</f>
        <v>3998100</v>
      </c>
      <c r="K45" s="349"/>
      <c r="L45" s="347">
        <f>+PERBULAN!U45</f>
        <v>200000</v>
      </c>
      <c r="M45" s="349">
        <f t="shared" si="16"/>
        <v>49869077.000000007</v>
      </c>
      <c r="N45" s="347">
        <f>+'ASTEK 2% -DIISI SMPAI DESEMBER'!O44</f>
        <v>936852</v>
      </c>
      <c r="O45" s="349">
        <f t="shared" si="17"/>
        <v>2493453.8500000006</v>
      </c>
      <c r="P45" s="347">
        <f>+'ASTEK 2% -DIISI SMPAI DESEMBER'!O163</f>
        <v>468426</v>
      </c>
      <c r="Q45" s="349">
        <f t="shared" si="18"/>
        <v>3898731.8500000006</v>
      </c>
      <c r="R45" s="349">
        <f t="shared" si="19"/>
        <v>45970345.150000006</v>
      </c>
      <c r="S45" s="350">
        <f t="shared" si="20"/>
        <v>54000000</v>
      </c>
      <c r="T45" s="351">
        <f t="shared" si="21"/>
        <v>0</v>
      </c>
      <c r="U45" s="341"/>
      <c r="W45" s="342">
        <f t="shared" si="8"/>
        <v>2089789.8399999999</v>
      </c>
    </row>
    <row r="46" spans="1:23" s="317" customFormat="1" ht="12.75" customHeight="1">
      <c r="A46" s="343">
        <v>41</v>
      </c>
      <c r="B46" s="495"/>
      <c r="C46" s="345" t="str">
        <f>+PERBULAN!B46</f>
        <v>NOVELA SYAKUR</v>
      </c>
      <c r="D46" s="345" t="str">
        <f>+PERBULAN!C46</f>
        <v>L</v>
      </c>
      <c r="E46" s="345" t="str">
        <f>+PERBULAN!D46</f>
        <v>TK/0</v>
      </c>
      <c r="F46" s="346">
        <f>+PERBULAN!E46</f>
        <v>11</v>
      </c>
      <c r="G46" s="347">
        <f>+PERBULAN!S46</f>
        <v>49398979.160000004</v>
      </c>
      <c r="H46" s="347">
        <f>+BPJS!Q45</f>
        <v>1715904</v>
      </c>
      <c r="I46" s="347">
        <f>+BPJS!Q167</f>
        <v>359205.83999999997</v>
      </c>
      <c r="J46" s="348">
        <f>+PERBULAN!T46</f>
        <v>3965100</v>
      </c>
      <c r="K46" s="349"/>
      <c r="L46" s="347">
        <f>+PERBULAN!U46</f>
        <v>200000</v>
      </c>
      <c r="M46" s="349">
        <f t="shared" si="16"/>
        <v>55639189.000000007</v>
      </c>
      <c r="N46" s="347">
        <f>+'ASTEK 2% -DIISI SMPAI DESEMBER'!O45</f>
        <v>933252</v>
      </c>
      <c r="O46" s="349">
        <f t="shared" si="17"/>
        <v>2781959.4500000007</v>
      </c>
      <c r="P46" s="347">
        <f>+'ASTEK 2% -DIISI SMPAI DESEMBER'!O164</f>
        <v>466626</v>
      </c>
      <c r="Q46" s="349">
        <f t="shared" si="18"/>
        <v>4181837.4500000007</v>
      </c>
      <c r="R46" s="349">
        <f t="shared" si="19"/>
        <v>51457351.550000004</v>
      </c>
      <c r="S46" s="350">
        <f t="shared" si="20"/>
        <v>54000000</v>
      </c>
      <c r="T46" s="351">
        <f t="shared" si="21"/>
        <v>0</v>
      </c>
      <c r="U46" s="341"/>
      <c r="W46" s="342">
        <f t="shared" si="8"/>
        <v>2075109.8399999999</v>
      </c>
    </row>
    <row r="47" spans="1:23" s="317" customFormat="1" ht="12.75" customHeight="1">
      <c r="A47" s="343">
        <v>42</v>
      </c>
      <c r="B47" s="495"/>
      <c r="C47" s="345" t="str">
        <f>+PERBULAN!B47</f>
        <v>KUDIN</v>
      </c>
      <c r="D47" s="345" t="str">
        <f>+PERBULAN!C47</f>
        <v>L</v>
      </c>
      <c r="E47" s="345" t="str">
        <f>+PERBULAN!D47</f>
        <v>K/0</v>
      </c>
      <c r="F47" s="346">
        <f>+PERBULAN!E47</f>
        <v>7</v>
      </c>
      <c r="G47" s="347">
        <f>+PERBULAN!S47</f>
        <v>24046667.719999999</v>
      </c>
      <c r="H47" s="347">
        <f>+BPJS!Q46</f>
        <v>1090488</v>
      </c>
      <c r="I47" s="347">
        <f>+BPJS!Q168</f>
        <v>228095.27999999997</v>
      </c>
      <c r="J47" s="348">
        <f>+PERBULAN!T47</f>
        <v>4005600</v>
      </c>
      <c r="K47" s="349"/>
      <c r="L47" s="347">
        <f>+PERBULAN!U47</f>
        <v>600000</v>
      </c>
      <c r="M47" s="349">
        <f t="shared" si="16"/>
        <v>29970851</v>
      </c>
      <c r="N47" s="347">
        <f>+'ASTEK 2% -DIISI SMPAI DESEMBER'!O46</f>
        <v>543072</v>
      </c>
      <c r="O47" s="349">
        <f t="shared" si="17"/>
        <v>1498542.55</v>
      </c>
      <c r="P47" s="347">
        <f>+'ASTEK 2% -DIISI SMPAI DESEMBER'!O165</f>
        <v>271536</v>
      </c>
      <c r="Q47" s="349">
        <f t="shared" si="18"/>
        <v>2313150.5499999998</v>
      </c>
      <c r="R47" s="349">
        <f t="shared" si="19"/>
        <v>27657700.449999999</v>
      </c>
      <c r="S47" s="350">
        <f t="shared" si="20"/>
        <v>58500000</v>
      </c>
      <c r="T47" s="351">
        <f t="shared" si="21"/>
        <v>0</v>
      </c>
      <c r="U47" s="341"/>
      <c r="W47" s="342">
        <f t="shared" si="8"/>
        <v>1318583.28</v>
      </c>
    </row>
    <row r="48" spans="1:23" s="317" customFormat="1" ht="12.75" customHeight="1">
      <c r="A48" s="343">
        <v>43</v>
      </c>
      <c r="B48" s="495"/>
      <c r="C48" s="345" t="str">
        <f>+PERBULAN!B48</f>
        <v>YULIATI</v>
      </c>
      <c r="D48" s="345" t="str">
        <f>+PERBULAN!C48</f>
        <v>P</v>
      </c>
      <c r="E48" s="345" t="str">
        <f>+PERBULAN!D48</f>
        <v>TK/0</v>
      </c>
      <c r="F48" s="346">
        <f>+PERBULAN!E48</f>
        <v>11</v>
      </c>
      <c r="G48" s="347">
        <f>+PERBULAN!S48</f>
        <v>42803807.559999995</v>
      </c>
      <c r="H48" s="347">
        <f>+BPJS!Q47</f>
        <v>1719264</v>
      </c>
      <c r="I48" s="347">
        <f>+BPJS!Q169</f>
        <v>359533.44</v>
      </c>
      <c r="J48" s="348">
        <f>+PERBULAN!T48</f>
        <v>3974100</v>
      </c>
      <c r="K48" s="349"/>
      <c r="L48" s="347">
        <f>+PERBULAN!U48</f>
        <v>200000</v>
      </c>
      <c r="M48" s="349">
        <f t="shared" si="16"/>
        <v>49056704.999999993</v>
      </c>
      <c r="N48" s="347">
        <f>+'ASTEK 2% -DIISI SMPAI DESEMBER'!O47</f>
        <v>934212</v>
      </c>
      <c r="O48" s="349">
        <f t="shared" si="17"/>
        <v>2452835.2499999995</v>
      </c>
      <c r="P48" s="347">
        <f>+'ASTEK 2% -DIISI SMPAI DESEMBER'!O166</f>
        <v>467106</v>
      </c>
      <c r="Q48" s="349">
        <f t="shared" si="18"/>
        <v>3854153.2499999995</v>
      </c>
      <c r="R48" s="349">
        <f t="shared" si="19"/>
        <v>45202551.749999993</v>
      </c>
      <c r="S48" s="350">
        <f t="shared" si="20"/>
        <v>54000000</v>
      </c>
      <c r="T48" s="351">
        <f t="shared" si="21"/>
        <v>0</v>
      </c>
      <c r="U48" s="341"/>
      <c r="W48" s="342">
        <f t="shared" si="8"/>
        <v>2078797.44</v>
      </c>
    </row>
    <row r="49" spans="1:23" s="317" customFormat="1" ht="12.75" customHeight="1">
      <c r="A49" s="343">
        <v>44</v>
      </c>
      <c r="B49" s="495"/>
      <c r="C49" s="345" t="str">
        <f>+PERBULAN!B49</f>
        <v>ROHAYA</v>
      </c>
      <c r="D49" s="345" t="str">
        <f>+PERBULAN!C49</f>
        <v>P</v>
      </c>
      <c r="E49" s="345" t="str">
        <f>+PERBULAN!D49</f>
        <v>TK/0</v>
      </c>
      <c r="F49" s="346">
        <f>+PERBULAN!E49</f>
        <v>11</v>
      </c>
      <c r="G49" s="347">
        <f>+PERBULAN!S49</f>
        <v>44430976.359999992</v>
      </c>
      <c r="H49" s="347">
        <f>+BPJS!Q48</f>
        <v>1716744</v>
      </c>
      <c r="I49" s="347">
        <f>+BPJS!Q170</f>
        <v>359306.63999999996</v>
      </c>
      <c r="J49" s="348">
        <f>+PERBULAN!T49</f>
        <v>3968100</v>
      </c>
      <c r="K49" s="349"/>
      <c r="L49" s="347">
        <f>+PERBULAN!U49</f>
        <v>200000</v>
      </c>
      <c r="M49" s="349">
        <f t="shared" si="16"/>
        <v>50675126.999999993</v>
      </c>
      <c r="N49" s="347">
        <f>+'ASTEK 2% -DIISI SMPAI DESEMBER'!O48</f>
        <v>933552</v>
      </c>
      <c r="O49" s="349">
        <f t="shared" si="17"/>
        <v>2533756.3499999996</v>
      </c>
      <c r="P49" s="347">
        <f>+'ASTEK 2% -DIISI SMPAI DESEMBER'!O167</f>
        <v>466776</v>
      </c>
      <c r="Q49" s="349">
        <f t="shared" si="18"/>
        <v>3934084.3499999996</v>
      </c>
      <c r="R49" s="349">
        <f t="shared" si="19"/>
        <v>46741042.649999991</v>
      </c>
      <c r="S49" s="350">
        <f t="shared" si="20"/>
        <v>54000000</v>
      </c>
      <c r="T49" s="351">
        <f t="shared" si="21"/>
        <v>0</v>
      </c>
      <c r="U49" s="341"/>
      <c r="W49" s="342">
        <f t="shared" si="8"/>
        <v>2076050.64</v>
      </c>
    </row>
    <row r="50" spans="1:23" s="317" customFormat="1" ht="12.75" customHeight="1">
      <c r="A50" s="343">
        <v>45</v>
      </c>
      <c r="B50" s="495"/>
      <c r="C50" s="345" t="str">
        <f>+PERBULAN!B50</f>
        <v>ROSMIATI</v>
      </c>
      <c r="D50" s="345" t="str">
        <f>+PERBULAN!C50</f>
        <v>P</v>
      </c>
      <c r="E50" s="345" t="str">
        <f>+PERBULAN!D50</f>
        <v>TK/0</v>
      </c>
      <c r="F50" s="346">
        <f>+PERBULAN!E50</f>
        <v>11</v>
      </c>
      <c r="G50" s="347">
        <f>+PERBULAN!S50</f>
        <v>44112505.960000001</v>
      </c>
      <c r="H50" s="347">
        <f>+BPJS!Q49</f>
        <v>1719024</v>
      </c>
      <c r="I50" s="347">
        <f>+BPJS!Q171</f>
        <v>359483.04</v>
      </c>
      <c r="J50" s="348">
        <f>+PERBULAN!T50</f>
        <v>3974100</v>
      </c>
      <c r="K50" s="349"/>
      <c r="L50" s="347">
        <f>+PERBULAN!U50</f>
        <v>200000</v>
      </c>
      <c r="M50" s="349">
        <f t="shared" si="16"/>
        <v>50365113</v>
      </c>
      <c r="N50" s="347">
        <f>+'ASTEK 2% -DIISI SMPAI DESEMBER'!O49</f>
        <v>934092</v>
      </c>
      <c r="O50" s="349">
        <f t="shared" si="17"/>
        <v>2518255.6500000004</v>
      </c>
      <c r="P50" s="347">
        <f>+'ASTEK 2% -DIISI SMPAI DESEMBER'!O168</f>
        <v>467046</v>
      </c>
      <c r="Q50" s="349">
        <f t="shared" si="18"/>
        <v>3919393.6500000004</v>
      </c>
      <c r="R50" s="349">
        <f t="shared" si="19"/>
        <v>46445719.350000001</v>
      </c>
      <c r="S50" s="350">
        <f t="shared" si="20"/>
        <v>54000000</v>
      </c>
      <c r="T50" s="351">
        <f t="shared" si="21"/>
        <v>0</v>
      </c>
      <c r="U50" s="341"/>
      <c r="W50" s="342">
        <f t="shared" si="8"/>
        <v>2078507.04</v>
      </c>
    </row>
    <row r="51" spans="1:23" s="317" customFormat="1" ht="12.75" customHeight="1">
      <c r="A51" s="343">
        <v>46</v>
      </c>
      <c r="B51" s="495"/>
      <c r="C51" s="345" t="str">
        <f>+PERBULAN!B51</f>
        <v>ROSMINI</v>
      </c>
      <c r="D51" s="345" t="str">
        <f>+PERBULAN!C51</f>
        <v>P</v>
      </c>
      <c r="E51" s="345" t="str">
        <f>+PERBULAN!D51</f>
        <v>TK/0</v>
      </c>
      <c r="F51" s="346">
        <f>+PERBULAN!E51</f>
        <v>11</v>
      </c>
      <c r="G51" s="347">
        <f>+PERBULAN!S51</f>
        <v>44177976.960000001</v>
      </c>
      <c r="H51" s="347">
        <f>+BPJS!Q50</f>
        <v>1716384</v>
      </c>
      <c r="I51" s="347">
        <f>+BPJS!Q172</f>
        <v>359231.04</v>
      </c>
      <c r="J51" s="348">
        <f>+PERBULAN!T51</f>
        <v>3968100</v>
      </c>
      <c r="K51" s="349"/>
      <c r="L51" s="347">
        <f>+PERBULAN!U51</f>
        <v>200000</v>
      </c>
      <c r="M51" s="349">
        <f t="shared" si="16"/>
        <v>50421692</v>
      </c>
      <c r="N51" s="347">
        <f>+'ASTEK 2% -DIISI SMPAI DESEMBER'!O50</f>
        <v>933372</v>
      </c>
      <c r="O51" s="349">
        <f t="shared" si="17"/>
        <v>2521084.6</v>
      </c>
      <c r="P51" s="347">
        <f>+'ASTEK 2% -DIISI SMPAI DESEMBER'!O169</f>
        <v>466686</v>
      </c>
      <c r="Q51" s="349">
        <f t="shared" si="18"/>
        <v>3921142.6</v>
      </c>
      <c r="R51" s="349">
        <f t="shared" si="19"/>
        <v>46500549.399999999</v>
      </c>
      <c r="S51" s="350">
        <f t="shared" si="20"/>
        <v>54000000</v>
      </c>
      <c r="T51" s="351">
        <f t="shared" si="21"/>
        <v>0</v>
      </c>
      <c r="U51" s="341"/>
      <c r="W51" s="342">
        <f t="shared" si="8"/>
        <v>2075615.04</v>
      </c>
    </row>
    <row r="52" spans="1:23" s="317" customFormat="1" ht="12.75" customHeight="1">
      <c r="A52" s="343">
        <v>47</v>
      </c>
      <c r="B52" s="495"/>
      <c r="C52" s="345" t="str">
        <f>+PERBULAN!B52</f>
        <v>KURI</v>
      </c>
      <c r="D52" s="345" t="str">
        <f>+PERBULAN!C52</f>
        <v>L</v>
      </c>
      <c r="E52" s="345" t="str">
        <f>+PERBULAN!D52</f>
        <v>K/1</v>
      </c>
      <c r="F52" s="346">
        <f>+PERBULAN!E52</f>
        <v>11</v>
      </c>
      <c r="G52" s="347">
        <f>+PERBULAN!S52</f>
        <v>43411227.160000004</v>
      </c>
      <c r="H52" s="347">
        <f>+BPJS!Q51</f>
        <v>1743044</v>
      </c>
      <c r="I52" s="347">
        <f>+BPJS!Q173</f>
        <v>361935.83999999997</v>
      </c>
      <c r="J52" s="348">
        <f>+PERBULAN!T52</f>
        <v>4101600</v>
      </c>
      <c r="K52" s="349"/>
      <c r="L52" s="347">
        <f>+PERBULAN!U52</f>
        <v>200000</v>
      </c>
      <c r="M52" s="349">
        <f t="shared" si="16"/>
        <v>49817807.000000007</v>
      </c>
      <c r="N52" s="347">
        <f>+'ASTEK 2% -DIISI SMPAI DESEMBER'!O51</f>
        <v>941052</v>
      </c>
      <c r="O52" s="349">
        <f t="shared" si="17"/>
        <v>2490890.3500000006</v>
      </c>
      <c r="P52" s="347">
        <f>+'ASTEK 2% -DIISI SMPAI DESEMBER'!O170</f>
        <v>470526</v>
      </c>
      <c r="Q52" s="349">
        <f t="shared" si="18"/>
        <v>3902468.3500000006</v>
      </c>
      <c r="R52" s="349">
        <f t="shared" si="19"/>
        <v>45915338.650000006</v>
      </c>
      <c r="S52" s="350">
        <f t="shared" si="20"/>
        <v>63000000</v>
      </c>
      <c r="T52" s="351">
        <f t="shared" si="21"/>
        <v>0</v>
      </c>
      <c r="U52" s="341"/>
      <c r="W52" s="342">
        <f t="shared" si="8"/>
        <v>2104979.84</v>
      </c>
    </row>
    <row r="53" spans="1:23" s="317" customFormat="1" ht="12.75" customHeight="1">
      <c r="A53" s="343">
        <v>48</v>
      </c>
      <c r="B53" s="495"/>
      <c r="C53" s="345" t="str">
        <f>+PERBULAN!B53</f>
        <v>BASTIAR</v>
      </c>
      <c r="D53" s="345" t="str">
        <f>+PERBULAN!C53</f>
        <v>L</v>
      </c>
      <c r="E53" s="345" t="str">
        <f>+PERBULAN!D53</f>
        <v>K/1</v>
      </c>
      <c r="F53" s="346">
        <f>+PERBULAN!E53</f>
        <v>11</v>
      </c>
      <c r="G53" s="347">
        <f>+PERBULAN!S53</f>
        <v>41431286.160000004</v>
      </c>
      <c r="H53" s="347">
        <f>+BPJS!Q52</f>
        <v>1716264</v>
      </c>
      <c r="I53" s="347">
        <f>+BPJS!Q174</f>
        <v>359205.83999999997</v>
      </c>
      <c r="J53" s="348">
        <f>+PERBULAN!T53</f>
        <v>4026600</v>
      </c>
      <c r="K53" s="349"/>
      <c r="L53" s="347">
        <f>+PERBULAN!U53</f>
        <v>200000</v>
      </c>
      <c r="M53" s="349">
        <f t="shared" si="16"/>
        <v>47733356.000000007</v>
      </c>
      <c r="N53" s="347">
        <f>+'ASTEK 2% -DIISI SMPAI DESEMBER'!O52</f>
        <v>933312</v>
      </c>
      <c r="O53" s="349">
        <f t="shared" si="17"/>
        <v>2386667.8000000003</v>
      </c>
      <c r="P53" s="347">
        <f>+'ASTEK 2% -DIISI SMPAI DESEMBER'!O171</f>
        <v>466656</v>
      </c>
      <c r="Q53" s="349">
        <f t="shared" si="18"/>
        <v>3786635.8000000003</v>
      </c>
      <c r="R53" s="349">
        <f t="shared" si="19"/>
        <v>43946720.20000001</v>
      </c>
      <c r="S53" s="350">
        <f t="shared" si="20"/>
        <v>63000000</v>
      </c>
      <c r="T53" s="351">
        <f t="shared" si="21"/>
        <v>0</v>
      </c>
      <c r="U53" s="341"/>
      <c r="W53" s="342">
        <f t="shared" si="8"/>
        <v>2075469.8399999999</v>
      </c>
    </row>
    <row r="54" spans="1:23" s="317" customFormat="1" ht="12.75" customHeight="1">
      <c r="A54" s="343">
        <v>49</v>
      </c>
      <c r="B54" s="495"/>
      <c r="C54" s="345" t="str">
        <f>+PERBULAN!B54</f>
        <v>ADIYANSA</v>
      </c>
      <c r="D54" s="345" t="str">
        <f>+PERBULAN!C54</f>
        <v>L</v>
      </c>
      <c r="E54" s="345" t="str">
        <f>+PERBULAN!D54</f>
        <v>K/1</v>
      </c>
      <c r="F54" s="346">
        <f>+PERBULAN!E54</f>
        <v>11</v>
      </c>
      <c r="G54" s="347">
        <f>+PERBULAN!S54</f>
        <v>44712218.159999996</v>
      </c>
      <c r="H54" s="347">
        <f>+BPJS!Q53</f>
        <v>1714344</v>
      </c>
      <c r="I54" s="347">
        <f>+BPJS!Q175</f>
        <v>359079.83999999997</v>
      </c>
      <c r="J54" s="348">
        <f>+PERBULAN!T54</f>
        <v>4034100</v>
      </c>
      <c r="K54" s="349"/>
      <c r="L54" s="347">
        <f>+PERBULAN!U54</f>
        <v>200000</v>
      </c>
      <c r="M54" s="349">
        <f t="shared" si="16"/>
        <v>51019742</v>
      </c>
      <c r="N54" s="347">
        <f>+'ASTEK 2% -DIISI SMPAI DESEMBER'!O53</f>
        <v>932892</v>
      </c>
      <c r="O54" s="349">
        <f t="shared" si="17"/>
        <v>2550987.1</v>
      </c>
      <c r="P54" s="347">
        <f>+'ASTEK 2% -DIISI SMPAI DESEMBER'!O172</f>
        <v>466446</v>
      </c>
      <c r="Q54" s="349">
        <f t="shared" si="18"/>
        <v>3950325.1</v>
      </c>
      <c r="R54" s="349">
        <f t="shared" si="19"/>
        <v>47069416.899999999</v>
      </c>
      <c r="S54" s="350">
        <f t="shared" si="20"/>
        <v>63000000</v>
      </c>
      <c r="T54" s="351">
        <f t="shared" si="21"/>
        <v>0</v>
      </c>
      <c r="U54" s="341"/>
      <c r="W54" s="342">
        <f t="shared" si="8"/>
        <v>2073423.8399999999</v>
      </c>
    </row>
    <row r="55" spans="1:23" s="317" customFormat="1" ht="12.75" customHeight="1">
      <c r="A55" s="343">
        <v>50</v>
      </c>
      <c r="B55" s="495"/>
      <c r="C55" s="345" t="str">
        <f>+PERBULAN!B55</f>
        <v>RUDI SETIAWAN</v>
      </c>
      <c r="D55" s="345" t="str">
        <f>+PERBULAN!C55</f>
        <v>L</v>
      </c>
      <c r="E55" s="345" t="str">
        <f>+PERBULAN!D55</f>
        <v>TK/0</v>
      </c>
      <c r="F55" s="346">
        <f>+PERBULAN!E55</f>
        <v>11</v>
      </c>
      <c r="G55" s="347">
        <f>+PERBULAN!S55</f>
        <v>43032215.160000004</v>
      </c>
      <c r="H55" s="347">
        <f>+BPJS!Q54</f>
        <v>1707904</v>
      </c>
      <c r="I55" s="347">
        <f>+BPJS!Q176</f>
        <v>358407.83999999997</v>
      </c>
      <c r="J55" s="348">
        <f>+PERBULAN!T55</f>
        <v>3949100</v>
      </c>
      <c r="K55" s="349"/>
      <c r="L55" s="347">
        <f>+PERBULAN!U55</f>
        <v>200000</v>
      </c>
      <c r="M55" s="349">
        <f t="shared" si="16"/>
        <v>49247627.000000007</v>
      </c>
      <c r="N55" s="347">
        <f>+'ASTEK 2% -DIISI SMPAI DESEMBER'!O54</f>
        <v>931022</v>
      </c>
      <c r="O55" s="349">
        <f t="shared" si="17"/>
        <v>2462381.3500000006</v>
      </c>
      <c r="P55" s="347">
        <f>+'ASTEK 2% -DIISI SMPAI DESEMBER'!O173</f>
        <v>465511</v>
      </c>
      <c r="Q55" s="349">
        <f t="shared" si="18"/>
        <v>3858914.3500000006</v>
      </c>
      <c r="R55" s="349">
        <f t="shared" si="19"/>
        <v>45388712.650000006</v>
      </c>
      <c r="S55" s="350">
        <f t="shared" si="20"/>
        <v>54000000</v>
      </c>
      <c r="T55" s="351">
        <f t="shared" si="21"/>
        <v>0</v>
      </c>
      <c r="U55" s="341"/>
      <c r="W55" s="342">
        <f t="shared" si="8"/>
        <v>2066311.8399999999</v>
      </c>
    </row>
    <row r="56" spans="1:23" s="317" customFormat="1" ht="12.75" customHeight="1">
      <c r="A56" s="343">
        <v>51</v>
      </c>
      <c r="B56" s="495"/>
      <c r="C56" s="345" t="str">
        <f>+PERBULAN!B56</f>
        <v>MARYANTO</v>
      </c>
      <c r="D56" s="345" t="str">
        <f>+PERBULAN!C56</f>
        <v>L</v>
      </c>
      <c r="E56" s="345" t="str">
        <f>+PERBULAN!D56</f>
        <v>K/0</v>
      </c>
      <c r="F56" s="346">
        <f>+PERBULAN!E56</f>
        <v>11</v>
      </c>
      <c r="G56" s="347">
        <f>+PERBULAN!S56</f>
        <v>44728866.359999992</v>
      </c>
      <c r="H56" s="347">
        <f>+BPJS!Q55</f>
        <v>1726664</v>
      </c>
      <c r="I56" s="347">
        <f>+BPJS!Q177</f>
        <v>360230.64</v>
      </c>
      <c r="J56" s="348">
        <f>+PERBULAN!T56</f>
        <v>4034600</v>
      </c>
      <c r="K56" s="349"/>
      <c r="L56" s="347">
        <f>+PERBULAN!U56</f>
        <v>200000</v>
      </c>
      <c r="M56" s="349">
        <f t="shared" si="16"/>
        <v>51050360.999999993</v>
      </c>
      <c r="N56" s="347">
        <f>+'ASTEK 2% -DIISI SMPAI DESEMBER'!O55</f>
        <v>936222</v>
      </c>
      <c r="O56" s="349">
        <f t="shared" si="17"/>
        <v>2552518.0499999998</v>
      </c>
      <c r="P56" s="347">
        <f>+'ASTEK 2% -DIISI SMPAI DESEMBER'!O174</f>
        <v>468111</v>
      </c>
      <c r="Q56" s="349">
        <f t="shared" si="18"/>
        <v>3956851.05</v>
      </c>
      <c r="R56" s="349">
        <f t="shared" si="19"/>
        <v>47093509.949999996</v>
      </c>
      <c r="S56" s="350">
        <f t="shared" si="20"/>
        <v>58500000</v>
      </c>
      <c r="T56" s="351">
        <f t="shared" si="21"/>
        <v>0</v>
      </c>
      <c r="U56" s="341"/>
      <c r="W56" s="342">
        <f t="shared" si="8"/>
        <v>2086894.6400000001</v>
      </c>
    </row>
    <row r="57" spans="1:23" s="317" customFormat="1" ht="12.75" customHeight="1">
      <c r="A57" s="343">
        <v>52</v>
      </c>
      <c r="B57" s="495"/>
      <c r="C57" s="345" t="str">
        <f>+PERBULAN!B57</f>
        <v>SRI REJEKI</v>
      </c>
      <c r="D57" s="345" t="str">
        <f>+PERBULAN!C57</f>
        <v>P</v>
      </c>
      <c r="E57" s="345" t="str">
        <f>+PERBULAN!D57</f>
        <v>TK/0</v>
      </c>
      <c r="F57" s="346">
        <f>+PERBULAN!E57</f>
        <v>11</v>
      </c>
      <c r="G57" s="347">
        <f>+PERBULAN!S57</f>
        <v>44249036.360000007</v>
      </c>
      <c r="H57" s="347">
        <f>+BPJS!Q56</f>
        <v>1729744</v>
      </c>
      <c r="I57" s="347">
        <f>+BPJS!Q178</f>
        <v>360524.64</v>
      </c>
      <c r="J57" s="348">
        <f>+PERBULAN!T57</f>
        <v>3998100</v>
      </c>
      <c r="K57" s="349"/>
      <c r="L57" s="347">
        <f>+PERBULAN!U57</f>
        <v>200000</v>
      </c>
      <c r="M57" s="349">
        <f t="shared" si="16"/>
        <v>50537405.000000007</v>
      </c>
      <c r="N57" s="347">
        <f>+'ASTEK 2% -DIISI SMPAI DESEMBER'!O56</f>
        <v>937062</v>
      </c>
      <c r="O57" s="349">
        <f t="shared" si="17"/>
        <v>2526870.2500000005</v>
      </c>
      <c r="P57" s="347">
        <f>+'ASTEK 2% -DIISI SMPAI DESEMBER'!O175</f>
        <v>468531</v>
      </c>
      <c r="Q57" s="349">
        <f t="shared" si="18"/>
        <v>3932463.2500000005</v>
      </c>
      <c r="R57" s="349">
        <f t="shared" si="19"/>
        <v>46604941.750000007</v>
      </c>
      <c r="S57" s="350">
        <f t="shared" si="20"/>
        <v>54000000</v>
      </c>
      <c r="T57" s="351">
        <f t="shared" si="21"/>
        <v>0</v>
      </c>
      <c r="U57" s="341"/>
      <c r="W57" s="342">
        <f t="shared" si="8"/>
        <v>2090268.6400000001</v>
      </c>
    </row>
    <row r="58" spans="1:23" s="317" customFormat="1" ht="12.75" customHeight="1">
      <c r="A58" s="343">
        <v>53</v>
      </c>
      <c r="B58" s="495"/>
      <c r="C58" s="345" t="str">
        <f>+PERBULAN!B58</f>
        <v>SARTIKA</v>
      </c>
      <c r="D58" s="345" t="str">
        <f>+PERBULAN!C58</f>
        <v>P</v>
      </c>
      <c r="E58" s="345" t="str">
        <f>+PERBULAN!D58</f>
        <v>TK/0</v>
      </c>
      <c r="F58" s="346">
        <f>+PERBULAN!E58</f>
        <v>11</v>
      </c>
      <c r="G58" s="347">
        <f>+PERBULAN!S58</f>
        <v>44434977.359999992</v>
      </c>
      <c r="H58" s="347">
        <f>+BPJS!Q57</f>
        <v>1726664</v>
      </c>
      <c r="I58" s="347">
        <f>+BPJS!Q179</f>
        <v>360230.64</v>
      </c>
      <c r="J58" s="348">
        <f>+PERBULAN!T58</f>
        <v>3991100</v>
      </c>
      <c r="K58" s="349"/>
      <c r="L58" s="347">
        <f>+PERBULAN!U58</f>
        <v>200000</v>
      </c>
      <c r="M58" s="349">
        <f t="shared" si="16"/>
        <v>50712971.999999993</v>
      </c>
      <c r="N58" s="347">
        <f>+'ASTEK 2% -DIISI SMPAI DESEMBER'!O57</f>
        <v>936222</v>
      </c>
      <c r="O58" s="349">
        <f t="shared" si="17"/>
        <v>2535648.5999999996</v>
      </c>
      <c r="P58" s="347">
        <f>+'ASTEK 2% -DIISI SMPAI DESEMBER'!O176</f>
        <v>468111</v>
      </c>
      <c r="Q58" s="349">
        <f t="shared" si="18"/>
        <v>3939981.5999999996</v>
      </c>
      <c r="R58" s="349">
        <f t="shared" si="19"/>
        <v>46772990.399999991</v>
      </c>
      <c r="S58" s="350">
        <f t="shared" si="20"/>
        <v>54000000</v>
      </c>
      <c r="T58" s="351">
        <f t="shared" si="21"/>
        <v>0</v>
      </c>
      <c r="U58" s="341"/>
      <c r="W58" s="342">
        <f t="shared" si="8"/>
        <v>2086894.6400000001</v>
      </c>
    </row>
    <row r="59" spans="1:23" s="317" customFormat="1" ht="12.75" customHeight="1">
      <c r="A59" s="343">
        <v>54</v>
      </c>
      <c r="B59" s="495"/>
      <c r="C59" s="345" t="str">
        <f>+PERBULAN!B59</f>
        <v>MIRNA</v>
      </c>
      <c r="D59" s="345" t="str">
        <f>+PERBULAN!C59</f>
        <v>P</v>
      </c>
      <c r="E59" s="345" t="str">
        <f>+PERBULAN!D59</f>
        <v>TK/0</v>
      </c>
      <c r="F59" s="346">
        <f>+PERBULAN!E59</f>
        <v>11</v>
      </c>
      <c r="G59" s="347">
        <f>+PERBULAN!S59</f>
        <v>42315927.560000002</v>
      </c>
      <c r="H59" s="347">
        <f>+BPJS!Q58</f>
        <v>1720784</v>
      </c>
      <c r="I59" s="347">
        <f>+BPJS!Q180</f>
        <v>359701.43999999994</v>
      </c>
      <c r="J59" s="348">
        <f>+PERBULAN!T59</f>
        <v>3977100</v>
      </c>
      <c r="K59" s="349"/>
      <c r="L59" s="347">
        <f>+PERBULAN!U59</f>
        <v>200000</v>
      </c>
      <c r="M59" s="349">
        <f t="shared" si="16"/>
        <v>48573513</v>
      </c>
      <c r="N59" s="347">
        <f>+'ASTEK 2% -DIISI SMPAI DESEMBER'!O58</f>
        <v>934682</v>
      </c>
      <c r="O59" s="349">
        <f t="shared" si="17"/>
        <v>2428675.65</v>
      </c>
      <c r="P59" s="347">
        <f>+'ASTEK 2% -DIISI SMPAI DESEMBER'!O177</f>
        <v>467341</v>
      </c>
      <c r="Q59" s="349">
        <f t="shared" si="18"/>
        <v>3830698.65</v>
      </c>
      <c r="R59" s="349">
        <f t="shared" si="19"/>
        <v>44742814.350000001</v>
      </c>
      <c r="S59" s="350">
        <f t="shared" si="20"/>
        <v>54000000</v>
      </c>
      <c r="T59" s="351">
        <f t="shared" si="21"/>
        <v>0</v>
      </c>
      <c r="U59" s="341"/>
      <c r="W59" s="342">
        <f t="shared" si="8"/>
        <v>2080485.44</v>
      </c>
    </row>
    <row r="60" spans="1:23" s="317" customFormat="1" ht="12.75" customHeight="1">
      <c r="A60" s="343">
        <v>55</v>
      </c>
      <c r="B60" s="495"/>
      <c r="C60" s="345" t="str">
        <f>+PERBULAN!B60</f>
        <v>ROZATI</v>
      </c>
      <c r="D60" s="345" t="str">
        <f>+PERBULAN!C60</f>
        <v>P</v>
      </c>
      <c r="E60" s="345" t="str">
        <f>+PERBULAN!D60</f>
        <v>TK/0</v>
      </c>
      <c r="F60" s="346">
        <f>+PERBULAN!E60</f>
        <v>11</v>
      </c>
      <c r="G60" s="347">
        <f>+PERBULAN!S60</f>
        <v>42677808.159999996</v>
      </c>
      <c r="H60" s="347">
        <f>+BPJS!Q59</f>
        <v>1714224</v>
      </c>
      <c r="I60" s="347">
        <f>+BPJS!Q181</f>
        <v>359079.83999999997</v>
      </c>
      <c r="J60" s="348">
        <f>+PERBULAN!T60</f>
        <v>3962100</v>
      </c>
      <c r="K60" s="349"/>
      <c r="L60" s="347">
        <f>+PERBULAN!U60</f>
        <v>200000</v>
      </c>
      <c r="M60" s="349">
        <f t="shared" si="16"/>
        <v>48913212</v>
      </c>
      <c r="N60" s="347">
        <f>+'ASTEK 2% -DIISI SMPAI DESEMBER'!O59</f>
        <v>932892</v>
      </c>
      <c r="O60" s="349">
        <f t="shared" si="17"/>
        <v>2445660.6</v>
      </c>
      <c r="P60" s="347">
        <f>+'ASTEK 2% -DIISI SMPAI DESEMBER'!O178</f>
        <v>466446</v>
      </c>
      <c r="Q60" s="349">
        <f t="shared" si="18"/>
        <v>3844998.6</v>
      </c>
      <c r="R60" s="349">
        <f t="shared" si="19"/>
        <v>45068213.399999999</v>
      </c>
      <c r="S60" s="350">
        <f t="shared" si="20"/>
        <v>54000000</v>
      </c>
      <c r="T60" s="351">
        <f t="shared" si="21"/>
        <v>0</v>
      </c>
      <c r="U60" s="341"/>
      <c r="W60" s="342">
        <f t="shared" si="8"/>
        <v>2073303.8399999999</v>
      </c>
    </row>
    <row r="61" spans="1:23" s="317" customFormat="1" ht="12.75" customHeight="1">
      <c r="A61" s="343">
        <v>56</v>
      </c>
      <c r="B61" s="495"/>
      <c r="C61" s="345" t="str">
        <f>+PERBULAN!B61</f>
        <v>SAHWEDI</v>
      </c>
      <c r="D61" s="345" t="str">
        <f>+PERBULAN!C61</f>
        <v>L</v>
      </c>
      <c r="E61" s="345" t="str">
        <f>+PERBULAN!D61</f>
        <v>TK/0</v>
      </c>
      <c r="F61" s="346">
        <f>+PERBULAN!E61</f>
        <v>11</v>
      </c>
      <c r="G61" s="347">
        <f>+PERBULAN!S61</f>
        <v>43361694.160000004</v>
      </c>
      <c r="H61" s="347">
        <f>+BPJS!Q60</f>
        <v>1708804</v>
      </c>
      <c r="I61" s="347">
        <f>+BPJS!Q182</f>
        <v>358512.83999999997</v>
      </c>
      <c r="J61" s="348">
        <f>+PERBULAN!T61</f>
        <v>3951600</v>
      </c>
      <c r="K61" s="349"/>
      <c r="L61" s="347">
        <f>+PERBULAN!U61</f>
        <v>200000</v>
      </c>
      <c r="M61" s="349">
        <f t="shared" si="16"/>
        <v>49580611.000000007</v>
      </c>
      <c r="N61" s="347">
        <f>+'ASTEK 2% -DIISI SMPAI DESEMBER'!O60</f>
        <v>931272</v>
      </c>
      <c r="O61" s="349">
        <f t="shared" si="17"/>
        <v>2479030.5500000003</v>
      </c>
      <c r="P61" s="347">
        <f>+'ASTEK 2% -DIISI SMPAI DESEMBER'!O179</f>
        <v>465636</v>
      </c>
      <c r="Q61" s="349">
        <f t="shared" si="18"/>
        <v>3875938.5500000003</v>
      </c>
      <c r="R61" s="349">
        <f t="shared" si="19"/>
        <v>45704672.45000001</v>
      </c>
      <c r="S61" s="350">
        <f t="shared" si="20"/>
        <v>54000000</v>
      </c>
      <c r="T61" s="351">
        <f t="shared" si="21"/>
        <v>0</v>
      </c>
      <c r="U61" s="341"/>
      <c r="W61" s="342">
        <f t="shared" si="8"/>
        <v>2067316.8399999999</v>
      </c>
    </row>
    <row r="62" spans="1:23" s="317" customFormat="1" ht="12.75" customHeight="1">
      <c r="A62" s="343">
        <v>57</v>
      </c>
      <c r="B62" s="495"/>
      <c r="C62" s="345" t="str">
        <f>+PERBULAN!B62</f>
        <v>RUKMAN</v>
      </c>
      <c r="D62" s="345" t="str">
        <f>+PERBULAN!C62</f>
        <v>L</v>
      </c>
      <c r="E62" s="345" t="str">
        <f>+PERBULAN!D62</f>
        <v>K/2</v>
      </c>
      <c r="F62" s="346">
        <f>+PERBULAN!E62</f>
        <v>11</v>
      </c>
      <c r="G62" s="347">
        <f>+PERBULAN!S62</f>
        <v>44851826.159999989</v>
      </c>
      <c r="H62" s="347">
        <f>+BPJS!Q61</f>
        <v>1726384</v>
      </c>
      <c r="I62" s="347">
        <f>+BPJS!Q183</f>
        <v>360171.83999999997</v>
      </c>
      <c r="J62" s="348">
        <f>+PERBULAN!T62</f>
        <v>4090100</v>
      </c>
      <c r="K62" s="349"/>
      <c r="L62" s="347">
        <f>+PERBULAN!U62</f>
        <v>200000</v>
      </c>
      <c r="M62" s="349">
        <f t="shared" si="16"/>
        <v>51228481.999999993</v>
      </c>
      <c r="N62" s="347">
        <f>+'ASTEK 2% -DIISI SMPAI DESEMBER'!O61</f>
        <v>936012</v>
      </c>
      <c r="O62" s="349">
        <f t="shared" si="17"/>
        <v>2561424.0999999996</v>
      </c>
      <c r="P62" s="347">
        <f>+'ASTEK 2% -DIISI SMPAI DESEMBER'!O180</f>
        <v>468006</v>
      </c>
      <c r="Q62" s="349">
        <f t="shared" si="18"/>
        <v>3965442.0999999996</v>
      </c>
      <c r="R62" s="349">
        <f t="shared" si="19"/>
        <v>47263039.899999991</v>
      </c>
      <c r="S62" s="350">
        <f t="shared" si="20"/>
        <v>67500000</v>
      </c>
      <c r="T62" s="351">
        <f t="shared" si="21"/>
        <v>0</v>
      </c>
      <c r="U62" s="341"/>
      <c r="W62" s="342">
        <f t="shared" si="8"/>
        <v>2086555.8399999999</v>
      </c>
    </row>
    <row r="63" spans="1:23" s="317" customFormat="1" ht="12.75" customHeight="1">
      <c r="A63" s="343">
        <v>58</v>
      </c>
      <c r="B63" s="352"/>
      <c r="C63" s="345" t="str">
        <f>+PERBULAN!B63</f>
        <v>AGUSTIONO</v>
      </c>
      <c r="D63" s="345" t="str">
        <f>+PERBULAN!C63</f>
        <v>L</v>
      </c>
      <c r="E63" s="345" t="str">
        <f>+PERBULAN!D63</f>
        <v>K/2</v>
      </c>
      <c r="F63" s="346">
        <f>+PERBULAN!E63</f>
        <v>11</v>
      </c>
      <c r="G63" s="347">
        <f>+PERBULAN!S63</f>
        <v>45294489.159999996</v>
      </c>
      <c r="H63" s="347">
        <f>+BPJS!Q62</f>
        <v>1727924</v>
      </c>
      <c r="I63" s="347">
        <f>+BPJS!Q184</f>
        <v>360318.84</v>
      </c>
      <c r="J63" s="348">
        <f>+PERBULAN!T63</f>
        <v>4093600</v>
      </c>
      <c r="K63" s="349"/>
      <c r="L63" s="347">
        <f>+PERBULAN!U63</f>
        <v>200000</v>
      </c>
      <c r="M63" s="349">
        <f t="shared" si="16"/>
        <v>51676332</v>
      </c>
      <c r="N63" s="347">
        <f>+'ASTEK 2% -DIISI SMPAI DESEMBER'!O62</f>
        <v>936432</v>
      </c>
      <c r="O63" s="349">
        <f t="shared" si="17"/>
        <v>2583816.6</v>
      </c>
      <c r="P63" s="347">
        <f>+'ASTEK 2% -DIISI SMPAI DESEMBER'!O181</f>
        <v>468216</v>
      </c>
      <c r="Q63" s="349">
        <f t="shared" si="18"/>
        <v>3988464.6</v>
      </c>
      <c r="R63" s="349">
        <f t="shared" si="19"/>
        <v>47687867.399999999</v>
      </c>
      <c r="S63" s="350">
        <f t="shared" si="20"/>
        <v>67500000</v>
      </c>
      <c r="T63" s="351">
        <f t="shared" si="21"/>
        <v>0</v>
      </c>
      <c r="U63" s="341"/>
      <c r="W63" s="342">
        <f t="shared" si="8"/>
        <v>2088242.84</v>
      </c>
    </row>
    <row r="64" spans="1:23" s="317" customFormat="1" ht="12.75" customHeight="1">
      <c r="A64" s="343">
        <v>59</v>
      </c>
      <c r="B64" s="352"/>
      <c r="C64" s="345" t="str">
        <f>+PERBULAN!B64</f>
        <v>TONGAM PARNINGTON SAMOSIR</v>
      </c>
      <c r="D64" s="345" t="str">
        <f>+PERBULAN!C64</f>
        <v>L</v>
      </c>
      <c r="E64" s="345" t="str">
        <f>+PERBULAN!D64</f>
        <v>K/3</v>
      </c>
      <c r="F64" s="346">
        <f>+PERBULAN!E64</f>
        <v>11</v>
      </c>
      <c r="G64" s="347">
        <f>+PERBULAN!S64</f>
        <v>42421484.760000005</v>
      </c>
      <c r="H64" s="347">
        <f>+BPJS!Q63</f>
        <v>1723444</v>
      </c>
      <c r="I64" s="347">
        <f>+BPJS!Q185</f>
        <v>359907.24</v>
      </c>
      <c r="J64" s="348">
        <f>+PERBULAN!T64</f>
        <v>0</v>
      </c>
      <c r="K64" s="349"/>
      <c r="L64" s="347">
        <f>+PERBULAN!U64</f>
        <v>200000</v>
      </c>
      <c r="M64" s="349">
        <f t="shared" si="16"/>
        <v>44704836.000000007</v>
      </c>
      <c r="N64" s="347">
        <f>+'ASTEK 2% -DIISI SMPAI DESEMBER'!O63</f>
        <v>935312</v>
      </c>
      <c r="O64" s="349">
        <f t="shared" si="17"/>
        <v>2235241.8000000003</v>
      </c>
      <c r="P64" s="347">
        <f>+'ASTEK 2% -DIISI SMPAI DESEMBER'!O182</f>
        <v>467656</v>
      </c>
      <c r="Q64" s="349">
        <f t="shared" si="18"/>
        <v>3638209.8000000003</v>
      </c>
      <c r="R64" s="349">
        <f t="shared" si="19"/>
        <v>41066626.20000001</v>
      </c>
      <c r="S64" s="350">
        <f t="shared" si="20"/>
        <v>72000000</v>
      </c>
      <c r="T64" s="351">
        <f t="shared" si="21"/>
        <v>0</v>
      </c>
      <c r="U64" s="341"/>
      <c r="W64" s="342">
        <f t="shared" si="8"/>
        <v>2083351.24</v>
      </c>
    </row>
    <row r="65" spans="1:23" s="317" customFormat="1" ht="12.75" customHeight="1">
      <c r="A65" s="343">
        <v>60</v>
      </c>
      <c r="B65" s="352"/>
      <c r="C65" s="345" t="str">
        <f>+PERBULAN!B65</f>
        <v>ANUAR</v>
      </c>
      <c r="D65" s="345" t="str">
        <f>+PERBULAN!C65</f>
        <v>L</v>
      </c>
      <c r="E65" s="345" t="str">
        <f>+PERBULAN!D65</f>
        <v>TK/0</v>
      </c>
      <c r="F65" s="346">
        <f>+PERBULAN!E65</f>
        <v>11</v>
      </c>
      <c r="G65" s="347">
        <f>+PERBULAN!S65</f>
        <v>43546189.159999996</v>
      </c>
      <c r="H65" s="347">
        <f>+BPJS!Q64</f>
        <v>1727924</v>
      </c>
      <c r="I65" s="347">
        <f>+BPJS!Q186</f>
        <v>360318.84</v>
      </c>
      <c r="J65" s="348">
        <f>+PERBULAN!T65</f>
        <v>3994600</v>
      </c>
      <c r="K65" s="349"/>
      <c r="L65" s="347">
        <f>+PERBULAN!U65</f>
        <v>200000</v>
      </c>
      <c r="M65" s="349">
        <f t="shared" si="16"/>
        <v>49829032</v>
      </c>
      <c r="N65" s="347">
        <f>+'ASTEK 2% -DIISI SMPAI DESEMBER'!O64</f>
        <v>936432</v>
      </c>
      <c r="O65" s="349">
        <f t="shared" si="17"/>
        <v>2491451.6</v>
      </c>
      <c r="P65" s="347">
        <f>+'ASTEK 2% -DIISI SMPAI DESEMBER'!O183</f>
        <v>468216</v>
      </c>
      <c r="Q65" s="349">
        <f t="shared" si="18"/>
        <v>3896099.6</v>
      </c>
      <c r="R65" s="349">
        <f t="shared" si="19"/>
        <v>45932932.399999999</v>
      </c>
      <c r="S65" s="350">
        <f t="shared" si="20"/>
        <v>54000000</v>
      </c>
      <c r="T65" s="351">
        <f t="shared" si="21"/>
        <v>0</v>
      </c>
      <c r="U65" s="341"/>
      <c r="W65" s="342">
        <f t="shared" si="8"/>
        <v>2088242.84</v>
      </c>
    </row>
    <row r="66" spans="1:23" s="317" customFormat="1" ht="12.75" customHeight="1">
      <c r="A66" s="343">
        <v>61</v>
      </c>
      <c r="B66" s="352"/>
      <c r="C66" s="345" t="str">
        <f>+PERBULAN!B66</f>
        <v>YUNIAR ANDRIANTI</v>
      </c>
      <c r="D66" s="345" t="str">
        <f>+PERBULAN!C66</f>
        <v>P</v>
      </c>
      <c r="E66" s="345" t="str">
        <f>+PERBULAN!D66</f>
        <v>TK/0</v>
      </c>
      <c r="F66" s="346">
        <f>+PERBULAN!E66</f>
        <v>11</v>
      </c>
      <c r="G66" s="347">
        <f>+PERBULAN!S66</f>
        <v>40753817.359999992</v>
      </c>
      <c r="H66" s="347">
        <f>+BPJS!Q65</f>
        <v>1726664</v>
      </c>
      <c r="I66" s="347">
        <f>+BPJS!Q187</f>
        <v>360230.64</v>
      </c>
      <c r="J66" s="348">
        <f>+PERBULAN!T66</f>
        <v>3991100</v>
      </c>
      <c r="K66" s="349"/>
      <c r="L66" s="347">
        <f>+PERBULAN!U66</f>
        <v>200000</v>
      </c>
      <c r="M66" s="349">
        <f t="shared" si="16"/>
        <v>47031811.999999993</v>
      </c>
      <c r="N66" s="347">
        <f>+'ASTEK 2% -DIISI SMPAI DESEMBER'!O65</f>
        <v>936222</v>
      </c>
      <c r="O66" s="349">
        <f t="shared" si="17"/>
        <v>2351590.5999999996</v>
      </c>
      <c r="P66" s="347">
        <f>+'ASTEK 2% -DIISI SMPAI DESEMBER'!O184</f>
        <v>468111</v>
      </c>
      <c r="Q66" s="349">
        <f t="shared" si="18"/>
        <v>3755923.5999999996</v>
      </c>
      <c r="R66" s="349">
        <f t="shared" si="19"/>
        <v>43275888.399999991</v>
      </c>
      <c r="S66" s="350">
        <f t="shared" si="20"/>
        <v>54000000</v>
      </c>
      <c r="T66" s="351">
        <f t="shared" si="21"/>
        <v>0</v>
      </c>
      <c r="U66" s="341"/>
      <c r="W66" s="342">
        <f t="shared" si="8"/>
        <v>2086894.6400000001</v>
      </c>
    </row>
    <row r="67" spans="1:23" s="317" customFormat="1" ht="12.75" customHeight="1">
      <c r="A67" s="343">
        <v>62</v>
      </c>
      <c r="B67" s="352"/>
      <c r="C67" s="345" t="str">
        <f>+PERBULAN!B67</f>
        <v>LISA JAYANTI</v>
      </c>
      <c r="D67" s="345" t="str">
        <f>+PERBULAN!C67</f>
        <v>P</v>
      </c>
      <c r="E67" s="345" t="str">
        <f>+PERBULAN!D67</f>
        <v>TK/0</v>
      </c>
      <c r="F67" s="346">
        <f>+PERBULAN!E67</f>
        <v>11</v>
      </c>
      <c r="G67" s="347">
        <f>+PERBULAN!S67</f>
        <v>41423636.760000005</v>
      </c>
      <c r="H67" s="347">
        <f>+BPJS!Q66</f>
        <v>1721904</v>
      </c>
      <c r="I67" s="347">
        <f>+BPJS!Q188</f>
        <v>359760.24</v>
      </c>
      <c r="J67" s="348">
        <f>+PERBULAN!T67</f>
        <v>3980600</v>
      </c>
      <c r="K67" s="349"/>
      <c r="L67" s="347">
        <f>+PERBULAN!U67</f>
        <v>200000</v>
      </c>
      <c r="M67" s="349">
        <f t="shared" si="16"/>
        <v>47685901.000000007</v>
      </c>
      <c r="N67" s="347">
        <f>+'ASTEK 2% -DIISI SMPAI DESEMBER'!O66</f>
        <v>934892</v>
      </c>
      <c r="O67" s="349">
        <f t="shared" si="17"/>
        <v>2384295.0500000003</v>
      </c>
      <c r="P67" s="347">
        <f>+'ASTEK 2% -DIISI SMPAI DESEMBER'!O185</f>
        <v>467446</v>
      </c>
      <c r="Q67" s="349">
        <f t="shared" si="18"/>
        <v>3786633.0500000003</v>
      </c>
      <c r="R67" s="349">
        <f t="shared" si="19"/>
        <v>43899267.95000001</v>
      </c>
      <c r="S67" s="350">
        <f t="shared" si="20"/>
        <v>54000000</v>
      </c>
      <c r="T67" s="351">
        <f t="shared" si="21"/>
        <v>0</v>
      </c>
      <c r="U67" s="341"/>
      <c r="W67" s="342">
        <f t="shared" si="8"/>
        <v>2081664.24</v>
      </c>
    </row>
    <row r="68" spans="1:23" s="317" customFormat="1" ht="12.75" customHeight="1">
      <c r="A68" s="343">
        <v>63</v>
      </c>
      <c r="B68" s="352"/>
      <c r="C68" s="345" t="str">
        <f>+PERBULAN!B68</f>
        <v>RUSDIN</v>
      </c>
      <c r="D68" s="345" t="str">
        <f>+PERBULAN!C68</f>
        <v>L</v>
      </c>
      <c r="E68" s="345" t="str">
        <f>+PERBULAN!D68</f>
        <v>K/2</v>
      </c>
      <c r="F68" s="346">
        <f>+PERBULAN!E68</f>
        <v>11</v>
      </c>
      <c r="G68" s="347">
        <f>+PERBULAN!S68</f>
        <v>44890179.159999996</v>
      </c>
      <c r="H68" s="347">
        <f>+BPJS!Q67</f>
        <v>1727924</v>
      </c>
      <c r="I68" s="347">
        <f>+BPJS!Q189</f>
        <v>360318.84</v>
      </c>
      <c r="J68" s="348">
        <f>+PERBULAN!T68</f>
        <v>4093600</v>
      </c>
      <c r="K68" s="349"/>
      <c r="L68" s="347">
        <f>+PERBULAN!U68</f>
        <v>600000</v>
      </c>
      <c r="M68" s="349">
        <f t="shared" si="16"/>
        <v>51672022</v>
      </c>
      <c r="N68" s="347">
        <f>+'ASTEK 2% -DIISI SMPAI DESEMBER'!O67</f>
        <v>936502</v>
      </c>
      <c r="O68" s="349">
        <f t="shared" si="17"/>
        <v>2583601.1</v>
      </c>
      <c r="P68" s="347">
        <f>+'ASTEK 2% -DIISI SMPAI DESEMBER'!O186</f>
        <v>468251</v>
      </c>
      <c r="Q68" s="349">
        <f t="shared" si="18"/>
        <v>3988354.1</v>
      </c>
      <c r="R68" s="349">
        <f t="shared" si="19"/>
        <v>47683667.899999999</v>
      </c>
      <c r="S68" s="350">
        <f t="shared" si="20"/>
        <v>67500000</v>
      </c>
      <c r="T68" s="351">
        <f t="shared" si="21"/>
        <v>0</v>
      </c>
      <c r="U68" s="341"/>
      <c r="W68" s="342">
        <f t="shared" si="8"/>
        <v>2088242.84</v>
      </c>
    </row>
    <row r="69" spans="1:23" s="317" customFormat="1" ht="12.75" customHeight="1">
      <c r="A69" s="343">
        <v>64</v>
      </c>
      <c r="B69" s="352"/>
      <c r="C69" s="345" t="str">
        <f>+PERBULAN!B69</f>
        <v>FREDI S</v>
      </c>
      <c r="D69" s="345" t="str">
        <f>+PERBULAN!C69</f>
        <v>L</v>
      </c>
      <c r="E69" s="345" t="str">
        <f>+PERBULAN!D69</f>
        <v>TK/0</v>
      </c>
      <c r="F69" s="346">
        <f>+PERBULAN!E69</f>
        <v>8</v>
      </c>
      <c r="G69" s="347">
        <f>+PERBULAN!S69</f>
        <v>30698619.479999997</v>
      </c>
      <c r="H69" s="347">
        <f>+BPJS!Q68</f>
        <v>1241812</v>
      </c>
      <c r="I69" s="347">
        <f>+BPJS!Q190</f>
        <v>260591.52</v>
      </c>
      <c r="J69" s="348">
        <f>+PERBULAN!T69</f>
        <v>3946600</v>
      </c>
      <c r="K69" s="349"/>
      <c r="L69" s="347">
        <f>+PERBULAN!U69</f>
        <v>200000</v>
      </c>
      <c r="M69" s="349">
        <f t="shared" si="16"/>
        <v>36347623</v>
      </c>
      <c r="N69" s="347">
        <f>+'ASTEK 2% -DIISI SMPAI DESEMBER'!O68</f>
        <v>620444</v>
      </c>
      <c r="O69" s="349">
        <f t="shared" si="17"/>
        <v>1817381.1500000001</v>
      </c>
      <c r="P69" s="347">
        <f>+'ASTEK 2% -DIISI SMPAI DESEMBER'!O187</f>
        <v>310222</v>
      </c>
      <c r="Q69" s="349">
        <f t="shared" si="18"/>
        <v>2748047.1500000004</v>
      </c>
      <c r="R69" s="349">
        <f t="shared" si="19"/>
        <v>33599575.850000001</v>
      </c>
      <c r="S69" s="350">
        <f t="shared" si="20"/>
        <v>54000000</v>
      </c>
      <c r="T69" s="351">
        <f t="shared" si="21"/>
        <v>0</v>
      </c>
      <c r="U69" s="341"/>
      <c r="W69" s="342">
        <f t="shared" ref="W69:W117" si="22">I69+H69</f>
        <v>1502403.52</v>
      </c>
    </row>
    <row r="70" spans="1:23" s="317" customFormat="1" ht="12.75" customHeight="1">
      <c r="A70" s="343">
        <v>65</v>
      </c>
      <c r="B70" s="352"/>
      <c r="C70" s="345" t="str">
        <f>+PERBULAN!B70</f>
        <v>ARIPDAN</v>
      </c>
      <c r="D70" s="345" t="str">
        <f>+PERBULAN!C70</f>
        <v>L</v>
      </c>
      <c r="E70" s="345" t="str">
        <f>+PERBULAN!D70</f>
        <v>K/2</v>
      </c>
      <c r="F70" s="346">
        <f>+PERBULAN!E70</f>
        <v>11</v>
      </c>
      <c r="G70" s="347">
        <f>+PERBULAN!S70</f>
        <v>57335883.159999996</v>
      </c>
      <c r="H70" s="347">
        <f>+BPJS!Q69</f>
        <v>1727224</v>
      </c>
      <c r="I70" s="347">
        <f>+BPJS!Q191</f>
        <v>360318.84</v>
      </c>
      <c r="J70" s="348">
        <f>+PERBULAN!T70</f>
        <v>4090100</v>
      </c>
      <c r="K70" s="349"/>
      <c r="L70" s="347">
        <f>+PERBULAN!U70</f>
        <v>200000</v>
      </c>
      <c r="M70" s="349">
        <f t="shared" si="16"/>
        <v>63713526</v>
      </c>
      <c r="N70" s="347">
        <f>+'ASTEK 2% -DIISI SMPAI DESEMBER'!O69</f>
        <v>936432</v>
      </c>
      <c r="O70" s="349">
        <f t="shared" si="17"/>
        <v>3185676.3000000003</v>
      </c>
      <c r="P70" s="347">
        <f>+'ASTEK 2% -DIISI SMPAI DESEMBER'!O188</f>
        <v>468216</v>
      </c>
      <c r="Q70" s="349">
        <f t="shared" si="18"/>
        <v>4590324.3000000007</v>
      </c>
      <c r="R70" s="349">
        <f t="shared" si="19"/>
        <v>59123201.700000003</v>
      </c>
      <c r="S70" s="350">
        <f t="shared" si="20"/>
        <v>67500000</v>
      </c>
      <c r="T70" s="351">
        <f t="shared" si="21"/>
        <v>0</v>
      </c>
      <c r="U70" s="341"/>
      <c r="W70" s="342">
        <f t="shared" si="22"/>
        <v>2087542.84</v>
      </c>
    </row>
    <row r="71" spans="1:23" s="317" customFormat="1" ht="12.75" customHeight="1">
      <c r="A71" s="343">
        <v>66</v>
      </c>
      <c r="B71" s="352"/>
      <c r="C71" s="345" t="str">
        <f>+PERBULAN!B71</f>
        <v>DEDI PURWANTO</v>
      </c>
      <c r="D71" s="345" t="str">
        <f>+PERBULAN!C71</f>
        <v>L</v>
      </c>
      <c r="E71" s="345" t="str">
        <f>+PERBULAN!D71</f>
        <v>K/1</v>
      </c>
      <c r="F71" s="346">
        <f>+PERBULAN!E71</f>
        <v>11</v>
      </c>
      <c r="G71" s="347">
        <f>+PERBULAN!S71</f>
        <v>57637558.159999996</v>
      </c>
      <c r="H71" s="347">
        <f>+BPJS!Q70</f>
        <v>1727924</v>
      </c>
      <c r="I71" s="347">
        <f>+BPJS!Q192</f>
        <v>360318.84</v>
      </c>
      <c r="J71" s="348">
        <f>+PERBULAN!T71</f>
        <v>4053100</v>
      </c>
      <c r="K71" s="349"/>
      <c r="L71" s="347">
        <f>+PERBULAN!U71</f>
        <v>600000</v>
      </c>
      <c r="M71" s="349">
        <f t="shared" si="16"/>
        <v>64378901</v>
      </c>
      <c r="N71" s="347">
        <f>+'ASTEK 2% -DIISI SMPAI DESEMBER'!O70</f>
        <v>936432</v>
      </c>
      <c r="O71" s="349">
        <f t="shared" si="17"/>
        <v>3218945.0500000003</v>
      </c>
      <c r="P71" s="347">
        <f>+'ASTEK 2% -DIISI SMPAI DESEMBER'!O189</f>
        <v>468216</v>
      </c>
      <c r="Q71" s="349">
        <f t="shared" si="18"/>
        <v>4623593.0500000007</v>
      </c>
      <c r="R71" s="349">
        <f t="shared" si="19"/>
        <v>59755307.950000003</v>
      </c>
      <c r="S71" s="350">
        <f t="shared" si="20"/>
        <v>63000000</v>
      </c>
      <c r="T71" s="351">
        <f t="shared" si="21"/>
        <v>0</v>
      </c>
      <c r="U71" s="341"/>
      <c r="W71" s="342">
        <f t="shared" si="22"/>
        <v>2088242.84</v>
      </c>
    </row>
    <row r="72" spans="1:23" s="317" customFormat="1" ht="12.75" customHeight="1">
      <c r="A72" s="343">
        <v>67</v>
      </c>
      <c r="B72" s="352"/>
      <c r="C72" s="345" t="str">
        <f>+PERBULAN!B72</f>
        <v>HARSONO</v>
      </c>
      <c r="D72" s="345" t="str">
        <f>+PERBULAN!C72</f>
        <v>L</v>
      </c>
      <c r="E72" s="345" t="str">
        <f>+PERBULAN!D72</f>
        <v>K/2</v>
      </c>
      <c r="F72" s="346">
        <f>+PERBULAN!E72</f>
        <v>11</v>
      </c>
      <c r="G72" s="347">
        <f>+PERBULAN!S72</f>
        <v>53707228.159999996</v>
      </c>
      <c r="H72" s="347">
        <f>+BPJS!Q71</f>
        <v>1727924</v>
      </c>
      <c r="I72" s="347">
        <f>+BPJS!Q193</f>
        <v>360318.84</v>
      </c>
      <c r="J72" s="348">
        <f>+PERBULAN!T72</f>
        <v>4093600</v>
      </c>
      <c r="K72" s="349"/>
      <c r="L72" s="347">
        <f>+PERBULAN!U72</f>
        <v>200000</v>
      </c>
      <c r="M72" s="349">
        <f t="shared" si="16"/>
        <v>60089071</v>
      </c>
      <c r="N72" s="347">
        <f>+'ASTEK 2% -DIISI SMPAI DESEMBER'!O71</f>
        <v>936432</v>
      </c>
      <c r="O72" s="349">
        <f t="shared" si="17"/>
        <v>3004453.5500000003</v>
      </c>
      <c r="P72" s="347">
        <f>+'ASTEK 2% -DIISI SMPAI DESEMBER'!O190</f>
        <v>468216</v>
      </c>
      <c r="Q72" s="349">
        <f t="shared" si="18"/>
        <v>4409101.5500000007</v>
      </c>
      <c r="R72" s="349">
        <f t="shared" si="19"/>
        <v>55679969.450000003</v>
      </c>
      <c r="S72" s="350">
        <f t="shared" si="20"/>
        <v>67500000</v>
      </c>
      <c r="T72" s="351">
        <f t="shared" si="21"/>
        <v>0</v>
      </c>
      <c r="U72" s="341"/>
      <c r="W72" s="342">
        <f t="shared" si="22"/>
        <v>2088242.84</v>
      </c>
    </row>
    <row r="73" spans="1:23" s="317" customFormat="1" ht="12.75" customHeight="1">
      <c r="A73" s="343">
        <v>68</v>
      </c>
      <c r="B73" s="352"/>
      <c r="C73" s="345" t="str">
        <f>+PERBULAN!B73</f>
        <v>MIKO AGNESTA</v>
      </c>
      <c r="D73" s="345" t="str">
        <f>+PERBULAN!C73</f>
        <v>L</v>
      </c>
      <c r="E73" s="345" t="str">
        <f>+PERBULAN!D73</f>
        <v>TK/0</v>
      </c>
      <c r="F73" s="346">
        <f>+PERBULAN!E73</f>
        <v>11</v>
      </c>
      <c r="G73" s="347">
        <f>+PERBULAN!S73</f>
        <v>54411058.160000004</v>
      </c>
      <c r="H73" s="347">
        <f>+BPJS!Q72</f>
        <v>1706004</v>
      </c>
      <c r="I73" s="347">
        <f>+BPJS!Q194</f>
        <v>358260.83999999997</v>
      </c>
      <c r="J73" s="348">
        <f>+PERBULAN!T73</f>
        <v>1972050</v>
      </c>
      <c r="K73" s="349"/>
      <c r="L73" s="347">
        <f>+PERBULAN!U73</f>
        <v>150000</v>
      </c>
      <c r="M73" s="349">
        <f t="shared" si="16"/>
        <v>58597373.000000007</v>
      </c>
      <c r="N73" s="347">
        <f>+'ASTEK 2% -DIISI SMPAI DESEMBER'!O72</f>
        <v>930572</v>
      </c>
      <c r="O73" s="349">
        <f t="shared" si="17"/>
        <v>2929868.6500000004</v>
      </c>
      <c r="P73" s="347">
        <f>+'ASTEK 2% -DIISI SMPAI DESEMBER'!O191</f>
        <v>465286</v>
      </c>
      <c r="Q73" s="349">
        <f t="shared" si="18"/>
        <v>4325726.6500000004</v>
      </c>
      <c r="R73" s="349">
        <f t="shared" si="19"/>
        <v>54271646.350000009</v>
      </c>
      <c r="S73" s="350">
        <f t="shared" si="20"/>
        <v>54000000</v>
      </c>
      <c r="T73" s="351">
        <f t="shared" si="21"/>
        <v>271646.35000000894</v>
      </c>
      <c r="U73" s="341"/>
      <c r="W73" s="342">
        <f t="shared" si="22"/>
        <v>2064264.8399999999</v>
      </c>
    </row>
    <row r="74" spans="1:23" s="317" customFormat="1" ht="12.75" customHeight="1">
      <c r="A74" s="343">
        <v>69</v>
      </c>
      <c r="B74" s="352"/>
      <c r="C74" s="345" t="str">
        <f>+PERBULAN!B74</f>
        <v>HERI GUNAWAN</v>
      </c>
      <c r="D74" s="345" t="str">
        <f>+PERBULAN!C74</f>
        <v>L</v>
      </c>
      <c r="E74" s="345" t="str">
        <f>+PERBULAN!D74</f>
        <v>K/2</v>
      </c>
      <c r="F74" s="346">
        <f>+PERBULAN!E74</f>
        <v>11</v>
      </c>
      <c r="G74" s="347">
        <f>+PERBULAN!S74</f>
        <v>42182256.160000004</v>
      </c>
      <c r="H74" s="347">
        <f>+BPJS!Q73</f>
        <v>1716024</v>
      </c>
      <c r="I74" s="347">
        <f>+BPJS!Q195</f>
        <v>359205.83999999997</v>
      </c>
      <c r="J74" s="348">
        <f>+PERBULAN!T74</f>
        <v>4067100</v>
      </c>
      <c r="K74" s="349"/>
      <c r="L74" s="347">
        <f>+PERBULAN!U74</f>
        <v>200000</v>
      </c>
      <c r="M74" s="349">
        <f t="shared" si="16"/>
        <v>48524586.000000007</v>
      </c>
      <c r="N74" s="347">
        <f>+'ASTEK 2% -DIISI SMPAI DESEMBER'!O73</f>
        <v>933252</v>
      </c>
      <c r="O74" s="349">
        <f t="shared" si="17"/>
        <v>2426229.3000000003</v>
      </c>
      <c r="P74" s="347">
        <f>+'ASTEK 2% -DIISI SMPAI DESEMBER'!O192</f>
        <v>466626</v>
      </c>
      <c r="Q74" s="349">
        <f t="shared" si="18"/>
        <v>3826107.3000000003</v>
      </c>
      <c r="R74" s="349">
        <f t="shared" si="19"/>
        <v>44698478.70000001</v>
      </c>
      <c r="S74" s="350">
        <f t="shared" si="20"/>
        <v>67500000</v>
      </c>
      <c r="T74" s="351">
        <f t="shared" si="21"/>
        <v>0</v>
      </c>
      <c r="U74" s="341"/>
      <c r="W74" s="342">
        <f t="shared" si="22"/>
        <v>2075229.8399999999</v>
      </c>
    </row>
    <row r="75" spans="1:23" s="317" customFormat="1" ht="12.75" customHeight="1">
      <c r="A75" s="343">
        <v>70</v>
      </c>
      <c r="B75" s="352"/>
      <c r="C75" s="345" t="str">
        <f>+PERBULAN!B75</f>
        <v>LEPI ERWANSYAH</v>
      </c>
      <c r="D75" s="345" t="str">
        <f>+PERBULAN!C75</f>
        <v>L</v>
      </c>
      <c r="E75" s="345" t="str">
        <f>+PERBULAN!D75</f>
        <v>K/2</v>
      </c>
      <c r="F75" s="346">
        <f>+PERBULAN!E75</f>
        <v>11</v>
      </c>
      <c r="G75" s="347">
        <f>+PERBULAN!S75</f>
        <v>44421152.960000001</v>
      </c>
      <c r="H75" s="347">
        <f>+BPJS!Q74</f>
        <v>1716384</v>
      </c>
      <c r="I75" s="347">
        <f>+BPJS!Q196</f>
        <v>359231.04</v>
      </c>
      <c r="J75" s="348">
        <f>+PERBULAN!T75</f>
        <v>4067100</v>
      </c>
      <c r="K75" s="349"/>
      <c r="L75" s="347">
        <f>+PERBULAN!U75</f>
        <v>200000</v>
      </c>
      <c r="M75" s="349">
        <f t="shared" si="16"/>
        <v>50763868</v>
      </c>
      <c r="N75" s="347">
        <f>+'ASTEK 2% -DIISI SMPAI DESEMBER'!O74</f>
        <v>933372</v>
      </c>
      <c r="O75" s="349">
        <f t="shared" si="17"/>
        <v>2538193.4000000004</v>
      </c>
      <c r="P75" s="347">
        <f>+'ASTEK 2% -DIISI SMPAI DESEMBER'!O193</f>
        <v>466686</v>
      </c>
      <c r="Q75" s="349">
        <f t="shared" si="18"/>
        <v>3938251.4000000004</v>
      </c>
      <c r="R75" s="349">
        <f t="shared" si="19"/>
        <v>46825616.600000001</v>
      </c>
      <c r="S75" s="350">
        <f t="shared" si="20"/>
        <v>67500000</v>
      </c>
      <c r="T75" s="351">
        <f t="shared" si="21"/>
        <v>0</v>
      </c>
      <c r="U75" s="341"/>
      <c r="W75" s="342">
        <f t="shared" si="22"/>
        <v>2075615.04</v>
      </c>
    </row>
    <row r="76" spans="1:23" s="317" customFormat="1" ht="12.75" customHeight="1">
      <c r="A76" s="343">
        <v>71</v>
      </c>
      <c r="B76" s="352"/>
      <c r="C76" s="345" t="str">
        <f>+PERBULAN!B76</f>
        <v>NOVA RIZAL</v>
      </c>
      <c r="D76" s="345" t="str">
        <f>+PERBULAN!C76</f>
        <v>L</v>
      </c>
      <c r="E76" s="345" t="str">
        <f>+PERBULAN!D76</f>
        <v>K/2</v>
      </c>
      <c r="F76" s="346">
        <f>+PERBULAN!E76</f>
        <v>7</v>
      </c>
      <c r="G76" s="347">
        <f>+PERBULAN!S76</f>
        <v>23653497.32</v>
      </c>
      <c r="H76" s="347">
        <f>+BPJS!Q75</f>
        <v>1092168</v>
      </c>
      <c r="I76" s="347">
        <f>+BPJS!Q197</f>
        <v>228145.68</v>
      </c>
      <c r="J76" s="348">
        <f>+PERBULAN!T76</f>
        <v>4067100</v>
      </c>
      <c r="K76" s="349"/>
      <c r="L76" s="347">
        <f>+PERBULAN!U76</f>
        <v>200000</v>
      </c>
      <c r="M76" s="349">
        <f t="shared" si="16"/>
        <v>29240911</v>
      </c>
      <c r="N76" s="347">
        <f>+'ASTEK 2% -DIISI SMPAI DESEMBER'!O75</f>
        <v>543192</v>
      </c>
      <c r="O76" s="349">
        <f t="shared" si="17"/>
        <v>1462045.55</v>
      </c>
      <c r="P76" s="347">
        <f>+'ASTEK 2% -DIISI SMPAI DESEMBER'!O194</f>
        <v>271596</v>
      </c>
      <c r="Q76" s="349">
        <f t="shared" si="18"/>
        <v>2276833.5499999998</v>
      </c>
      <c r="R76" s="349">
        <f t="shared" si="19"/>
        <v>26964077.449999999</v>
      </c>
      <c r="S76" s="350">
        <f t="shared" si="20"/>
        <v>67500000</v>
      </c>
      <c r="T76" s="351">
        <f t="shared" si="21"/>
        <v>0</v>
      </c>
      <c r="U76" s="341"/>
      <c r="W76" s="342">
        <f t="shared" si="22"/>
        <v>1320313.68</v>
      </c>
    </row>
    <row r="77" spans="1:23" s="317" customFormat="1" ht="12.75" customHeight="1">
      <c r="A77" s="343">
        <v>72</v>
      </c>
      <c r="B77" s="352"/>
      <c r="C77" s="345" t="str">
        <f>+PERBULAN!B77</f>
        <v>MASKUR</v>
      </c>
      <c r="D77" s="345" t="str">
        <f>+PERBULAN!C77</f>
        <v>L</v>
      </c>
      <c r="E77" s="345" t="str">
        <f>+PERBULAN!D77</f>
        <v>K/1</v>
      </c>
      <c r="F77" s="346">
        <f>+PERBULAN!E77</f>
        <v>11</v>
      </c>
      <c r="G77" s="347">
        <f>+PERBULAN!S77</f>
        <v>46274682.160000004</v>
      </c>
      <c r="H77" s="347">
        <f>+BPJS!Q76</f>
        <v>1716024</v>
      </c>
      <c r="I77" s="347">
        <f>+BPJS!Q198</f>
        <v>359205.83999999997</v>
      </c>
      <c r="J77" s="348">
        <f>+PERBULAN!T77</f>
        <v>4040100</v>
      </c>
      <c r="K77" s="349"/>
      <c r="L77" s="347">
        <f>+PERBULAN!U77</f>
        <v>200000</v>
      </c>
      <c r="M77" s="349">
        <f t="shared" si="16"/>
        <v>52590012.000000007</v>
      </c>
      <c r="N77" s="347">
        <f>+'ASTEK 2% -DIISI SMPAI DESEMBER'!O76</f>
        <v>933252</v>
      </c>
      <c r="O77" s="349">
        <f t="shared" si="17"/>
        <v>2629500.6000000006</v>
      </c>
      <c r="P77" s="347">
        <f>+'ASTEK 2% -DIISI SMPAI DESEMBER'!O195</f>
        <v>466626</v>
      </c>
      <c r="Q77" s="349">
        <f t="shared" si="18"/>
        <v>4029378.6000000006</v>
      </c>
      <c r="R77" s="349">
        <f t="shared" si="19"/>
        <v>48560633.400000006</v>
      </c>
      <c r="S77" s="350">
        <f t="shared" si="20"/>
        <v>63000000</v>
      </c>
      <c r="T77" s="351">
        <f t="shared" si="21"/>
        <v>0</v>
      </c>
      <c r="U77" s="341"/>
      <c r="W77" s="342">
        <f t="shared" si="22"/>
        <v>2075229.8399999999</v>
      </c>
    </row>
    <row r="78" spans="1:23" s="317" customFormat="1" ht="12.75" customHeight="1">
      <c r="A78" s="343">
        <v>73</v>
      </c>
      <c r="B78" s="352"/>
      <c r="C78" s="345" t="str">
        <f>+PERBULAN!B78</f>
        <v>SUTRISNO</v>
      </c>
      <c r="D78" s="345" t="str">
        <f>+PERBULAN!C78</f>
        <v>L</v>
      </c>
      <c r="E78" s="345" t="str">
        <f>+PERBULAN!D78</f>
        <v>K/0</v>
      </c>
      <c r="F78" s="346">
        <f>+PERBULAN!E78</f>
        <v>11</v>
      </c>
      <c r="G78" s="347">
        <f>+PERBULAN!S78</f>
        <v>42376120.160000004</v>
      </c>
      <c r="H78" s="347">
        <f>+BPJS!Q77</f>
        <v>1728624</v>
      </c>
      <c r="I78" s="347">
        <f>+BPJS!Q199</f>
        <v>360465.83999999997</v>
      </c>
      <c r="J78" s="348">
        <f>+PERBULAN!T78</f>
        <v>4024600</v>
      </c>
      <c r="K78" s="349"/>
      <c r="L78" s="347">
        <f>+PERBULAN!U78</f>
        <v>200000</v>
      </c>
      <c r="M78" s="349">
        <f t="shared" si="16"/>
        <v>48689810.000000007</v>
      </c>
      <c r="N78" s="347">
        <f>+'ASTEK 2% -DIISI SMPAI DESEMBER'!O77</f>
        <v>936852</v>
      </c>
      <c r="O78" s="349">
        <f t="shared" si="17"/>
        <v>2434490.5000000005</v>
      </c>
      <c r="P78" s="347">
        <f>+'ASTEK 2% -DIISI SMPAI DESEMBER'!O196</f>
        <v>468426</v>
      </c>
      <c r="Q78" s="349">
        <f t="shared" si="18"/>
        <v>3839768.5000000005</v>
      </c>
      <c r="R78" s="349">
        <f t="shared" si="19"/>
        <v>44850041.500000007</v>
      </c>
      <c r="S78" s="350">
        <f t="shared" si="20"/>
        <v>58500000</v>
      </c>
      <c r="T78" s="351">
        <f t="shared" si="21"/>
        <v>0</v>
      </c>
      <c r="U78" s="341"/>
      <c r="W78" s="342">
        <f t="shared" si="22"/>
        <v>2089089.8399999999</v>
      </c>
    </row>
    <row r="79" spans="1:23" s="317" customFormat="1" ht="12.75" customHeight="1">
      <c r="A79" s="343">
        <v>74</v>
      </c>
      <c r="B79" s="352"/>
      <c r="C79" s="345" t="str">
        <f>+PERBULAN!B79</f>
        <v>SUHARDI</v>
      </c>
      <c r="D79" s="345" t="str">
        <f>+PERBULAN!C79</f>
        <v>L</v>
      </c>
      <c r="E79" s="345" t="str">
        <f>+PERBULAN!D79</f>
        <v>K/1</v>
      </c>
      <c r="F79" s="346">
        <f>+PERBULAN!E79</f>
        <v>11</v>
      </c>
      <c r="G79" s="347">
        <f>+PERBULAN!S79</f>
        <v>39064272.159999996</v>
      </c>
      <c r="H79" s="347">
        <f>+BPJS!Q78</f>
        <v>1720104</v>
      </c>
      <c r="I79" s="347">
        <f>+BPJS!Q200</f>
        <v>359583.84</v>
      </c>
      <c r="J79" s="348">
        <f>+PERBULAN!T79</f>
        <v>4049100</v>
      </c>
      <c r="K79" s="349"/>
      <c r="L79" s="347">
        <f>+PERBULAN!U79</f>
        <v>200000</v>
      </c>
      <c r="M79" s="349">
        <f t="shared" si="16"/>
        <v>45393060</v>
      </c>
      <c r="N79" s="347">
        <f>+'ASTEK 2% -DIISI SMPAI DESEMBER'!O78</f>
        <v>856140</v>
      </c>
      <c r="O79" s="349">
        <f t="shared" si="17"/>
        <v>2269653</v>
      </c>
      <c r="P79" s="347">
        <f>+'ASTEK 2% -DIISI SMPAI DESEMBER'!O197</f>
        <v>428070</v>
      </c>
      <c r="Q79" s="349">
        <f t="shared" si="18"/>
        <v>3553863</v>
      </c>
      <c r="R79" s="349">
        <f t="shared" si="19"/>
        <v>41839197</v>
      </c>
      <c r="S79" s="350">
        <f t="shared" si="20"/>
        <v>63000000</v>
      </c>
      <c r="T79" s="351">
        <f t="shared" si="21"/>
        <v>0</v>
      </c>
      <c r="U79" s="341"/>
      <c r="W79" s="342">
        <f t="shared" si="22"/>
        <v>2079687.84</v>
      </c>
    </row>
    <row r="80" spans="1:23" s="317" customFormat="1" ht="12.75" customHeight="1">
      <c r="A80" s="343">
        <v>75</v>
      </c>
      <c r="B80" s="352"/>
      <c r="C80" s="345" t="str">
        <f>+PERBULAN!B80</f>
        <v>RUSDI</v>
      </c>
      <c r="D80" s="345" t="str">
        <f>+PERBULAN!C80</f>
        <v>L</v>
      </c>
      <c r="E80" s="345" t="str">
        <f>+PERBULAN!D80</f>
        <v>K/2</v>
      </c>
      <c r="F80" s="346">
        <f>+PERBULAN!E80</f>
        <v>11</v>
      </c>
      <c r="G80" s="347">
        <f>+PERBULAN!S80</f>
        <v>45323968.159999996</v>
      </c>
      <c r="H80" s="347">
        <f>+BPJS!Q79</f>
        <v>1728624</v>
      </c>
      <c r="I80" s="347">
        <f>+BPJS!Q201</f>
        <v>360465.83999999997</v>
      </c>
      <c r="J80" s="348">
        <f>+PERBULAN!T80</f>
        <v>4093600</v>
      </c>
      <c r="K80" s="349"/>
      <c r="L80" s="347">
        <f>+PERBULAN!U80</f>
        <v>200000</v>
      </c>
      <c r="M80" s="349">
        <f t="shared" si="16"/>
        <v>51706658</v>
      </c>
      <c r="N80" s="347">
        <f>+'ASTEK 2% -DIISI SMPAI DESEMBER'!O79</f>
        <v>936852</v>
      </c>
      <c r="O80" s="349">
        <f t="shared" si="17"/>
        <v>2585332.9000000004</v>
      </c>
      <c r="P80" s="347">
        <f>+'ASTEK 2% -DIISI SMPAI DESEMBER'!O198</f>
        <v>468426</v>
      </c>
      <c r="Q80" s="349">
        <f t="shared" si="18"/>
        <v>3990610.9000000004</v>
      </c>
      <c r="R80" s="349">
        <f t="shared" si="19"/>
        <v>47716047.100000001</v>
      </c>
      <c r="S80" s="350">
        <f t="shared" si="20"/>
        <v>67500000</v>
      </c>
      <c r="T80" s="351">
        <f t="shared" si="21"/>
        <v>0</v>
      </c>
      <c r="U80" s="341"/>
      <c r="W80" s="342">
        <f t="shared" si="22"/>
        <v>2089089.8399999999</v>
      </c>
    </row>
    <row r="81" spans="1:23" s="317" customFormat="1" ht="12.75" customHeight="1">
      <c r="A81" s="343">
        <v>76</v>
      </c>
      <c r="B81" s="352"/>
      <c r="C81" s="345" t="str">
        <f>+PERBULAN!B81</f>
        <v>MASJONI</v>
      </c>
      <c r="D81" s="345" t="str">
        <f>+PERBULAN!C81</f>
        <v>L</v>
      </c>
      <c r="E81" s="345" t="str">
        <f>+PERBULAN!D81</f>
        <v>K/1</v>
      </c>
      <c r="F81" s="346">
        <f>+PERBULAN!E81</f>
        <v>11</v>
      </c>
      <c r="G81" s="347">
        <f>+PERBULAN!S81</f>
        <v>44224037.159999996</v>
      </c>
      <c r="H81" s="347">
        <f>+BPJS!Q80</f>
        <v>1742344</v>
      </c>
      <c r="I81" s="347">
        <f>+BPJS!Q202</f>
        <v>361788.84</v>
      </c>
      <c r="J81" s="348">
        <f>+PERBULAN!T81</f>
        <v>4101600</v>
      </c>
      <c r="K81" s="349"/>
      <c r="L81" s="347">
        <f>+PERBULAN!U81</f>
        <v>200000</v>
      </c>
      <c r="M81" s="349">
        <f t="shared" si="16"/>
        <v>50629770</v>
      </c>
      <c r="N81" s="347">
        <f>+'ASTEK 2% -DIISI SMPAI DESEMBER'!O80</f>
        <v>940632</v>
      </c>
      <c r="O81" s="349">
        <f t="shared" si="17"/>
        <v>2531488.5</v>
      </c>
      <c r="P81" s="347">
        <f>+'ASTEK 2% -DIISI SMPAI DESEMBER'!O199</f>
        <v>470316</v>
      </c>
      <c r="Q81" s="349">
        <f t="shared" si="18"/>
        <v>3942436.5</v>
      </c>
      <c r="R81" s="349">
        <f t="shared" si="19"/>
        <v>46687333.5</v>
      </c>
      <c r="S81" s="350">
        <f t="shared" si="20"/>
        <v>63000000</v>
      </c>
      <c r="T81" s="351">
        <f t="shared" si="21"/>
        <v>0</v>
      </c>
      <c r="U81" s="341"/>
      <c r="W81" s="342">
        <f t="shared" si="22"/>
        <v>2104132.84</v>
      </c>
    </row>
    <row r="82" spans="1:23" s="317" customFormat="1" ht="12.75" customHeight="1">
      <c r="A82" s="343">
        <v>77</v>
      </c>
      <c r="B82" s="352"/>
      <c r="C82" s="345" t="str">
        <f>+PERBULAN!B82</f>
        <v>ROSMAN</v>
      </c>
      <c r="D82" s="345" t="str">
        <f>+PERBULAN!C82</f>
        <v>L</v>
      </c>
      <c r="E82" s="345" t="str">
        <f>+PERBULAN!D82</f>
        <v>K/2</v>
      </c>
      <c r="F82" s="346">
        <f>+PERBULAN!E82</f>
        <v>11</v>
      </c>
      <c r="G82" s="347">
        <f>+PERBULAN!S82</f>
        <v>44337258.159999996</v>
      </c>
      <c r="H82" s="347">
        <f>+BPJS!Q81</f>
        <v>1727084</v>
      </c>
      <c r="I82" s="347">
        <f>+BPJS!Q203</f>
        <v>360318.84</v>
      </c>
      <c r="J82" s="348">
        <f>+PERBULAN!T82</f>
        <v>4090100</v>
      </c>
      <c r="K82" s="349"/>
      <c r="L82" s="347">
        <f>+PERBULAN!U82</f>
        <v>200000</v>
      </c>
      <c r="M82" s="349">
        <f t="shared" si="16"/>
        <v>50714761</v>
      </c>
      <c r="N82" s="347">
        <f>+'ASTEK 2% -DIISI SMPAI DESEMBER'!O81</f>
        <v>936432</v>
      </c>
      <c r="O82" s="349">
        <f t="shared" si="17"/>
        <v>2535738.0500000003</v>
      </c>
      <c r="P82" s="347">
        <f>+'ASTEK 2% -DIISI SMPAI DESEMBER'!O200</f>
        <v>468216</v>
      </c>
      <c r="Q82" s="349">
        <f t="shared" si="18"/>
        <v>3940386.0500000003</v>
      </c>
      <c r="R82" s="349">
        <f t="shared" si="19"/>
        <v>46774374.950000003</v>
      </c>
      <c r="S82" s="350">
        <f t="shared" si="20"/>
        <v>67500000</v>
      </c>
      <c r="T82" s="351">
        <f t="shared" si="21"/>
        <v>0</v>
      </c>
      <c r="U82" s="341"/>
      <c r="W82" s="342">
        <f t="shared" si="22"/>
        <v>2087402.84</v>
      </c>
    </row>
    <row r="83" spans="1:23" s="317" customFormat="1" ht="12.75" customHeight="1">
      <c r="A83" s="343">
        <v>78</v>
      </c>
      <c r="B83" s="352"/>
      <c r="C83" s="345" t="str">
        <f>+PERBULAN!B83</f>
        <v>SUMARTO EVENDI</v>
      </c>
      <c r="D83" s="345" t="str">
        <f>+PERBULAN!C83</f>
        <v>L</v>
      </c>
      <c r="E83" s="345" t="str">
        <f>+PERBULAN!D83</f>
        <v>K/2</v>
      </c>
      <c r="F83" s="346">
        <f>+PERBULAN!E83</f>
        <v>10</v>
      </c>
      <c r="G83" s="347">
        <f>+PERBULAN!S83</f>
        <v>36047371.399999991</v>
      </c>
      <c r="H83" s="347">
        <f>+BPJS!Q82</f>
        <v>1561080</v>
      </c>
      <c r="I83" s="347">
        <f>+BPJS!Q204</f>
        <v>326541.59999999998</v>
      </c>
      <c r="J83" s="348">
        <f>+PERBULAN!T83</f>
        <v>4067100</v>
      </c>
      <c r="K83" s="349"/>
      <c r="L83" s="347">
        <f>+PERBULAN!U83</f>
        <v>200000</v>
      </c>
      <c r="M83" s="349">
        <f t="shared" si="16"/>
        <v>42202092.999999993</v>
      </c>
      <c r="N83" s="347">
        <f>+'ASTEK 2% -DIISI SMPAI DESEMBER'!O82</f>
        <v>777468</v>
      </c>
      <c r="O83" s="349">
        <f t="shared" si="17"/>
        <v>2110104.65</v>
      </c>
      <c r="P83" s="347">
        <f>+'ASTEK 2% -DIISI SMPAI DESEMBER'!O201</f>
        <v>388734</v>
      </c>
      <c r="Q83" s="349">
        <f t="shared" si="18"/>
        <v>3276306.65</v>
      </c>
      <c r="R83" s="349">
        <f t="shared" si="19"/>
        <v>38925786.349999994</v>
      </c>
      <c r="S83" s="350">
        <f t="shared" si="20"/>
        <v>67500000</v>
      </c>
      <c r="T83" s="351">
        <f t="shared" si="21"/>
        <v>0</v>
      </c>
      <c r="U83" s="341"/>
      <c r="W83" s="342">
        <f t="shared" si="22"/>
        <v>1887621.6</v>
      </c>
    </row>
    <row r="84" spans="1:23" s="317" customFormat="1" ht="12.75" customHeight="1">
      <c r="A84" s="343">
        <v>79</v>
      </c>
      <c r="B84" s="352"/>
      <c r="C84" s="345" t="str">
        <f>+PERBULAN!B84</f>
        <v>HERMAN</v>
      </c>
      <c r="D84" s="345" t="str">
        <f>+PERBULAN!C84</f>
        <v>L</v>
      </c>
      <c r="E84" s="345" t="str">
        <f>+PERBULAN!D84</f>
        <v>K/0</v>
      </c>
      <c r="F84" s="346">
        <f>+PERBULAN!E84</f>
        <v>11</v>
      </c>
      <c r="G84" s="347">
        <f>+PERBULAN!S84</f>
        <v>44816157.359999999</v>
      </c>
      <c r="H84" s="347">
        <f>+BPJS!Q83</f>
        <v>1715424</v>
      </c>
      <c r="I84" s="347">
        <f>+BPJS!Q205</f>
        <v>359180.63999999996</v>
      </c>
      <c r="J84" s="348">
        <f>+PERBULAN!T84</f>
        <v>3995100</v>
      </c>
      <c r="K84" s="349"/>
      <c r="L84" s="347">
        <f>+PERBULAN!U84</f>
        <v>200000</v>
      </c>
      <c r="M84" s="349">
        <f t="shared" si="16"/>
        <v>51085862</v>
      </c>
      <c r="N84" s="347">
        <f>+'ASTEK 2% -DIISI SMPAI DESEMBER'!O83</f>
        <v>933192</v>
      </c>
      <c r="O84" s="349">
        <f t="shared" si="17"/>
        <v>2554293.1</v>
      </c>
      <c r="P84" s="347">
        <f>+'ASTEK 2% -DIISI SMPAI DESEMBER'!O202</f>
        <v>466596</v>
      </c>
      <c r="Q84" s="349">
        <f t="shared" si="18"/>
        <v>3954081.1</v>
      </c>
      <c r="R84" s="349">
        <f t="shared" si="19"/>
        <v>47131780.899999999</v>
      </c>
      <c r="S84" s="350">
        <f t="shared" si="20"/>
        <v>58500000</v>
      </c>
      <c r="T84" s="351">
        <f t="shared" si="21"/>
        <v>0</v>
      </c>
      <c r="U84" s="341"/>
      <c r="W84" s="342">
        <f t="shared" si="22"/>
        <v>2074604.64</v>
      </c>
    </row>
    <row r="85" spans="1:23" s="317" customFormat="1" ht="12.75" customHeight="1">
      <c r="A85" s="343">
        <v>80</v>
      </c>
      <c r="B85" s="352"/>
      <c r="C85" s="345" t="str">
        <f>+PERBULAN!B85</f>
        <v>ANDRES CAHYADI</v>
      </c>
      <c r="D85" s="345" t="str">
        <f>+PERBULAN!C85</f>
        <v>L</v>
      </c>
      <c r="E85" s="345" t="str">
        <f>+PERBULAN!D85</f>
        <v>K/2</v>
      </c>
      <c r="F85" s="346">
        <f>+PERBULAN!E85</f>
        <v>11</v>
      </c>
      <c r="G85" s="347">
        <f>+PERBULAN!S85</f>
        <v>41719014.159999996</v>
      </c>
      <c r="H85" s="347">
        <f>+BPJS!Q84</f>
        <v>1714944</v>
      </c>
      <c r="I85" s="347">
        <f>+BPJS!Q206</f>
        <v>359079.83999999997</v>
      </c>
      <c r="J85" s="348">
        <f>+PERBULAN!T85</f>
        <v>4064100</v>
      </c>
      <c r="K85" s="349"/>
      <c r="L85" s="347">
        <f>+PERBULAN!U85</f>
        <v>200000</v>
      </c>
      <c r="M85" s="349">
        <f t="shared" si="16"/>
        <v>48057138</v>
      </c>
      <c r="N85" s="347">
        <f>+'ASTEK 2% -DIISI SMPAI DESEMBER'!O84</f>
        <v>932952</v>
      </c>
      <c r="O85" s="349">
        <f t="shared" si="17"/>
        <v>2402856.9</v>
      </c>
      <c r="P85" s="347">
        <f>+'ASTEK 2% -DIISI SMPAI DESEMBER'!O203</f>
        <v>466476</v>
      </c>
      <c r="Q85" s="349">
        <f t="shared" si="18"/>
        <v>3802284.9</v>
      </c>
      <c r="R85" s="349">
        <f t="shared" si="19"/>
        <v>44254853.100000001</v>
      </c>
      <c r="S85" s="350">
        <f t="shared" si="20"/>
        <v>67500000</v>
      </c>
      <c r="T85" s="351">
        <f t="shared" si="21"/>
        <v>0</v>
      </c>
      <c r="U85" s="341"/>
      <c r="W85" s="342">
        <f t="shared" si="22"/>
        <v>2074023.8399999999</v>
      </c>
    </row>
    <row r="86" spans="1:23" s="317" customFormat="1" ht="12.75" customHeight="1">
      <c r="A86" s="343">
        <v>81</v>
      </c>
      <c r="B86" s="352"/>
      <c r="C86" s="345" t="str">
        <f>+PERBULAN!B86</f>
        <v>SAMSIR</v>
      </c>
      <c r="D86" s="345" t="str">
        <f>+PERBULAN!C86</f>
        <v>L</v>
      </c>
      <c r="E86" s="345" t="str">
        <f>+PERBULAN!D86</f>
        <v>K/0</v>
      </c>
      <c r="F86" s="346">
        <f>+PERBULAN!E86</f>
        <v>11</v>
      </c>
      <c r="G86" s="347">
        <f>+PERBULAN!S86</f>
        <v>40110401.159999989</v>
      </c>
      <c r="H86" s="347">
        <f>+BPJS!Q85</f>
        <v>1717344</v>
      </c>
      <c r="I86" s="347">
        <f>+BPJS!Q207</f>
        <v>359331.83999999997</v>
      </c>
      <c r="J86" s="348">
        <f>+PERBULAN!T86</f>
        <v>4001100</v>
      </c>
      <c r="K86" s="349"/>
      <c r="L86" s="347">
        <f>+PERBULAN!U86</f>
        <v>200000</v>
      </c>
      <c r="M86" s="349">
        <f t="shared" si="16"/>
        <v>46388176.999999993</v>
      </c>
      <c r="N86" s="347">
        <f>+'ASTEK 2% -DIISI SMPAI DESEMBER'!O85</f>
        <v>855540</v>
      </c>
      <c r="O86" s="349">
        <f t="shared" si="17"/>
        <v>2319408.8499999996</v>
      </c>
      <c r="P86" s="347">
        <f>+'ASTEK 2% -DIISI SMPAI DESEMBER'!O204</f>
        <v>427770</v>
      </c>
      <c r="Q86" s="349">
        <f t="shared" si="18"/>
        <v>3602718.8499999996</v>
      </c>
      <c r="R86" s="349">
        <f t="shared" si="19"/>
        <v>42785458.149999991</v>
      </c>
      <c r="S86" s="350">
        <f t="shared" si="20"/>
        <v>58500000</v>
      </c>
      <c r="T86" s="351">
        <f t="shared" si="21"/>
        <v>0</v>
      </c>
      <c r="U86" s="341"/>
      <c r="W86" s="342">
        <f t="shared" si="22"/>
        <v>2076675.8399999999</v>
      </c>
    </row>
    <row r="87" spans="1:23" s="317" customFormat="1" ht="12.75" customHeight="1">
      <c r="A87" s="343">
        <v>82</v>
      </c>
      <c r="B87" s="352"/>
      <c r="C87" s="345" t="str">
        <f>+PERBULAN!B87</f>
        <v>FEBRIANSYAH</v>
      </c>
      <c r="D87" s="345" t="str">
        <f>+PERBULAN!C87</f>
        <v>L</v>
      </c>
      <c r="E87" s="345" t="str">
        <f>+PERBULAN!D87</f>
        <v>K/1</v>
      </c>
      <c r="F87" s="346">
        <f>+PERBULAN!E87</f>
        <v>5</v>
      </c>
      <c r="G87" s="347">
        <f>+PERBULAN!S87</f>
        <v>17475998.240000002</v>
      </c>
      <c r="H87" s="347">
        <f>+BPJS!Q86</f>
        <v>778920</v>
      </c>
      <c r="I87" s="347">
        <f>+BPJS!Q208</f>
        <v>162817.19999999998</v>
      </c>
      <c r="J87" s="348">
        <f>+PERBULAN!T87</f>
        <v>4034100</v>
      </c>
      <c r="K87" s="349"/>
      <c r="L87" s="347">
        <f>+PERBULAN!U87</f>
        <v>200000</v>
      </c>
      <c r="M87" s="349">
        <f t="shared" si="16"/>
        <v>22651835.440000001</v>
      </c>
      <c r="N87" s="347">
        <f>+'ASTEK 2% -DIISI SMPAI DESEMBER'!O86</f>
        <v>387660</v>
      </c>
      <c r="O87" s="349">
        <f t="shared" si="17"/>
        <v>1132591.7720000001</v>
      </c>
      <c r="P87" s="347">
        <f>+'ASTEK 2% -DIISI SMPAI DESEMBER'!O205</f>
        <v>193830</v>
      </c>
      <c r="Q87" s="349">
        <f t="shared" si="18"/>
        <v>1714081.7720000001</v>
      </c>
      <c r="R87" s="349">
        <f t="shared" si="19"/>
        <v>20937753.668000001</v>
      </c>
      <c r="S87" s="350">
        <f t="shared" si="20"/>
        <v>63000000</v>
      </c>
      <c r="T87" s="351">
        <f t="shared" si="21"/>
        <v>0</v>
      </c>
      <c r="U87" s="341"/>
      <c r="W87" s="342">
        <f t="shared" si="22"/>
        <v>941737.2</v>
      </c>
    </row>
    <row r="88" spans="1:23" s="317" customFormat="1" ht="12.75" customHeight="1">
      <c r="A88" s="343">
        <v>83</v>
      </c>
      <c r="B88" s="352"/>
      <c r="C88" s="345" t="str">
        <f>+PERBULAN!B88</f>
        <v>WIDI JULIANSYAH</v>
      </c>
      <c r="D88" s="345" t="str">
        <f>+PERBULAN!C88</f>
        <v>L</v>
      </c>
      <c r="E88" s="345" t="str">
        <f>+PERBULAN!D88</f>
        <v>TK/0</v>
      </c>
      <c r="F88" s="346">
        <f>+PERBULAN!E88</f>
        <v>11</v>
      </c>
      <c r="G88" s="347">
        <f>+PERBULAN!S88</f>
        <v>40597728.159999996</v>
      </c>
      <c r="H88" s="347">
        <f>+BPJS!Q87</f>
        <v>1707204</v>
      </c>
      <c r="I88" s="347">
        <f>+BPJS!Q209</f>
        <v>358386.83999999997</v>
      </c>
      <c r="J88" s="348">
        <f>+PERBULAN!T88</f>
        <v>3946600</v>
      </c>
      <c r="K88" s="349"/>
      <c r="L88" s="347">
        <f>+PERBULAN!U88</f>
        <v>200000</v>
      </c>
      <c r="M88" s="349">
        <f t="shared" si="16"/>
        <v>46809919</v>
      </c>
      <c r="N88" s="347">
        <f>+'ASTEK 2% -DIISI SMPAI DESEMBER'!O87</f>
        <v>930922</v>
      </c>
      <c r="O88" s="349">
        <f t="shared" si="17"/>
        <v>2340495.9500000002</v>
      </c>
      <c r="P88" s="347">
        <f>+'ASTEK 2% -DIISI SMPAI DESEMBER'!O206</f>
        <v>465461</v>
      </c>
      <c r="Q88" s="349">
        <f t="shared" si="18"/>
        <v>3736878.95</v>
      </c>
      <c r="R88" s="349">
        <f t="shared" si="19"/>
        <v>43073040.049999997</v>
      </c>
      <c r="S88" s="350">
        <f t="shared" si="20"/>
        <v>54000000</v>
      </c>
      <c r="T88" s="351">
        <f t="shared" si="21"/>
        <v>0</v>
      </c>
      <c r="U88" s="341"/>
      <c r="W88" s="342">
        <f t="shared" si="22"/>
        <v>2065590.8399999999</v>
      </c>
    </row>
    <row r="89" spans="1:23" s="317" customFormat="1" ht="12.75" customHeight="1">
      <c r="A89" s="343">
        <v>84</v>
      </c>
      <c r="B89" s="352"/>
      <c r="C89" s="345" t="str">
        <f>+PERBULAN!B89</f>
        <v>ANGGA NURDIANSYAH</v>
      </c>
      <c r="D89" s="345" t="str">
        <f>+PERBULAN!C89</f>
        <v>L</v>
      </c>
      <c r="E89" s="345" t="str">
        <f>+PERBULAN!D89</f>
        <v>K/1</v>
      </c>
      <c r="F89" s="346">
        <f>+PERBULAN!E89</f>
        <v>11</v>
      </c>
      <c r="G89" s="347">
        <f>+PERBULAN!S89</f>
        <v>43464431.159999996</v>
      </c>
      <c r="H89" s="347">
        <f>+BPJS!Q88</f>
        <v>1711304</v>
      </c>
      <c r="I89" s="347">
        <f>+BPJS!Q210</f>
        <v>358743.83999999997</v>
      </c>
      <c r="J89" s="348">
        <f>+PERBULAN!T89</f>
        <v>4028600</v>
      </c>
      <c r="K89" s="349"/>
      <c r="L89" s="347">
        <f>+PERBULAN!U89</f>
        <v>200000</v>
      </c>
      <c r="M89" s="349">
        <f t="shared" si="16"/>
        <v>49763079</v>
      </c>
      <c r="N89" s="347">
        <f>+'ASTEK 2% -DIISI SMPAI DESEMBER'!O88</f>
        <v>854140</v>
      </c>
      <c r="O89" s="349">
        <f t="shared" si="17"/>
        <v>2488153.9500000002</v>
      </c>
      <c r="P89" s="347">
        <f>+'ASTEK 2% -DIISI SMPAI DESEMBER'!O207</f>
        <v>427070</v>
      </c>
      <c r="Q89" s="349">
        <f t="shared" si="18"/>
        <v>3769363.95</v>
      </c>
      <c r="R89" s="349">
        <f t="shared" si="19"/>
        <v>45993715.049999997</v>
      </c>
      <c r="S89" s="350">
        <f t="shared" si="20"/>
        <v>63000000</v>
      </c>
      <c r="T89" s="351">
        <f t="shared" si="21"/>
        <v>0</v>
      </c>
      <c r="U89" s="341"/>
      <c r="W89" s="342">
        <f t="shared" si="22"/>
        <v>2070047.8399999999</v>
      </c>
    </row>
    <row r="90" spans="1:23" s="317" customFormat="1" ht="12.75" customHeight="1">
      <c r="A90" s="343">
        <v>85</v>
      </c>
      <c r="B90" s="352"/>
      <c r="C90" s="345" t="str">
        <f>+PERBULAN!B90</f>
        <v>ISMAIL</v>
      </c>
      <c r="D90" s="345" t="str">
        <f>+PERBULAN!C90</f>
        <v>L</v>
      </c>
      <c r="E90" s="345" t="str">
        <f>+PERBULAN!D90</f>
        <v>TK/0</v>
      </c>
      <c r="F90" s="346">
        <f>+PERBULAN!E90</f>
        <v>11</v>
      </c>
      <c r="G90" s="347">
        <f>+PERBULAN!S90</f>
        <v>46828005.160000004</v>
      </c>
      <c r="H90" s="347">
        <f>+BPJS!Q89</f>
        <v>1707304</v>
      </c>
      <c r="I90" s="347">
        <f>+BPJS!Q211</f>
        <v>358407.83999999997</v>
      </c>
      <c r="J90" s="348">
        <f>+PERBULAN!T90</f>
        <v>3946600</v>
      </c>
      <c r="K90" s="349"/>
      <c r="L90" s="347">
        <f>+PERBULAN!U90</f>
        <v>200000</v>
      </c>
      <c r="M90" s="349">
        <f t="shared" si="16"/>
        <v>53040317.000000007</v>
      </c>
      <c r="N90" s="347">
        <f>+'ASTEK 2% -DIISI SMPAI DESEMBER'!O89</f>
        <v>930972</v>
      </c>
      <c r="O90" s="349">
        <f t="shared" si="17"/>
        <v>2652015.8500000006</v>
      </c>
      <c r="P90" s="347">
        <f>+'ASTEK 2% -DIISI SMPAI DESEMBER'!O208</f>
        <v>465486</v>
      </c>
      <c r="Q90" s="349">
        <f t="shared" si="18"/>
        <v>4048473.8500000006</v>
      </c>
      <c r="R90" s="349">
        <f t="shared" si="19"/>
        <v>48991843.150000006</v>
      </c>
      <c r="S90" s="350">
        <f t="shared" si="20"/>
        <v>54000000</v>
      </c>
      <c r="T90" s="351">
        <f t="shared" si="21"/>
        <v>0</v>
      </c>
      <c r="U90" s="341"/>
      <c r="W90" s="342">
        <f t="shared" si="22"/>
        <v>2065711.8399999999</v>
      </c>
    </row>
    <row r="91" spans="1:23" s="317" customFormat="1" ht="12.75" customHeight="1">
      <c r="A91" s="343">
        <v>86</v>
      </c>
      <c r="B91" s="352"/>
      <c r="C91" s="345" t="str">
        <f>+PERBULAN!B91</f>
        <v>JOPI APRIAN HIDAYAT</v>
      </c>
      <c r="D91" s="345" t="str">
        <f>+PERBULAN!C91</f>
        <v>L</v>
      </c>
      <c r="E91" s="345" t="str">
        <f>+PERBULAN!D91</f>
        <v>TK/0</v>
      </c>
      <c r="F91" s="346">
        <f>+PERBULAN!E91</f>
        <v>11</v>
      </c>
      <c r="G91" s="347">
        <f>+PERBULAN!S91</f>
        <v>45949137.160000004</v>
      </c>
      <c r="H91" s="347">
        <f>+BPJS!Q90</f>
        <v>1707404</v>
      </c>
      <c r="I91" s="347">
        <f>+BPJS!Q212</f>
        <v>358407.83999999997</v>
      </c>
      <c r="J91" s="348">
        <f>+PERBULAN!T91</f>
        <v>3946600</v>
      </c>
      <c r="K91" s="349"/>
      <c r="L91" s="347">
        <f>+PERBULAN!U91</f>
        <v>200000</v>
      </c>
      <c r="M91" s="349">
        <f t="shared" si="16"/>
        <v>52161549.000000007</v>
      </c>
      <c r="N91" s="347">
        <f>+'ASTEK 2% -DIISI SMPAI DESEMBER'!O90</f>
        <v>853340</v>
      </c>
      <c r="O91" s="349">
        <f t="shared" si="17"/>
        <v>2608077.4500000007</v>
      </c>
      <c r="P91" s="347">
        <f>+'ASTEK 2% -DIISI SMPAI DESEMBER'!O209</f>
        <v>426670</v>
      </c>
      <c r="Q91" s="349">
        <f t="shared" si="18"/>
        <v>3888087.4500000007</v>
      </c>
      <c r="R91" s="349">
        <f t="shared" si="19"/>
        <v>48273461.550000004</v>
      </c>
      <c r="S91" s="350">
        <f t="shared" si="20"/>
        <v>54000000</v>
      </c>
      <c r="T91" s="351">
        <f t="shared" si="21"/>
        <v>0</v>
      </c>
      <c r="U91" s="341"/>
      <c r="W91" s="342">
        <f t="shared" si="22"/>
        <v>2065811.8399999999</v>
      </c>
    </row>
    <row r="92" spans="1:23" s="317" customFormat="1" ht="12.75" customHeight="1">
      <c r="A92" s="343">
        <v>87</v>
      </c>
      <c r="B92" s="352"/>
      <c r="C92" s="345" t="str">
        <f>+PERBULAN!B92</f>
        <v>BINTANG ADITYA REVALDO</v>
      </c>
      <c r="D92" s="345" t="str">
        <f>+PERBULAN!C92</f>
        <v>L</v>
      </c>
      <c r="E92" s="345" t="str">
        <f>+PERBULAN!D92</f>
        <v>TK/0</v>
      </c>
      <c r="F92" s="346">
        <f>+PERBULAN!E92</f>
        <v>4</v>
      </c>
      <c r="G92" s="347">
        <f>+PERBULAN!S92</f>
        <v>11450108.24</v>
      </c>
      <c r="H92" s="347">
        <f>+BPJS!Q91</f>
        <v>620256</v>
      </c>
      <c r="I92" s="347">
        <f>+BPJS!Q213</f>
        <v>162817.19999999998</v>
      </c>
      <c r="J92" s="348">
        <f>+PERBULAN!T92</f>
        <v>323050</v>
      </c>
      <c r="K92" s="349"/>
      <c r="L92" s="347">
        <f>+PERBULAN!U92</f>
        <v>0</v>
      </c>
      <c r="M92" s="349">
        <f t="shared" si="16"/>
        <v>12556231.439999999</v>
      </c>
      <c r="N92" s="347">
        <f>+'ASTEK 2% -DIISI SMPAI DESEMBER'!O91</f>
        <v>387660</v>
      </c>
      <c r="O92" s="349">
        <f t="shared" si="17"/>
        <v>627811.57200000004</v>
      </c>
      <c r="P92" s="347">
        <f>+'ASTEK 2% -DIISI SMPAI DESEMBER'!O210</f>
        <v>193830</v>
      </c>
      <c r="Q92" s="349">
        <f t="shared" si="18"/>
        <v>1209301.5720000002</v>
      </c>
      <c r="R92" s="349">
        <f t="shared" si="19"/>
        <v>11346929.867999999</v>
      </c>
      <c r="S92" s="350">
        <f t="shared" si="20"/>
        <v>54000000</v>
      </c>
      <c r="T92" s="351">
        <f t="shared" si="21"/>
        <v>0</v>
      </c>
      <c r="U92" s="341"/>
      <c r="W92" s="342">
        <f t="shared" si="22"/>
        <v>783073.2</v>
      </c>
    </row>
    <row r="93" spans="1:23" s="317" customFormat="1" ht="12.75" customHeight="1">
      <c r="A93" s="343">
        <v>88</v>
      </c>
      <c r="B93" s="352"/>
      <c r="C93" s="345" t="str">
        <f>+PERBULAN!B93</f>
        <v>SOLEHAN</v>
      </c>
      <c r="D93" s="345" t="str">
        <f>+PERBULAN!C93</f>
        <v>L</v>
      </c>
      <c r="E93" s="345" t="str">
        <f>+PERBULAN!D93</f>
        <v>K/1</v>
      </c>
      <c r="F93" s="346">
        <f>+PERBULAN!E93</f>
        <v>11</v>
      </c>
      <c r="G93" s="347">
        <f>+PERBULAN!S93</f>
        <v>47489463.160000004</v>
      </c>
      <c r="H93" s="347">
        <f>+BPJS!Q92</f>
        <v>1710604</v>
      </c>
      <c r="I93" s="347">
        <f>+BPJS!Q214</f>
        <v>358722.83999999997</v>
      </c>
      <c r="J93" s="348">
        <f>+PERBULAN!T93</f>
        <v>4026100</v>
      </c>
      <c r="K93" s="349"/>
      <c r="L93" s="347">
        <f>+PERBULAN!U93</f>
        <v>200000</v>
      </c>
      <c r="M93" s="349">
        <f t="shared" si="16"/>
        <v>53784890.000000007</v>
      </c>
      <c r="N93" s="347">
        <f>+'ASTEK 2% -DIISI SMPAI DESEMBER'!O92</f>
        <v>931872</v>
      </c>
      <c r="O93" s="349">
        <f t="shared" si="17"/>
        <v>2689244.5000000005</v>
      </c>
      <c r="P93" s="347">
        <f>+'ASTEK 2% -DIISI SMPAI DESEMBER'!O211</f>
        <v>465936</v>
      </c>
      <c r="Q93" s="349">
        <f t="shared" si="18"/>
        <v>4087052.5000000005</v>
      </c>
      <c r="R93" s="349">
        <f t="shared" si="19"/>
        <v>49697837.500000007</v>
      </c>
      <c r="S93" s="350">
        <f t="shared" si="20"/>
        <v>63000000</v>
      </c>
      <c r="T93" s="351">
        <f t="shared" si="21"/>
        <v>0</v>
      </c>
      <c r="U93" s="341"/>
      <c r="W93" s="342">
        <f t="shared" si="22"/>
        <v>2069326.8399999999</v>
      </c>
    </row>
    <row r="94" spans="1:23" s="317" customFormat="1" ht="12.75" customHeight="1">
      <c r="A94" s="343">
        <v>89</v>
      </c>
      <c r="B94" s="352"/>
      <c r="C94" s="345" t="str">
        <f>+PERBULAN!B94</f>
        <v>WIRANTO</v>
      </c>
      <c r="D94" s="345" t="str">
        <f>+PERBULAN!C94</f>
        <v>L</v>
      </c>
      <c r="E94" s="345" t="str">
        <f>+PERBULAN!D94</f>
        <v>K/0</v>
      </c>
      <c r="F94" s="346">
        <f>+PERBULAN!E94</f>
        <v>11</v>
      </c>
      <c r="G94" s="347">
        <f>+PERBULAN!S94</f>
        <v>42325429.160000004</v>
      </c>
      <c r="H94" s="347">
        <f>+BPJS!Q93</f>
        <v>1711704</v>
      </c>
      <c r="I94" s="347">
        <f>+BPJS!Q215</f>
        <v>358827.83999999997</v>
      </c>
      <c r="J94" s="348">
        <f>+PERBULAN!T94</f>
        <v>4000100</v>
      </c>
      <c r="K94" s="349"/>
      <c r="L94" s="347">
        <f>+PERBULAN!U94</f>
        <v>200000</v>
      </c>
      <c r="M94" s="349">
        <f t="shared" si="16"/>
        <v>48596061.000000007</v>
      </c>
      <c r="N94" s="347">
        <f>+'ASTEK 2% -DIISI SMPAI DESEMBER'!O93</f>
        <v>932172</v>
      </c>
      <c r="O94" s="349">
        <f t="shared" si="17"/>
        <v>2429803.0500000003</v>
      </c>
      <c r="P94" s="347">
        <f>+'ASTEK 2% -DIISI SMPAI DESEMBER'!O212</f>
        <v>466086</v>
      </c>
      <c r="Q94" s="349">
        <f t="shared" si="18"/>
        <v>3828061.0500000003</v>
      </c>
      <c r="R94" s="349">
        <f t="shared" si="19"/>
        <v>44767999.95000001</v>
      </c>
      <c r="S94" s="350">
        <f t="shared" si="20"/>
        <v>58500000</v>
      </c>
      <c r="T94" s="351">
        <f t="shared" si="21"/>
        <v>0</v>
      </c>
      <c r="U94" s="341"/>
      <c r="W94" s="342">
        <f t="shared" si="22"/>
        <v>2070531.8399999999</v>
      </c>
    </row>
    <row r="95" spans="1:23" s="317" customFormat="1" ht="12.75" customHeight="1">
      <c r="A95" s="343">
        <v>90</v>
      </c>
      <c r="B95" s="352"/>
      <c r="C95" s="345" t="str">
        <f>+PERBULAN!B95</f>
        <v>RUSDIANA</v>
      </c>
      <c r="D95" s="345" t="str">
        <f>+PERBULAN!C95</f>
        <v>L</v>
      </c>
      <c r="E95" s="345" t="str">
        <f>+PERBULAN!D95</f>
        <v>K/1</v>
      </c>
      <c r="F95" s="346">
        <f>+PERBULAN!E95</f>
        <v>9</v>
      </c>
      <c r="G95" s="347">
        <f>+PERBULAN!S95</f>
        <v>37379388.679999992</v>
      </c>
      <c r="H95" s="347">
        <f>+BPJS!Q94</f>
        <v>1404216</v>
      </c>
      <c r="I95" s="347">
        <f>+BPJS!Q216</f>
        <v>293675.76</v>
      </c>
      <c r="J95" s="348">
        <f>+PERBULAN!T95</f>
        <v>4040100</v>
      </c>
      <c r="K95" s="349"/>
      <c r="L95" s="347">
        <f>+PERBULAN!U95</f>
        <v>200000</v>
      </c>
      <c r="M95" s="349">
        <f t="shared" si="16"/>
        <v>43317380.43999999</v>
      </c>
      <c r="N95" s="347">
        <f>+'ASTEK 2% -DIISI SMPAI DESEMBER'!O94</f>
        <v>699216</v>
      </c>
      <c r="O95" s="349">
        <f t="shared" si="17"/>
        <v>2165869.0219999994</v>
      </c>
      <c r="P95" s="347">
        <f>+'ASTEK 2% -DIISI SMPAI DESEMBER'!O213</f>
        <v>349608</v>
      </c>
      <c r="Q95" s="349">
        <f t="shared" si="18"/>
        <v>3214693.0219999994</v>
      </c>
      <c r="R95" s="349">
        <f t="shared" si="19"/>
        <v>40102687.41799999</v>
      </c>
      <c r="S95" s="350">
        <f t="shared" si="20"/>
        <v>63000000</v>
      </c>
      <c r="T95" s="351">
        <f t="shared" si="21"/>
        <v>0</v>
      </c>
      <c r="U95" s="341"/>
      <c r="W95" s="342">
        <f t="shared" si="22"/>
        <v>1697891.76</v>
      </c>
    </row>
    <row r="96" spans="1:23" s="317" customFormat="1" ht="12.75" customHeight="1">
      <c r="A96" s="343">
        <v>91</v>
      </c>
      <c r="B96" s="352"/>
      <c r="C96" s="345" t="str">
        <f>+PERBULAN!B96</f>
        <v>EDI ZULKARNADI</v>
      </c>
      <c r="D96" s="345" t="str">
        <f>+PERBULAN!C96</f>
        <v>L</v>
      </c>
      <c r="E96" s="345" t="str">
        <f>+PERBULAN!D96</f>
        <v>K/1</v>
      </c>
      <c r="F96" s="346">
        <f>+PERBULAN!E96</f>
        <v>11</v>
      </c>
      <c r="G96" s="347">
        <f>+PERBULAN!S96</f>
        <v>49098755.599999987</v>
      </c>
      <c r="H96" s="347">
        <f>+BPJS!Q95</f>
        <v>1717104</v>
      </c>
      <c r="I96" s="347">
        <f>+BPJS!Q217</f>
        <v>359331.83999999997</v>
      </c>
      <c r="J96" s="348">
        <f>+PERBULAN!T96</f>
        <v>3998100</v>
      </c>
      <c r="K96" s="349"/>
      <c r="L96" s="347">
        <f>+PERBULAN!U96</f>
        <v>600000</v>
      </c>
      <c r="M96" s="349">
        <f t="shared" si="16"/>
        <v>55773291.43999999</v>
      </c>
      <c r="N96" s="347">
        <f>+'ASTEK 2% -DIISI SMPAI DESEMBER'!O95</f>
        <v>933612</v>
      </c>
      <c r="O96" s="349">
        <f t="shared" si="17"/>
        <v>2788664.5719999997</v>
      </c>
      <c r="P96" s="347">
        <f>+'ASTEK 2% -DIISI SMPAI DESEMBER'!O214</f>
        <v>466806</v>
      </c>
      <c r="Q96" s="349">
        <f t="shared" si="18"/>
        <v>4189082.5719999997</v>
      </c>
      <c r="R96" s="349">
        <f t="shared" si="19"/>
        <v>51584208.867999993</v>
      </c>
      <c r="S96" s="350">
        <f t="shared" si="20"/>
        <v>63000000</v>
      </c>
      <c r="T96" s="351">
        <f t="shared" si="21"/>
        <v>0</v>
      </c>
      <c r="U96" s="341"/>
      <c r="W96" s="342">
        <f t="shared" si="22"/>
        <v>2076435.8399999999</v>
      </c>
    </row>
    <row r="97" spans="1:23" s="317" customFormat="1" ht="12.75" customHeight="1">
      <c r="A97" s="343">
        <v>92</v>
      </c>
      <c r="B97" s="352"/>
      <c r="C97" s="345" t="str">
        <f>+PERBULAN!B97</f>
        <v>ERLANDA</v>
      </c>
      <c r="D97" s="345" t="str">
        <f>+PERBULAN!C97</f>
        <v>L</v>
      </c>
      <c r="E97" s="345" t="str">
        <f>+PERBULAN!D97</f>
        <v>K/2</v>
      </c>
      <c r="F97" s="346">
        <f>+PERBULAN!E97</f>
        <v>11</v>
      </c>
      <c r="G97" s="347">
        <f>+PERBULAN!S97</f>
        <v>47670981.160000004</v>
      </c>
      <c r="H97" s="347">
        <f>+BPJS!Q96</f>
        <v>1707804</v>
      </c>
      <c r="I97" s="347">
        <f>+BPJS!Q218</f>
        <v>358428.83999999997</v>
      </c>
      <c r="J97" s="348">
        <f>+PERBULAN!T97</f>
        <v>4048100</v>
      </c>
      <c r="K97" s="349"/>
      <c r="L97" s="347">
        <f>+PERBULAN!U97</f>
        <v>200000</v>
      </c>
      <c r="M97" s="349">
        <f t="shared" si="16"/>
        <v>53985314.000000007</v>
      </c>
      <c r="N97" s="347">
        <f>+'ASTEK 2% -DIISI SMPAI DESEMBER'!O96</f>
        <v>931072</v>
      </c>
      <c r="O97" s="349">
        <f t="shared" si="17"/>
        <v>2699265.7000000007</v>
      </c>
      <c r="P97" s="347">
        <f>+'ASTEK 2% -DIISI SMPAI DESEMBER'!O215</f>
        <v>465536</v>
      </c>
      <c r="Q97" s="349">
        <f t="shared" si="18"/>
        <v>4095873.7000000007</v>
      </c>
      <c r="R97" s="349">
        <f t="shared" si="19"/>
        <v>49889440.300000004</v>
      </c>
      <c r="S97" s="350">
        <f t="shared" si="20"/>
        <v>67500000</v>
      </c>
      <c r="T97" s="351">
        <f t="shared" si="21"/>
        <v>0</v>
      </c>
      <c r="U97" s="341"/>
      <c r="W97" s="342">
        <f t="shared" si="22"/>
        <v>2066232.8399999999</v>
      </c>
    </row>
    <row r="98" spans="1:23" s="317" customFormat="1" ht="12.75" customHeight="1">
      <c r="A98" s="343">
        <v>93</v>
      </c>
      <c r="B98" s="352"/>
      <c r="C98" s="345" t="str">
        <f>+PERBULAN!B98</f>
        <v>SUNARDI</v>
      </c>
      <c r="D98" s="345" t="str">
        <f>+PERBULAN!C98</f>
        <v>L</v>
      </c>
      <c r="E98" s="345" t="str">
        <f>+PERBULAN!D98</f>
        <v>K/2</v>
      </c>
      <c r="F98" s="346">
        <f>+PERBULAN!E98</f>
        <v>11</v>
      </c>
      <c r="G98" s="347">
        <f>+PERBULAN!S98</f>
        <v>49591280.160000004</v>
      </c>
      <c r="H98" s="347">
        <f>+BPJS!Q97</f>
        <v>1709904</v>
      </c>
      <c r="I98" s="347">
        <f>+BPJS!Q219</f>
        <v>358617.83999999997</v>
      </c>
      <c r="J98" s="348">
        <f>+PERBULAN!T98</f>
        <v>4053100</v>
      </c>
      <c r="K98" s="349"/>
      <c r="L98" s="347">
        <f>+PERBULAN!U98</f>
        <v>200000</v>
      </c>
      <c r="M98" s="349">
        <f t="shared" si="16"/>
        <v>55912902.000000007</v>
      </c>
      <c r="N98" s="347">
        <f>+'ASTEK 2% -DIISI SMPAI DESEMBER'!O97</f>
        <v>931572</v>
      </c>
      <c r="O98" s="349">
        <f t="shared" si="17"/>
        <v>2795645.1000000006</v>
      </c>
      <c r="P98" s="347">
        <f>+'ASTEK 2% -DIISI SMPAI DESEMBER'!O216</f>
        <v>465786</v>
      </c>
      <c r="Q98" s="349">
        <f t="shared" si="18"/>
        <v>4193003.1000000006</v>
      </c>
      <c r="R98" s="349">
        <f t="shared" si="19"/>
        <v>51719898.900000006</v>
      </c>
      <c r="S98" s="350">
        <f t="shared" si="20"/>
        <v>67500000</v>
      </c>
      <c r="T98" s="351">
        <f t="shared" si="21"/>
        <v>0</v>
      </c>
      <c r="U98" s="341"/>
      <c r="W98" s="342">
        <f t="shared" si="22"/>
        <v>2068521.8399999999</v>
      </c>
    </row>
    <row r="99" spans="1:23" s="317" customFormat="1" ht="12.75" customHeight="1">
      <c r="A99" s="343">
        <v>94</v>
      </c>
      <c r="B99" s="352"/>
      <c r="C99" s="345" t="str">
        <f>+PERBULAN!B99</f>
        <v>ANDRI GUNAWAN</v>
      </c>
      <c r="D99" s="345" t="str">
        <f>+PERBULAN!C99</f>
        <v>L</v>
      </c>
      <c r="E99" s="345" t="str">
        <f>+PERBULAN!D99</f>
        <v>K/1</v>
      </c>
      <c r="F99" s="346">
        <f>+PERBULAN!E99</f>
        <v>9</v>
      </c>
      <c r="G99" s="347">
        <f>+PERBULAN!S99</f>
        <v>38165882.039999992</v>
      </c>
      <c r="H99" s="347">
        <f>+BPJS!Q98</f>
        <v>1395576</v>
      </c>
      <c r="I99" s="347">
        <f>+BPJS!Q220</f>
        <v>293070.95999999996</v>
      </c>
      <c r="J99" s="348">
        <f>+PERBULAN!T99</f>
        <v>0</v>
      </c>
      <c r="K99" s="349"/>
      <c r="L99" s="347">
        <f>+PERBULAN!U99</f>
        <v>0</v>
      </c>
      <c r="M99" s="349">
        <f t="shared" si="16"/>
        <v>39854528.999999993</v>
      </c>
      <c r="N99" s="347">
        <f>+'ASTEK 2% -DIISI SMPAI DESEMBER'!O98</f>
        <v>775320</v>
      </c>
      <c r="O99" s="349">
        <f t="shared" si="17"/>
        <v>1992726.4499999997</v>
      </c>
      <c r="P99" s="347">
        <f>+'ASTEK 2% -DIISI SMPAI DESEMBER'!O217</f>
        <v>387660</v>
      </c>
      <c r="Q99" s="349">
        <f t="shared" si="18"/>
        <v>3155706.4499999997</v>
      </c>
      <c r="R99" s="349">
        <f t="shared" si="19"/>
        <v>36698822.54999999</v>
      </c>
      <c r="S99" s="350">
        <f t="shared" si="20"/>
        <v>63000000</v>
      </c>
      <c r="T99" s="351">
        <f t="shared" si="21"/>
        <v>0</v>
      </c>
      <c r="U99" s="341"/>
      <c r="W99" s="342">
        <f t="shared" si="22"/>
        <v>1688646.96</v>
      </c>
    </row>
    <row r="100" spans="1:23" s="317" customFormat="1" ht="12.75" customHeight="1">
      <c r="A100" s="343">
        <v>95</v>
      </c>
      <c r="B100" s="352"/>
      <c r="C100" s="345" t="str">
        <f>+PERBULAN!B100</f>
        <v>JUPRI</v>
      </c>
      <c r="D100" s="345" t="str">
        <f>+PERBULAN!C100</f>
        <v>L</v>
      </c>
      <c r="E100" s="345" t="str">
        <f>+PERBULAN!D100</f>
        <v>K/2</v>
      </c>
      <c r="F100" s="346">
        <f>+PERBULAN!E100</f>
        <v>11</v>
      </c>
      <c r="G100" s="347">
        <f>+PERBULAN!S100</f>
        <v>48158028.160000004</v>
      </c>
      <c r="H100" s="347">
        <f>+BPJS!Q99</f>
        <v>1709604</v>
      </c>
      <c r="I100" s="347">
        <f>+BPJS!Q221</f>
        <v>358617.83999999997</v>
      </c>
      <c r="J100" s="348">
        <f>+PERBULAN!T100</f>
        <v>4050600</v>
      </c>
      <c r="K100" s="349"/>
      <c r="L100" s="347">
        <f>+PERBULAN!U100</f>
        <v>200000</v>
      </c>
      <c r="M100" s="349">
        <f t="shared" si="16"/>
        <v>54476850.000000007</v>
      </c>
      <c r="N100" s="347">
        <f>+'ASTEK 2% -DIISI SMPAI DESEMBER'!O99</f>
        <v>931584</v>
      </c>
      <c r="O100" s="349">
        <f t="shared" si="17"/>
        <v>2723842.5000000005</v>
      </c>
      <c r="P100" s="347">
        <f>+'ASTEK 2% -DIISI SMPAI DESEMBER'!O218</f>
        <v>465792</v>
      </c>
      <c r="Q100" s="349">
        <f t="shared" si="18"/>
        <v>4121218.5000000005</v>
      </c>
      <c r="R100" s="349">
        <f t="shared" si="19"/>
        <v>50355631.500000007</v>
      </c>
      <c r="S100" s="350">
        <f t="shared" si="20"/>
        <v>67500000</v>
      </c>
      <c r="T100" s="351">
        <f t="shared" si="21"/>
        <v>0</v>
      </c>
      <c r="U100" s="341"/>
      <c r="W100" s="342">
        <f t="shared" si="22"/>
        <v>2068221.8399999999</v>
      </c>
    </row>
    <row r="101" spans="1:23" s="317" customFormat="1" ht="12.75" customHeight="1">
      <c r="A101" s="343">
        <v>96</v>
      </c>
      <c r="B101" s="352"/>
      <c r="C101" s="345" t="str">
        <f>+PERBULAN!B101</f>
        <v>RAMADHAN</v>
      </c>
      <c r="D101" s="345" t="str">
        <f>+PERBULAN!C101</f>
        <v>L</v>
      </c>
      <c r="E101" s="345" t="str">
        <f>+PERBULAN!D101</f>
        <v>TK/0</v>
      </c>
      <c r="F101" s="346">
        <f>+PERBULAN!E101</f>
        <v>0</v>
      </c>
      <c r="G101" s="347">
        <f>+PERBULAN!S101</f>
        <v>0</v>
      </c>
      <c r="H101" s="347">
        <f>+BPJS!Q100</f>
        <v>0</v>
      </c>
      <c r="I101" s="347">
        <f>+BPJS!Q222</f>
        <v>0</v>
      </c>
      <c r="J101" s="348">
        <f>+PERBULAN!T101</f>
        <v>0</v>
      </c>
      <c r="K101" s="349"/>
      <c r="L101" s="347">
        <f>+PERBULAN!U101</f>
        <v>0</v>
      </c>
      <c r="M101" s="349">
        <f t="shared" si="16"/>
        <v>0</v>
      </c>
      <c r="N101" s="347">
        <f>+'ASTEK 2% -DIISI SMPAI DESEMBER'!O100</f>
        <v>77532</v>
      </c>
      <c r="O101" s="349">
        <f t="shared" si="17"/>
        <v>0</v>
      </c>
      <c r="P101" s="347">
        <f>+'ASTEK 2% -DIISI SMPAI DESEMBER'!O219</f>
        <v>38766</v>
      </c>
      <c r="Q101" s="349">
        <f t="shared" si="18"/>
        <v>116298</v>
      </c>
      <c r="R101" s="349">
        <f t="shared" si="19"/>
        <v>-116298</v>
      </c>
      <c r="S101" s="350">
        <f t="shared" si="20"/>
        <v>54000000</v>
      </c>
      <c r="T101" s="351">
        <f t="shared" si="21"/>
        <v>0</v>
      </c>
      <c r="U101" s="341"/>
      <c r="W101" s="342">
        <f t="shared" si="22"/>
        <v>0</v>
      </c>
    </row>
    <row r="102" spans="1:23" s="317" customFormat="1" ht="12.75" customHeight="1">
      <c r="A102" s="343">
        <v>97</v>
      </c>
      <c r="B102" s="352"/>
      <c r="C102" s="345" t="str">
        <f>+PERBULAN!B102</f>
        <v>RAFIANSYAH</v>
      </c>
      <c r="D102" s="345" t="str">
        <f>+PERBULAN!C102</f>
        <v>L</v>
      </c>
      <c r="E102" s="345" t="str">
        <f>+PERBULAN!D102</f>
        <v>TK/0</v>
      </c>
      <c r="F102" s="346">
        <f>+PERBULAN!E102</f>
        <v>0</v>
      </c>
      <c r="G102" s="347">
        <f>+PERBULAN!S102</f>
        <v>0</v>
      </c>
      <c r="H102" s="347">
        <f>+BPJS!Q101</f>
        <v>0</v>
      </c>
      <c r="I102" s="347">
        <f>+BPJS!Q223</f>
        <v>0</v>
      </c>
      <c r="J102" s="348">
        <f>+PERBULAN!T102</f>
        <v>0</v>
      </c>
      <c r="K102" s="349"/>
      <c r="L102" s="347">
        <f>+PERBULAN!U102</f>
        <v>0</v>
      </c>
      <c r="M102" s="349">
        <f t="shared" si="16"/>
        <v>0</v>
      </c>
      <c r="N102" s="347">
        <f>+'ASTEK 2% -DIISI SMPAI DESEMBER'!O101</f>
        <v>77532</v>
      </c>
      <c r="O102" s="349">
        <f t="shared" si="17"/>
        <v>0</v>
      </c>
      <c r="P102" s="347">
        <f>+'ASTEK 2% -DIISI SMPAI DESEMBER'!O220</f>
        <v>38766</v>
      </c>
      <c r="Q102" s="349">
        <f t="shared" si="18"/>
        <v>116298</v>
      </c>
      <c r="R102" s="349">
        <f t="shared" si="19"/>
        <v>-116298</v>
      </c>
      <c r="S102" s="350">
        <f t="shared" si="20"/>
        <v>54000000</v>
      </c>
      <c r="T102" s="351">
        <f t="shared" si="21"/>
        <v>0</v>
      </c>
      <c r="U102" s="341"/>
      <c r="W102" s="342">
        <f t="shared" si="22"/>
        <v>0</v>
      </c>
    </row>
    <row r="103" spans="1:23" s="317" customFormat="1" ht="12.75" customHeight="1">
      <c r="A103" s="343">
        <v>98</v>
      </c>
      <c r="B103" s="352"/>
      <c r="C103" s="345" t="str">
        <f>+PERBULAN!B103</f>
        <v>VIRGA</v>
      </c>
      <c r="D103" s="345" t="str">
        <f>+PERBULAN!C103</f>
        <v>L</v>
      </c>
      <c r="E103" s="345" t="str">
        <f>+PERBULAN!D103</f>
        <v>TK/0</v>
      </c>
      <c r="F103" s="346">
        <f>+PERBULAN!E103</f>
        <v>0</v>
      </c>
      <c r="G103" s="347">
        <f>+PERBULAN!S103</f>
        <v>0</v>
      </c>
      <c r="H103" s="347">
        <f>+BPJS!Q102</f>
        <v>0</v>
      </c>
      <c r="I103" s="347">
        <f>+BPJS!Q224</f>
        <v>0</v>
      </c>
      <c r="J103" s="348">
        <f>+PERBULAN!T103</f>
        <v>0</v>
      </c>
      <c r="K103" s="349"/>
      <c r="L103" s="347">
        <f>+PERBULAN!U103</f>
        <v>0</v>
      </c>
      <c r="M103" s="349">
        <f t="shared" si="16"/>
        <v>0</v>
      </c>
      <c r="N103" s="347">
        <f>+'ASTEK 2% -DIISI SMPAI DESEMBER'!O102</f>
        <v>77532</v>
      </c>
      <c r="O103" s="349">
        <f t="shared" si="17"/>
        <v>0</v>
      </c>
      <c r="P103" s="347">
        <f>+'ASTEK 2% -DIISI SMPAI DESEMBER'!O221</f>
        <v>38766</v>
      </c>
      <c r="Q103" s="349">
        <f t="shared" si="18"/>
        <v>116298</v>
      </c>
      <c r="R103" s="349">
        <f t="shared" si="19"/>
        <v>-116298</v>
      </c>
      <c r="S103" s="350">
        <f t="shared" si="20"/>
        <v>54000000</v>
      </c>
      <c r="T103" s="351">
        <f t="shared" si="21"/>
        <v>0</v>
      </c>
      <c r="U103" s="341"/>
      <c r="W103" s="342">
        <f t="shared" si="22"/>
        <v>0</v>
      </c>
    </row>
    <row r="104" spans="1:23" s="317" customFormat="1" ht="12.75" customHeight="1">
      <c r="A104" s="343">
        <v>99</v>
      </c>
      <c r="B104" s="352"/>
      <c r="C104" s="345" t="str">
        <f>+PERBULAN!B104</f>
        <v>TARMIZI</v>
      </c>
      <c r="D104" s="345" t="str">
        <f>+PERBULAN!C104</f>
        <v>L</v>
      </c>
      <c r="E104" s="345" t="str">
        <f>+PERBULAN!D104</f>
        <v>TK/1</v>
      </c>
      <c r="F104" s="346">
        <f>+PERBULAN!E104</f>
        <v>0</v>
      </c>
      <c r="G104" s="347">
        <f>+PERBULAN!S104</f>
        <v>0</v>
      </c>
      <c r="H104" s="347">
        <f>+BPJS!Q103</f>
        <v>0</v>
      </c>
      <c r="I104" s="347">
        <f>+BPJS!Q225</f>
        <v>0</v>
      </c>
      <c r="J104" s="348">
        <f>+PERBULAN!T104</f>
        <v>0</v>
      </c>
      <c r="K104" s="349"/>
      <c r="L104" s="347">
        <f>+PERBULAN!U104</f>
        <v>0</v>
      </c>
      <c r="M104" s="349">
        <f t="shared" ref="M104:M117" si="23">SUM(G104:L104)</f>
        <v>0</v>
      </c>
      <c r="N104" s="347">
        <f>+'ASTEK 2% -DIISI SMPAI DESEMBER'!O103</f>
        <v>77532</v>
      </c>
      <c r="O104" s="349">
        <f t="shared" ref="O104:O117" si="24">M104*0.05</f>
        <v>0</v>
      </c>
      <c r="P104" s="347">
        <f>+'ASTEK 2% -DIISI SMPAI DESEMBER'!O222</f>
        <v>38766</v>
      </c>
      <c r="Q104" s="349">
        <f t="shared" ref="Q104:Q117" si="25">SUM(N104:P104)</f>
        <v>116298</v>
      </c>
      <c r="R104" s="349">
        <f t="shared" ref="R104:R117" si="26">M104-Q104</f>
        <v>-116298</v>
      </c>
      <c r="S104" s="350" t="b">
        <f t="shared" ref="S104:S117" si="27">IF(E104="TK/0",54000000,IF(E104="K/0",58500000,IF(E104="K/1",63000000,IF(E104="K/2",67500000,IF(E104="K/3",72000000)))))</f>
        <v>0</v>
      </c>
      <c r="T104" s="351">
        <f t="shared" ref="T104:T117" si="28">IF(R104&lt;=S104,0,IF(R104&gt;S104,R104-S104))</f>
        <v>0</v>
      </c>
      <c r="U104" s="341"/>
      <c r="W104" s="342">
        <f t="shared" si="22"/>
        <v>0</v>
      </c>
    </row>
    <row r="105" spans="1:23" s="317" customFormat="1" ht="12.75" customHeight="1">
      <c r="A105" s="343">
        <v>100</v>
      </c>
      <c r="B105" s="352"/>
      <c r="C105" s="345" t="str">
        <f>+PERBULAN!B105</f>
        <v>ANDREAS</v>
      </c>
      <c r="D105" s="345" t="str">
        <f>+PERBULAN!C105</f>
        <v>L</v>
      </c>
      <c r="E105" s="345" t="str">
        <f>+PERBULAN!D105</f>
        <v>TK/0</v>
      </c>
      <c r="F105" s="346">
        <f>+PERBULAN!E105</f>
        <v>0</v>
      </c>
      <c r="G105" s="347">
        <f>+PERBULAN!S105</f>
        <v>0</v>
      </c>
      <c r="H105" s="347">
        <f>+BPJS!Q104</f>
        <v>0</v>
      </c>
      <c r="I105" s="347">
        <f>+BPJS!Q226</f>
        <v>0</v>
      </c>
      <c r="J105" s="348">
        <f>+PERBULAN!T105</f>
        <v>0</v>
      </c>
      <c r="K105" s="349"/>
      <c r="L105" s="347">
        <f>+PERBULAN!U105</f>
        <v>0</v>
      </c>
      <c r="M105" s="349">
        <f t="shared" si="23"/>
        <v>0</v>
      </c>
      <c r="N105" s="347">
        <f>+'ASTEK 2% -DIISI SMPAI DESEMBER'!O104</f>
        <v>77532</v>
      </c>
      <c r="O105" s="349">
        <f t="shared" si="24"/>
        <v>0</v>
      </c>
      <c r="P105" s="347">
        <f>+'ASTEK 2% -DIISI SMPAI DESEMBER'!O223</f>
        <v>38766</v>
      </c>
      <c r="Q105" s="349">
        <f t="shared" si="25"/>
        <v>116298</v>
      </c>
      <c r="R105" s="349">
        <f t="shared" si="26"/>
        <v>-116298</v>
      </c>
      <c r="S105" s="350">
        <f t="shared" si="27"/>
        <v>54000000</v>
      </c>
      <c r="T105" s="351">
        <f t="shared" si="28"/>
        <v>0</v>
      </c>
      <c r="U105" s="341"/>
      <c r="W105" s="342">
        <f t="shared" si="22"/>
        <v>0</v>
      </c>
    </row>
    <row r="106" spans="1:23" s="317" customFormat="1" ht="12.75" customHeight="1">
      <c r="A106" s="343">
        <v>101</v>
      </c>
      <c r="B106" s="352"/>
      <c r="C106" s="345">
        <f>+PERBULAN!B106</f>
        <v>0</v>
      </c>
      <c r="D106" s="345">
        <f>+PERBULAN!C106</f>
        <v>0</v>
      </c>
      <c r="E106" s="345">
        <f>+PERBULAN!D106</f>
        <v>0</v>
      </c>
      <c r="F106" s="346">
        <f>+PERBULAN!E106</f>
        <v>0</v>
      </c>
      <c r="G106" s="347">
        <f>+PERBULAN!S106</f>
        <v>0</v>
      </c>
      <c r="H106" s="347">
        <f>+BPJS!Q105</f>
        <v>0</v>
      </c>
      <c r="I106" s="347">
        <f>+BPJS!Q227</f>
        <v>0</v>
      </c>
      <c r="J106" s="348">
        <f>+PERBULAN!T106</f>
        <v>0</v>
      </c>
      <c r="K106" s="349"/>
      <c r="L106" s="347">
        <f>+PERBULAN!U106</f>
        <v>0</v>
      </c>
      <c r="M106" s="349">
        <f t="shared" si="23"/>
        <v>0</v>
      </c>
      <c r="N106" s="347">
        <f>+'ASTEK 2% -DIISI SMPAI DESEMBER'!O105</f>
        <v>0</v>
      </c>
      <c r="O106" s="349">
        <f t="shared" si="24"/>
        <v>0</v>
      </c>
      <c r="P106" s="347">
        <f>+'ASTEK 2% -DIISI SMPAI DESEMBER'!O224</f>
        <v>0</v>
      </c>
      <c r="Q106" s="349">
        <f t="shared" si="25"/>
        <v>0</v>
      </c>
      <c r="R106" s="349">
        <f t="shared" si="26"/>
        <v>0</v>
      </c>
      <c r="S106" s="350" t="b">
        <f t="shared" si="27"/>
        <v>0</v>
      </c>
      <c r="T106" s="351">
        <f t="shared" si="28"/>
        <v>0</v>
      </c>
      <c r="U106" s="341"/>
      <c r="W106" s="342">
        <f t="shared" si="22"/>
        <v>0</v>
      </c>
    </row>
    <row r="107" spans="1:23" s="317" customFormat="1" ht="12.75" customHeight="1">
      <c r="A107" s="343">
        <v>102</v>
      </c>
      <c r="B107" s="352"/>
      <c r="C107" s="345">
        <f>+PERBULAN!B107</f>
        <v>0</v>
      </c>
      <c r="D107" s="345">
        <f>+PERBULAN!C107</f>
        <v>0</v>
      </c>
      <c r="E107" s="345">
        <f>+PERBULAN!D107</f>
        <v>0</v>
      </c>
      <c r="F107" s="346">
        <f>+PERBULAN!E107</f>
        <v>0</v>
      </c>
      <c r="G107" s="347">
        <f>+PERBULAN!S107</f>
        <v>0</v>
      </c>
      <c r="H107" s="347">
        <f>+BPJS!Q106</f>
        <v>0</v>
      </c>
      <c r="I107" s="347">
        <f>+BPJS!Q228</f>
        <v>0</v>
      </c>
      <c r="J107" s="348">
        <f>+PERBULAN!T107</f>
        <v>0</v>
      </c>
      <c r="K107" s="349"/>
      <c r="L107" s="347">
        <f>+PERBULAN!U107</f>
        <v>0</v>
      </c>
      <c r="M107" s="349">
        <f t="shared" si="23"/>
        <v>0</v>
      </c>
      <c r="N107" s="347">
        <f>+'ASTEK 2% -DIISI SMPAI DESEMBER'!O106</f>
        <v>0</v>
      </c>
      <c r="O107" s="349">
        <f t="shared" si="24"/>
        <v>0</v>
      </c>
      <c r="P107" s="347">
        <f>+'ASTEK 2% -DIISI SMPAI DESEMBER'!O225</f>
        <v>0</v>
      </c>
      <c r="Q107" s="349">
        <f t="shared" si="25"/>
        <v>0</v>
      </c>
      <c r="R107" s="349">
        <f t="shared" si="26"/>
        <v>0</v>
      </c>
      <c r="S107" s="350" t="b">
        <f t="shared" si="27"/>
        <v>0</v>
      </c>
      <c r="T107" s="351">
        <f t="shared" si="28"/>
        <v>0</v>
      </c>
      <c r="U107" s="341"/>
      <c r="W107" s="342">
        <f t="shared" si="22"/>
        <v>0</v>
      </c>
    </row>
    <row r="108" spans="1:23" s="317" customFormat="1" ht="12.75" customHeight="1">
      <c r="A108" s="343">
        <v>103</v>
      </c>
      <c r="B108" s="352"/>
      <c r="C108" s="345">
        <f>+PERBULAN!B108</f>
        <v>0</v>
      </c>
      <c r="D108" s="345">
        <f>+PERBULAN!C108</f>
        <v>0</v>
      </c>
      <c r="E108" s="345">
        <f>+PERBULAN!D108</f>
        <v>0</v>
      </c>
      <c r="F108" s="346">
        <f>+PERBULAN!E108</f>
        <v>0</v>
      </c>
      <c r="G108" s="347">
        <f>+PERBULAN!S108</f>
        <v>0</v>
      </c>
      <c r="H108" s="347">
        <f>+BPJS!Q107</f>
        <v>0</v>
      </c>
      <c r="I108" s="347">
        <f>+BPJS!Q229</f>
        <v>0</v>
      </c>
      <c r="J108" s="348">
        <f>+PERBULAN!T108</f>
        <v>0</v>
      </c>
      <c r="K108" s="349"/>
      <c r="L108" s="347">
        <f>+PERBULAN!U108</f>
        <v>0</v>
      </c>
      <c r="M108" s="349">
        <f t="shared" si="23"/>
        <v>0</v>
      </c>
      <c r="N108" s="347">
        <f>+'ASTEK 2% -DIISI SMPAI DESEMBER'!O107</f>
        <v>0</v>
      </c>
      <c r="O108" s="349">
        <f t="shared" si="24"/>
        <v>0</v>
      </c>
      <c r="P108" s="347">
        <f>+'ASTEK 2% -DIISI SMPAI DESEMBER'!O226</f>
        <v>0</v>
      </c>
      <c r="Q108" s="349">
        <f t="shared" si="25"/>
        <v>0</v>
      </c>
      <c r="R108" s="349">
        <f t="shared" si="26"/>
        <v>0</v>
      </c>
      <c r="S108" s="350" t="b">
        <f t="shared" si="27"/>
        <v>0</v>
      </c>
      <c r="T108" s="351">
        <f t="shared" si="28"/>
        <v>0</v>
      </c>
      <c r="U108" s="341"/>
      <c r="W108" s="342">
        <f t="shared" si="22"/>
        <v>0</v>
      </c>
    </row>
    <row r="109" spans="1:23" s="317" customFormat="1" ht="12.75" customHeight="1">
      <c r="A109" s="343">
        <v>104</v>
      </c>
      <c r="B109" s="352"/>
      <c r="C109" s="345">
        <f>+PERBULAN!B109</f>
        <v>0</v>
      </c>
      <c r="D109" s="345">
        <f>+PERBULAN!C109</f>
        <v>0</v>
      </c>
      <c r="E109" s="345">
        <f>+PERBULAN!D109</f>
        <v>0</v>
      </c>
      <c r="F109" s="346">
        <f>+PERBULAN!E109</f>
        <v>0</v>
      </c>
      <c r="G109" s="347">
        <f>+PERBULAN!S109</f>
        <v>0</v>
      </c>
      <c r="H109" s="347">
        <f>+BPJS!Q108</f>
        <v>0</v>
      </c>
      <c r="I109" s="347">
        <f>+BPJS!Q230</f>
        <v>0</v>
      </c>
      <c r="J109" s="348">
        <f>+PERBULAN!T109</f>
        <v>0</v>
      </c>
      <c r="K109" s="349"/>
      <c r="L109" s="347">
        <f>+PERBULAN!U109</f>
        <v>0</v>
      </c>
      <c r="M109" s="349">
        <f t="shared" si="23"/>
        <v>0</v>
      </c>
      <c r="N109" s="347">
        <f>+'ASTEK 2% -DIISI SMPAI DESEMBER'!O108</f>
        <v>0</v>
      </c>
      <c r="O109" s="349">
        <f t="shared" si="24"/>
        <v>0</v>
      </c>
      <c r="P109" s="347">
        <f>+'ASTEK 2% -DIISI SMPAI DESEMBER'!O227</f>
        <v>0</v>
      </c>
      <c r="Q109" s="349">
        <f t="shared" si="25"/>
        <v>0</v>
      </c>
      <c r="R109" s="349">
        <f t="shared" si="26"/>
        <v>0</v>
      </c>
      <c r="S109" s="350" t="b">
        <f t="shared" si="27"/>
        <v>0</v>
      </c>
      <c r="T109" s="351">
        <f t="shared" si="28"/>
        <v>0</v>
      </c>
      <c r="U109" s="341"/>
      <c r="W109" s="342">
        <f t="shared" si="22"/>
        <v>0</v>
      </c>
    </row>
    <row r="110" spans="1:23" s="317" customFormat="1" ht="12.75" customHeight="1">
      <c r="A110" s="343">
        <v>105</v>
      </c>
      <c r="B110" s="352"/>
      <c r="C110" s="345">
        <f>+PERBULAN!B110</f>
        <v>0</v>
      </c>
      <c r="D110" s="345">
        <f>+PERBULAN!C110</f>
        <v>0</v>
      </c>
      <c r="E110" s="345">
        <f>+PERBULAN!D110</f>
        <v>0</v>
      </c>
      <c r="F110" s="346">
        <f>+PERBULAN!E110</f>
        <v>0</v>
      </c>
      <c r="G110" s="347">
        <f>+PERBULAN!S110</f>
        <v>0</v>
      </c>
      <c r="H110" s="347">
        <f>+BPJS!Q109</f>
        <v>0</v>
      </c>
      <c r="I110" s="347">
        <f>+BPJS!Q231</f>
        <v>0</v>
      </c>
      <c r="J110" s="348">
        <f>+PERBULAN!T110</f>
        <v>0</v>
      </c>
      <c r="K110" s="349"/>
      <c r="L110" s="347">
        <f>+PERBULAN!U110</f>
        <v>0</v>
      </c>
      <c r="M110" s="349">
        <f t="shared" si="23"/>
        <v>0</v>
      </c>
      <c r="N110" s="347">
        <f>+'ASTEK 2% -DIISI SMPAI DESEMBER'!O109</f>
        <v>0</v>
      </c>
      <c r="O110" s="349">
        <f t="shared" si="24"/>
        <v>0</v>
      </c>
      <c r="P110" s="347">
        <f>+'ASTEK 2% -DIISI SMPAI DESEMBER'!O228</f>
        <v>0</v>
      </c>
      <c r="Q110" s="349">
        <f t="shared" si="25"/>
        <v>0</v>
      </c>
      <c r="R110" s="349">
        <f t="shared" si="26"/>
        <v>0</v>
      </c>
      <c r="S110" s="350" t="b">
        <f t="shared" si="27"/>
        <v>0</v>
      </c>
      <c r="T110" s="351">
        <f t="shared" si="28"/>
        <v>0</v>
      </c>
      <c r="U110" s="341"/>
      <c r="W110" s="342">
        <f t="shared" si="22"/>
        <v>0</v>
      </c>
    </row>
    <row r="111" spans="1:23" s="317" customFormat="1" ht="12.75" customHeight="1">
      <c r="A111" s="343">
        <v>106</v>
      </c>
      <c r="B111" s="352"/>
      <c r="C111" s="345">
        <f>+PERBULAN!B111</f>
        <v>0</v>
      </c>
      <c r="D111" s="345">
        <f>+PERBULAN!C111</f>
        <v>0</v>
      </c>
      <c r="E111" s="345">
        <f>+PERBULAN!D111</f>
        <v>0</v>
      </c>
      <c r="F111" s="346">
        <f>+PERBULAN!E111</f>
        <v>0</v>
      </c>
      <c r="G111" s="347">
        <f>+PERBULAN!S111</f>
        <v>0</v>
      </c>
      <c r="H111" s="347">
        <f>+BPJS!Q110</f>
        <v>0</v>
      </c>
      <c r="I111" s="347">
        <f>+BPJS!Q232</f>
        <v>0</v>
      </c>
      <c r="J111" s="348">
        <f>+PERBULAN!T111</f>
        <v>0</v>
      </c>
      <c r="K111" s="349"/>
      <c r="L111" s="347">
        <f>+PERBULAN!U111</f>
        <v>0</v>
      </c>
      <c r="M111" s="349">
        <f t="shared" si="23"/>
        <v>0</v>
      </c>
      <c r="N111" s="347">
        <f>+'ASTEK 2% -DIISI SMPAI DESEMBER'!O110</f>
        <v>0</v>
      </c>
      <c r="O111" s="349">
        <f t="shared" si="24"/>
        <v>0</v>
      </c>
      <c r="P111" s="347">
        <f>+'ASTEK 2% -DIISI SMPAI DESEMBER'!O229</f>
        <v>0</v>
      </c>
      <c r="Q111" s="349">
        <f t="shared" si="25"/>
        <v>0</v>
      </c>
      <c r="R111" s="349">
        <f t="shared" si="26"/>
        <v>0</v>
      </c>
      <c r="S111" s="350" t="b">
        <f t="shared" si="27"/>
        <v>0</v>
      </c>
      <c r="T111" s="351">
        <f t="shared" si="28"/>
        <v>0</v>
      </c>
      <c r="U111" s="341"/>
      <c r="W111" s="342">
        <f t="shared" si="22"/>
        <v>0</v>
      </c>
    </row>
    <row r="112" spans="1:23" s="317" customFormat="1" ht="12.75" customHeight="1">
      <c r="A112" s="343">
        <v>107</v>
      </c>
      <c r="B112" s="352"/>
      <c r="C112" s="345">
        <f>+PERBULAN!B112</f>
        <v>0</v>
      </c>
      <c r="D112" s="345">
        <f>+PERBULAN!C112</f>
        <v>0</v>
      </c>
      <c r="E112" s="345">
        <f>+PERBULAN!D112</f>
        <v>0</v>
      </c>
      <c r="F112" s="346">
        <f>+PERBULAN!E112</f>
        <v>0</v>
      </c>
      <c r="G112" s="347">
        <f>+PERBULAN!S112</f>
        <v>0</v>
      </c>
      <c r="H112" s="347">
        <f>+BPJS!Q111</f>
        <v>0</v>
      </c>
      <c r="I112" s="347">
        <f>+BPJS!Q233</f>
        <v>0</v>
      </c>
      <c r="J112" s="348">
        <f>+PERBULAN!T112</f>
        <v>0</v>
      </c>
      <c r="K112" s="349"/>
      <c r="L112" s="347">
        <f>+PERBULAN!U112</f>
        <v>0</v>
      </c>
      <c r="M112" s="349">
        <f t="shared" si="23"/>
        <v>0</v>
      </c>
      <c r="N112" s="347">
        <f>+'ASTEK 2% -DIISI SMPAI DESEMBER'!O111</f>
        <v>0</v>
      </c>
      <c r="O112" s="349">
        <f t="shared" si="24"/>
        <v>0</v>
      </c>
      <c r="P112" s="347">
        <f>+'ASTEK 2% -DIISI SMPAI DESEMBER'!O230</f>
        <v>0</v>
      </c>
      <c r="Q112" s="349">
        <f t="shared" si="25"/>
        <v>0</v>
      </c>
      <c r="R112" s="349">
        <f t="shared" si="26"/>
        <v>0</v>
      </c>
      <c r="S112" s="350" t="b">
        <f t="shared" si="27"/>
        <v>0</v>
      </c>
      <c r="T112" s="351">
        <f t="shared" si="28"/>
        <v>0</v>
      </c>
      <c r="U112" s="341"/>
      <c r="W112" s="342">
        <f t="shared" si="22"/>
        <v>0</v>
      </c>
    </row>
    <row r="113" spans="1:23" s="317" customFormat="1" ht="12.75" customHeight="1">
      <c r="A113" s="343">
        <v>108</v>
      </c>
      <c r="B113" s="352"/>
      <c r="C113" s="345">
        <f>+PERBULAN!B113</f>
        <v>0</v>
      </c>
      <c r="D113" s="345">
        <f>+PERBULAN!C113</f>
        <v>0</v>
      </c>
      <c r="E113" s="345">
        <f>+PERBULAN!D113</f>
        <v>0</v>
      </c>
      <c r="F113" s="346">
        <f>+PERBULAN!E113</f>
        <v>0</v>
      </c>
      <c r="G113" s="347">
        <f>+PERBULAN!S113</f>
        <v>0</v>
      </c>
      <c r="H113" s="347">
        <f>+BPJS!Q112</f>
        <v>0</v>
      </c>
      <c r="I113" s="347">
        <f>+BPJS!Q234</f>
        <v>0</v>
      </c>
      <c r="J113" s="348">
        <f>+PERBULAN!T113</f>
        <v>0</v>
      </c>
      <c r="K113" s="349"/>
      <c r="L113" s="347">
        <f>+PERBULAN!U113</f>
        <v>0</v>
      </c>
      <c r="M113" s="349">
        <f t="shared" si="23"/>
        <v>0</v>
      </c>
      <c r="N113" s="347">
        <f>+'ASTEK 2% -DIISI SMPAI DESEMBER'!O112</f>
        <v>0</v>
      </c>
      <c r="O113" s="349">
        <f t="shared" si="24"/>
        <v>0</v>
      </c>
      <c r="P113" s="347">
        <f>+'ASTEK 2% -DIISI SMPAI DESEMBER'!O231</f>
        <v>0</v>
      </c>
      <c r="Q113" s="349">
        <f t="shared" si="25"/>
        <v>0</v>
      </c>
      <c r="R113" s="349">
        <f t="shared" si="26"/>
        <v>0</v>
      </c>
      <c r="S113" s="350" t="b">
        <f t="shared" si="27"/>
        <v>0</v>
      </c>
      <c r="T113" s="351">
        <f t="shared" si="28"/>
        <v>0</v>
      </c>
      <c r="U113" s="341"/>
      <c r="W113" s="342">
        <f t="shared" si="22"/>
        <v>0</v>
      </c>
    </row>
    <row r="114" spans="1:23" s="317" customFormat="1" ht="12.75" customHeight="1">
      <c r="A114" s="343">
        <v>109</v>
      </c>
      <c r="B114" s="352"/>
      <c r="C114" s="345">
        <f>+PERBULAN!B114</f>
        <v>0</v>
      </c>
      <c r="D114" s="345">
        <f>+PERBULAN!C114</f>
        <v>0</v>
      </c>
      <c r="E114" s="345">
        <f>+PERBULAN!D114</f>
        <v>0</v>
      </c>
      <c r="F114" s="346">
        <f>+PERBULAN!E114</f>
        <v>0</v>
      </c>
      <c r="G114" s="347">
        <f>+PERBULAN!S114</f>
        <v>0</v>
      </c>
      <c r="H114" s="347">
        <f>+BPJS!Q113</f>
        <v>0</v>
      </c>
      <c r="I114" s="347">
        <f>+BPJS!Q235</f>
        <v>0</v>
      </c>
      <c r="J114" s="348">
        <f>+PERBULAN!T114</f>
        <v>0</v>
      </c>
      <c r="K114" s="349"/>
      <c r="L114" s="347">
        <f>+PERBULAN!U114</f>
        <v>0</v>
      </c>
      <c r="M114" s="349">
        <f t="shared" si="23"/>
        <v>0</v>
      </c>
      <c r="N114" s="347">
        <f>+'ASTEK 2% -DIISI SMPAI DESEMBER'!O113</f>
        <v>0</v>
      </c>
      <c r="O114" s="349">
        <f t="shared" si="24"/>
        <v>0</v>
      </c>
      <c r="P114" s="347">
        <f>+'ASTEK 2% -DIISI SMPAI DESEMBER'!O232</f>
        <v>0</v>
      </c>
      <c r="Q114" s="349">
        <f t="shared" si="25"/>
        <v>0</v>
      </c>
      <c r="R114" s="349">
        <f t="shared" si="26"/>
        <v>0</v>
      </c>
      <c r="S114" s="350" t="b">
        <f t="shared" si="27"/>
        <v>0</v>
      </c>
      <c r="T114" s="351">
        <f t="shared" si="28"/>
        <v>0</v>
      </c>
      <c r="U114" s="341">
        <f t="shared" si="15"/>
        <v>0</v>
      </c>
      <c r="W114" s="342">
        <f t="shared" si="22"/>
        <v>0</v>
      </c>
    </row>
    <row r="115" spans="1:23" s="317" customFormat="1" ht="12.75" customHeight="1">
      <c r="A115" s="343">
        <v>110</v>
      </c>
      <c r="B115" s="352"/>
      <c r="C115" s="345">
        <f>+PERBULAN!B115</f>
        <v>0</v>
      </c>
      <c r="D115" s="345">
        <f>+PERBULAN!C115</f>
        <v>0</v>
      </c>
      <c r="E115" s="345">
        <f>+PERBULAN!D115</f>
        <v>0</v>
      </c>
      <c r="F115" s="346">
        <f>+PERBULAN!E115</f>
        <v>0</v>
      </c>
      <c r="G115" s="347">
        <f>+PERBULAN!S115</f>
        <v>0</v>
      </c>
      <c r="H115" s="347">
        <f>+BPJS!Q114</f>
        <v>0</v>
      </c>
      <c r="I115" s="347">
        <f>+BPJS!Q236</f>
        <v>0</v>
      </c>
      <c r="J115" s="348">
        <f>+PERBULAN!T115</f>
        <v>0</v>
      </c>
      <c r="K115" s="349"/>
      <c r="L115" s="347">
        <f>+PERBULAN!U115</f>
        <v>0</v>
      </c>
      <c r="M115" s="349">
        <f t="shared" si="23"/>
        <v>0</v>
      </c>
      <c r="N115" s="347">
        <f>+'ASTEK 2% -DIISI SMPAI DESEMBER'!O114</f>
        <v>0</v>
      </c>
      <c r="O115" s="349">
        <f t="shared" si="24"/>
        <v>0</v>
      </c>
      <c r="P115" s="347">
        <f>+'ASTEK 2% -DIISI SMPAI DESEMBER'!O233</f>
        <v>0</v>
      </c>
      <c r="Q115" s="349">
        <f t="shared" si="25"/>
        <v>0</v>
      </c>
      <c r="R115" s="349">
        <f t="shared" si="26"/>
        <v>0</v>
      </c>
      <c r="S115" s="350" t="b">
        <f t="shared" si="27"/>
        <v>0</v>
      </c>
      <c r="T115" s="351">
        <f t="shared" si="28"/>
        <v>0</v>
      </c>
      <c r="U115" s="341">
        <f t="shared" si="15"/>
        <v>0</v>
      </c>
      <c r="W115" s="342">
        <f t="shared" si="22"/>
        <v>0</v>
      </c>
    </row>
    <row r="116" spans="1:23" s="317" customFormat="1" ht="12.75" customHeight="1">
      <c r="A116" s="343">
        <v>111</v>
      </c>
      <c r="B116" s="352"/>
      <c r="C116" s="345">
        <f>+PERBULAN!B116</f>
        <v>0</v>
      </c>
      <c r="D116" s="345">
        <f>+PERBULAN!C116</f>
        <v>0</v>
      </c>
      <c r="E116" s="345">
        <f>+PERBULAN!D116</f>
        <v>0</v>
      </c>
      <c r="F116" s="346">
        <f>+PERBULAN!E116</f>
        <v>0</v>
      </c>
      <c r="G116" s="347">
        <f>+PERBULAN!S116</f>
        <v>0</v>
      </c>
      <c r="H116" s="347">
        <f>+BPJS!Q115</f>
        <v>0</v>
      </c>
      <c r="I116" s="347">
        <f>+BPJS!Q237</f>
        <v>0</v>
      </c>
      <c r="J116" s="348">
        <f>+PERBULAN!T116</f>
        <v>0</v>
      </c>
      <c r="K116" s="349"/>
      <c r="L116" s="347">
        <f>+PERBULAN!U116</f>
        <v>0</v>
      </c>
      <c r="M116" s="349">
        <f t="shared" si="23"/>
        <v>0</v>
      </c>
      <c r="N116" s="347">
        <f>+'ASTEK 2% -DIISI SMPAI DESEMBER'!O115</f>
        <v>0</v>
      </c>
      <c r="O116" s="349">
        <f t="shared" si="24"/>
        <v>0</v>
      </c>
      <c r="P116" s="347">
        <f>+'ASTEK 2% -DIISI SMPAI DESEMBER'!O234</f>
        <v>0</v>
      </c>
      <c r="Q116" s="349">
        <f t="shared" si="25"/>
        <v>0</v>
      </c>
      <c r="R116" s="349">
        <f t="shared" si="26"/>
        <v>0</v>
      </c>
      <c r="S116" s="350" t="b">
        <f t="shared" si="27"/>
        <v>0</v>
      </c>
      <c r="T116" s="351">
        <f t="shared" si="28"/>
        <v>0</v>
      </c>
      <c r="U116" s="341">
        <f t="shared" si="15"/>
        <v>0</v>
      </c>
      <c r="W116" s="342">
        <f t="shared" si="22"/>
        <v>0</v>
      </c>
    </row>
    <row r="117" spans="1:23" s="317" customFormat="1" ht="12.75" customHeight="1" thickBot="1">
      <c r="A117" s="343">
        <v>112</v>
      </c>
      <c r="B117" s="352"/>
      <c r="C117" s="345">
        <f>+PERBULAN!B117</f>
        <v>0</v>
      </c>
      <c r="D117" s="345">
        <f>+PERBULAN!C117</f>
        <v>0</v>
      </c>
      <c r="E117" s="345">
        <f>+PERBULAN!D117</f>
        <v>0</v>
      </c>
      <c r="F117" s="346">
        <f>+PERBULAN!E117</f>
        <v>0</v>
      </c>
      <c r="G117" s="347">
        <f>+PERBULAN!S117</f>
        <v>0</v>
      </c>
      <c r="H117" s="347">
        <f>+BPJS!Q116</f>
        <v>0</v>
      </c>
      <c r="I117" s="347">
        <f>+BPJS!Q238</f>
        <v>0</v>
      </c>
      <c r="J117" s="348">
        <f>+PERBULAN!T117</f>
        <v>0</v>
      </c>
      <c r="K117" s="349"/>
      <c r="L117" s="347">
        <f>+PERBULAN!U117</f>
        <v>0</v>
      </c>
      <c r="M117" s="349">
        <f t="shared" si="23"/>
        <v>0</v>
      </c>
      <c r="N117" s="347">
        <f>+'ASTEK 2% -DIISI SMPAI DESEMBER'!O116</f>
        <v>0</v>
      </c>
      <c r="O117" s="349">
        <f t="shared" si="24"/>
        <v>0</v>
      </c>
      <c r="P117" s="347">
        <f>+'ASTEK 2% -DIISI SMPAI DESEMBER'!O235</f>
        <v>0</v>
      </c>
      <c r="Q117" s="349">
        <f t="shared" si="25"/>
        <v>0</v>
      </c>
      <c r="R117" s="349">
        <f t="shared" si="26"/>
        <v>0</v>
      </c>
      <c r="S117" s="350" t="b">
        <f t="shared" si="27"/>
        <v>0</v>
      </c>
      <c r="T117" s="351">
        <f t="shared" si="28"/>
        <v>0</v>
      </c>
      <c r="U117" s="341">
        <f t="shared" si="15"/>
        <v>0</v>
      </c>
      <c r="W117" s="342">
        <f t="shared" si="22"/>
        <v>0</v>
      </c>
    </row>
    <row r="118" spans="1:23" s="317" customFormat="1" ht="15.75" thickBot="1">
      <c r="A118" s="632" t="s">
        <v>461</v>
      </c>
      <c r="B118" s="633"/>
      <c r="C118" s="634"/>
      <c r="D118" s="357"/>
      <c r="E118" s="358"/>
      <c r="F118" s="359">
        <f t="shared" ref="F118:T118" si="29">SUM(F6:F117)</f>
        <v>1016</v>
      </c>
      <c r="G118" s="359">
        <f t="shared" si="29"/>
        <v>4191179419.0799961</v>
      </c>
      <c r="H118" s="359">
        <f t="shared" si="29"/>
        <v>158956484</v>
      </c>
      <c r="I118" s="359">
        <f t="shared" si="29"/>
        <v>33254131.679999992</v>
      </c>
      <c r="J118" s="359">
        <f t="shared" si="29"/>
        <v>366669325</v>
      </c>
      <c r="K118" s="359">
        <f t="shared" si="29"/>
        <v>0</v>
      </c>
      <c r="L118" s="359">
        <f t="shared" si="29"/>
        <v>23616667</v>
      </c>
      <c r="M118" s="359">
        <f t="shared" si="29"/>
        <v>4773676026.7599993</v>
      </c>
      <c r="N118" s="359">
        <f t="shared" si="29"/>
        <v>86140130</v>
      </c>
      <c r="O118" s="359">
        <f t="shared" si="29"/>
        <v>238683801.338</v>
      </c>
      <c r="P118" s="359">
        <f t="shared" si="29"/>
        <v>43070065</v>
      </c>
      <c r="Q118" s="359">
        <f t="shared" si="29"/>
        <v>367893996.33800012</v>
      </c>
      <c r="R118" s="359">
        <f t="shared" si="29"/>
        <v>4405782030.4219999</v>
      </c>
      <c r="S118" s="359">
        <f t="shared" si="29"/>
        <v>5899500000</v>
      </c>
      <c r="T118" s="359">
        <f t="shared" si="29"/>
        <v>27138861.900000006</v>
      </c>
    </row>
    <row r="119" spans="1:23">
      <c r="A119" s="360"/>
      <c r="B119" s="360"/>
      <c r="C119" s="361"/>
      <c r="D119" s="362"/>
      <c r="E119" s="362"/>
      <c r="F119" s="362"/>
      <c r="H119" s="364"/>
      <c r="I119" s="364"/>
      <c r="J119" s="364"/>
      <c r="K119" s="364"/>
      <c r="L119" s="364"/>
      <c r="M119" s="364"/>
      <c r="N119" s="364"/>
      <c r="O119" s="364"/>
      <c r="P119" s="364"/>
      <c r="Q119" s="364"/>
      <c r="R119" s="364"/>
      <c r="S119" s="364"/>
      <c r="T119" s="364"/>
    </row>
    <row r="120" spans="1:23" s="317" customFormat="1" hidden="1">
      <c r="A120" s="343">
        <v>3</v>
      </c>
      <c r="B120" s="344">
        <v>844</v>
      </c>
      <c r="C120" s="345" t="str">
        <f>[28]PerBULAN!B88</f>
        <v>GASRA</v>
      </c>
      <c r="D120" s="346" t="str">
        <f>[28]PerBULAN!C88</f>
        <v>L</v>
      </c>
      <c r="E120" s="346" t="str">
        <f>[28]PerBULAN!D88</f>
        <v>K2</v>
      </c>
      <c r="F120" s="346">
        <f>[28]PerBULAN!E88</f>
        <v>1</v>
      </c>
      <c r="G120" s="347">
        <f>[28]PerBULAN!S88</f>
        <v>5939736.2300000004</v>
      </c>
      <c r="H120" s="347">
        <f>[28]BPJS!Q88</f>
        <v>145800</v>
      </c>
      <c r="I120" s="347">
        <f t="shared" ref="I120:I134" si="30">(3640000*0.84%)*F120</f>
        <v>30575.999999999996</v>
      </c>
      <c r="J120" s="348">
        <f>[28]PerBULAN!T88</f>
        <v>0</v>
      </c>
      <c r="K120" s="349"/>
      <c r="L120" s="347">
        <f>[28]PerBULAN!U88</f>
        <v>0</v>
      </c>
      <c r="M120" s="347">
        <f t="shared" ref="M120:M137" si="31">SUM(G120:L120)</f>
        <v>6116112.2300000004</v>
      </c>
      <c r="N120" s="347">
        <f t="shared" ref="N120:N134" si="32">(3640000*2%)*F120</f>
        <v>72800</v>
      </c>
      <c r="O120" s="349">
        <f t="shared" ref="O120:O137" si="33">M120*0.05</f>
        <v>305805.61150000006</v>
      </c>
      <c r="P120" s="347">
        <f t="shared" ref="P120:P134" si="34">(3640000*1%)*F120</f>
        <v>36400</v>
      </c>
      <c r="Q120" s="347">
        <f t="shared" ref="Q120:Q137" si="35">SUM(N120:P120)</f>
        <v>415005.61150000006</v>
      </c>
      <c r="R120" s="349">
        <f t="shared" ref="R120:R137" si="36">M120-Q120</f>
        <v>5701106.6185000008</v>
      </c>
      <c r="S120" s="350">
        <f>IF(E120="TK",54000000,IF(E120="K0",58500000,IF(E120="K1",63000000,IF(E120="K2",67500000,IF(E120="K3",72000000)))))</f>
        <v>67500000</v>
      </c>
      <c r="T120" s="351">
        <f t="shared" ref="T120:T133" si="37">IF(R120&lt;=S120,0,IF(R120&gt;S120,R120-S120))</f>
        <v>0</v>
      </c>
    </row>
    <row r="121" spans="1:23" s="317" customFormat="1" hidden="1">
      <c r="A121" s="343">
        <v>4</v>
      </c>
      <c r="B121" s="344">
        <v>848</v>
      </c>
      <c r="C121" s="345" t="str">
        <f>[28]PerBULAN!B89</f>
        <v>JUMADIL</v>
      </c>
      <c r="D121" s="346" t="str">
        <f>[28]PerBULAN!C89</f>
        <v>L</v>
      </c>
      <c r="E121" s="346" t="str">
        <f>[28]PerBULAN!D89</f>
        <v>K2</v>
      </c>
      <c r="F121" s="346">
        <f>[28]PerBULAN!E89</f>
        <v>1</v>
      </c>
      <c r="G121" s="347">
        <f>[28]PerBULAN!S89</f>
        <v>8471458.2300000004</v>
      </c>
      <c r="H121" s="347">
        <f>[28]BPJS!Q89</f>
        <v>145900</v>
      </c>
      <c r="I121" s="347">
        <f t="shared" si="30"/>
        <v>30575.999999999996</v>
      </c>
      <c r="J121" s="348">
        <f>[28]PerBULAN!T89</f>
        <v>0</v>
      </c>
      <c r="K121" s="349"/>
      <c r="L121" s="347">
        <f>[28]PerBULAN!U89</f>
        <v>0</v>
      </c>
      <c r="M121" s="347">
        <f t="shared" si="31"/>
        <v>8647934.2300000004</v>
      </c>
      <c r="N121" s="347">
        <f t="shared" si="32"/>
        <v>72800</v>
      </c>
      <c r="O121" s="349">
        <f t="shared" si="33"/>
        <v>432396.71150000003</v>
      </c>
      <c r="P121" s="347">
        <f t="shared" si="34"/>
        <v>36400</v>
      </c>
      <c r="Q121" s="347">
        <f t="shared" si="35"/>
        <v>541596.71149999998</v>
      </c>
      <c r="R121" s="349">
        <f t="shared" si="36"/>
        <v>8106337.5185000002</v>
      </c>
      <c r="S121" s="350">
        <f>IF(E121="TK",54000000,IF(E121="K0",58500000,IF(E121="K1",63000000,IF(E121="K2",67500000,IF(E121="K3",72000000)))))</f>
        <v>67500000</v>
      </c>
      <c r="T121" s="351">
        <f t="shared" si="37"/>
        <v>0</v>
      </c>
    </row>
    <row r="122" spans="1:23" s="317" customFormat="1" hidden="1">
      <c r="A122" s="343">
        <v>39</v>
      </c>
      <c r="B122" s="352"/>
      <c r="C122" s="345" t="str">
        <f>[28]PerBULAN!B90</f>
        <v>NOVI SUHAIDI</v>
      </c>
      <c r="D122" s="346" t="str">
        <f>[28]PerBULAN!C90</f>
        <v>L</v>
      </c>
      <c r="E122" s="346" t="str">
        <f>[28]PerBULAN!D90</f>
        <v>K/2</v>
      </c>
      <c r="F122" s="346">
        <f>[28]PerBULAN!E90</f>
        <v>5</v>
      </c>
      <c r="G122" s="347">
        <f>[28]PerBULAN!S90</f>
        <v>23316594.469999999</v>
      </c>
      <c r="H122" s="347">
        <f>[28]BPJS!Q90</f>
        <v>751700</v>
      </c>
      <c r="I122" s="347">
        <f t="shared" si="30"/>
        <v>152879.99999999997</v>
      </c>
      <c r="J122" s="348">
        <f>[28]PerBULAN!T90</f>
        <v>3920499.9</v>
      </c>
      <c r="K122" s="349"/>
      <c r="L122" s="347">
        <f>[28]PerBULAN!U90</f>
        <v>280000</v>
      </c>
      <c r="M122" s="349">
        <f t="shared" si="31"/>
        <v>28421674.369999997</v>
      </c>
      <c r="N122" s="347">
        <f t="shared" si="32"/>
        <v>364000</v>
      </c>
      <c r="O122" s="349">
        <f t="shared" si="33"/>
        <v>1421083.7185</v>
      </c>
      <c r="P122" s="347">
        <f t="shared" si="34"/>
        <v>182000</v>
      </c>
      <c r="Q122" s="347">
        <f t="shared" si="35"/>
        <v>1967083.7185</v>
      </c>
      <c r="R122" s="349">
        <f t="shared" si="36"/>
        <v>26454590.651499998</v>
      </c>
      <c r="S122" s="350">
        <f t="shared" ref="S122:S137" si="38">IF(E122="TK/0",54000000,IF(E122="K/0",58500000,IF(E122="K/1",63000000,IF(E122="K/2",67500000,IF(E122="K/3",72000000)))))</f>
        <v>67500000</v>
      </c>
      <c r="T122" s="351">
        <f t="shared" si="37"/>
        <v>0</v>
      </c>
    </row>
    <row r="123" spans="1:23" s="317" customFormat="1" hidden="1">
      <c r="A123" s="343">
        <v>1</v>
      </c>
      <c r="B123" s="365">
        <v>842</v>
      </c>
      <c r="C123" s="345" t="str">
        <f>[28]PerBULAN!B91</f>
        <v>SAPAR WADI</v>
      </c>
      <c r="D123" s="346" t="str">
        <f>[28]PerBULAN!C91</f>
        <v>L</v>
      </c>
      <c r="E123" s="346" t="str">
        <f>[28]PerBULAN!D91</f>
        <v>K/1</v>
      </c>
      <c r="F123" s="346">
        <f>[28]PerBULAN!E91</f>
        <v>8</v>
      </c>
      <c r="G123" s="347">
        <f>[28]PerBULAN!S91</f>
        <v>34148834.729999997</v>
      </c>
      <c r="H123" s="347">
        <f>[28]BPJS!Q91</f>
        <v>1168800</v>
      </c>
      <c r="I123" s="347">
        <f t="shared" si="30"/>
        <v>244607.99999999997</v>
      </c>
      <c r="J123" s="348">
        <f>[28]PerBULAN!T91</f>
        <v>3787499.9</v>
      </c>
      <c r="K123" s="347"/>
      <c r="L123" s="347">
        <f>[28]PerBULAN!U91</f>
        <v>300000</v>
      </c>
      <c r="M123" s="347">
        <f t="shared" si="31"/>
        <v>39649742.629999995</v>
      </c>
      <c r="N123" s="347">
        <f t="shared" si="32"/>
        <v>582400</v>
      </c>
      <c r="O123" s="349">
        <f t="shared" si="33"/>
        <v>1982487.1314999999</v>
      </c>
      <c r="P123" s="347">
        <f t="shared" si="34"/>
        <v>291200</v>
      </c>
      <c r="Q123" s="347">
        <f t="shared" si="35"/>
        <v>2856087.1315000001</v>
      </c>
      <c r="R123" s="349">
        <f t="shared" si="36"/>
        <v>36793655.498499997</v>
      </c>
      <c r="S123" s="350">
        <f t="shared" si="38"/>
        <v>63000000</v>
      </c>
      <c r="T123" s="351">
        <f t="shared" si="37"/>
        <v>0</v>
      </c>
      <c r="U123" s="341">
        <f t="shared" ref="U123:U137" si="39">G123-H123-I123</f>
        <v>32735426.729999997</v>
      </c>
    </row>
    <row r="124" spans="1:23" s="317" customFormat="1" hidden="1">
      <c r="A124" s="343">
        <v>2</v>
      </c>
      <c r="B124" s="344">
        <v>843</v>
      </c>
      <c r="C124" s="345" t="str">
        <f>[28]PerBULAN!B92</f>
        <v>DAMSYAH</v>
      </c>
      <c r="D124" s="346" t="str">
        <f>[28]PerBULAN!C92</f>
        <v>L</v>
      </c>
      <c r="E124" s="346" t="str">
        <f>[28]PerBULAN!D92</f>
        <v>K/1</v>
      </c>
      <c r="F124" s="346">
        <f>[28]PerBULAN!E92</f>
        <v>8</v>
      </c>
      <c r="G124" s="347">
        <f>[28]PerBULAN!S92</f>
        <v>35841023.059999995</v>
      </c>
      <c r="H124" s="347">
        <f>[28]BPJS!Q92</f>
        <v>1168800</v>
      </c>
      <c r="I124" s="347">
        <f t="shared" si="30"/>
        <v>244607.99999999997</v>
      </c>
      <c r="J124" s="348">
        <f>[28]PerBULAN!T92</f>
        <v>3787499.9</v>
      </c>
      <c r="K124" s="349"/>
      <c r="L124" s="347">
        <f>[28]PerBULAN!U92</f>
        <v>300000</v>
      </c>
      <c r="M124" s="347">
        <f t="shared" si="31"/>
        <v>41341930.959999993</v>
      </c>
      <c r="N124" s="347">
        <f t="shared" si="32"/>
        <v>582400</v>
      </c>
      <c r="O124" s="349">
        <f t="shared" si="33"/>
        <v>2067096.5479999997</v>
      </c>
      <c r="P124" s="347">
        <f t="shared" si="34"/>
        <v>291200</v>
      </c>
      <c r="Q124" s="347">
        <f t="shared" si="35"/>
        <v>2940696.5479999995</v>
      </c>
      <c r="R124" s="349">
        <f t="shared" si="36"/>
        <v>38401234.411999993</v>
      </c>
      <c r="S124" s="350">
        <f t="shared" si="38"/>
        <v>63000000</v>
      </c>
      <c r="T124" s="351">
        <f t="shared" si="37"/>
        <v>0</v>
      </c>
      <c r="U124" s="341">
        <f t="shared" si="39"/>
        <v>34427615.059999995</v>
      </c>
    </row>
    <row r="125" spans="1:23" s="317" customFormat="1" hidden="1">
      <c r="A125" s="343">
        <v>46</v>
      </c>
      <c r="B125" s="352"/>
      <c r="C125" s="355" t="str">
        <f>[28]PerBULAN!B93</f>
        <v>JUNAIDI SOLEH</v>
      </c>
      <c r="D125" s="356" t="str">
        <f>[28]PerBULAN!C93</f>
        <v>L</v>
      </c>
      <c r="E125" s="356" t="str">
        <f>[28]PerBULAN!D93</f>
        <v>K/2</v>
      </c>
      <c r="F125" s="356">
        <f>[28]PerBULAN!E93</f>
        <v>8</v>
      </c>
      <c r="G125" s="347">
        <f>[28]PerBULAN!S93</f>
        <v>31937201.27</v>
      </c>
      <c r="H125" s="347">
        <f>[28]BPJS!Q93</f>
        <v>1172000</v>
      </c>
      <c r="I125" s="347">
        <f t="shared" si="30"/>
        <v>244607.99999999997</v>
      </c>
      <c r="J125" s="348">
        <f>[28]PerBULAN!T93</f>
        <v>3822999.9</v>
      </c>
      <c r="K125" s="349"/>
      <c r="L125" s="347">
        <f>[28]PerBULAN!U93</f>
        <v>540000</v>
      </c>
      <c r="M125" s="349">
        <f t="shared" si="31"/>
        <v>37716809.170000002</v>
      </c>
      <c r="N125" s="347">
        <f t="shared" si="32"/>
        <v>582400</v>
      </c>
      <c r="O125" s="349">
        <f t="shared" si="33"/>
        <v>1885840.4585000002</v>
      </c>
      <c r="P125" s="347">
        <f t="shared" si="34"/>
        <v>291200</v>
      </c>
      <c r="Q125" s="349">
        <f t="shared" si="35"/>
        <v>2759440.4585000002</v>
      </c>
      <c r="R125" s="349">
        <f t="shared" si="36"/>
        <v>34957368.711500004</v>
      </c>
      <c r="S125" s="350">
        <f t="shared" si="38"/>
        <v>67500000</v>
      </c>
      <c r="T125" s="351">
        <f t="shared" si="37"/>
        <v>0</v>
      </c>
      <c r="U125" s="341">
        <f t="shared" si="39"/>
        <v>30520593.27</v>
      </c>
    </row>
    <row r="126" spans="1:23" s="317" customFormat="1" hidden="1">
      <c r="A126" s="343">
        <v>47</v>
      </c>
      <c r="B126" s="352"/>
      <c r="C126" s="355" t="str">
        <f>[28]PerBULAN!B94</f>
        <v>RIJAL</v>
      </c>
      <c r="D126" s="356" t="str">
        <f>[28]PerBULAN!C94</f>
        <v>L</v>
      </c>
      <c r="E126" s="356" t="str">
        <f>[28]PerBULAN!D94</f>
        <v>K/1</v>
      </c>
      <c r="F126" s="356">
        <f>[28]PerBULAN!E94</f>
        <v>8</v>
      </c>
      <c r="G126" s="347">
        <f>[28]PerBULAN!S94</f>
        <v>31064859.940000001</v>
      </c>
      <c r="H126" s="347">
        <f>[28]BPJS!Q94</f>
        <v>1167200</v>
      </c>
      <c r="I126" s="347">
        <f t="shared" si="30"/>
        <v>244607.99999999997</v>
      </c>
      <c r="J126" s="348">
        <f>[28]PerBULAN!T94</f>
        <v>3782499.9</v>
      </c>
      <c r="K126" s="349"/>
      <c r="L126" s="347">
        <f>[28]PerBULAN!U94</f>
        <v>300000</v>
      </c>
      <c r="M126" s="349">
        <f t="shared" si="31"/>
        <v>36559167.840000004</v>
      </c>
      <c r="N126" s="347">
        <f t="shared" si="32"/>
        <v>582400</v>
      </c>
      <c r="O126" s="349">
        <f t="shared" si="33"/>
        <v>1827958.3920000002</v>
      </c>
      <c r="P126" s="347">
        <f t="shared" si="34"/>
        <v>291200</v>
      </c>
      <c r="Q126" s="349">
        <f t="shared" si="35"/>
        <v>2701558.392</v>
      </c>
      <c r="R126" s="349">
        <f t="shared" si="36"/>
        <v>33857609.448000006</v>
      </c>
      <c r="S126" s="350">
        <f t="shared" si="38"/>
        <v>63000000</v>
      </c>
      <c r="T126" s="351">
        <f t="shared" si="37"/>
        <v>0</v>
      </c>
      <c r="U126" s="341">
        <f t="shared" si="39"/>
        <v>29653051.940000001</v>
      </c>
    </row>
    <row r="127" spans="1:23" s="317" customFormat="1" hidden="1">
      <c r="A127" s="343">
        <v>48</v>
      </c>
      <c r="B127" s="352"/>
      <c r="C127" s="355" t="str">
        <f>[28]PerBULAN!B95</f>
        <v>ANGGA SAPUTRA</v>
      </c>
      <c r="D127" s="356" t="str">
        <f>[28]PerBULAN!C95</f>
        <v>L</v>
      </c>
      <c r="E127" s="356" t="str">
        <f>[28]PerBULAN!D95</f>
        <v>K/1</v>
      </c>
      <c r="F127" s="356">
        <f>[28]PerBULAN!E95</f>
        <v>8</v>
      </c>
      <c r="G127" s="347">
        <f>[28]PerBULAN!S95</f>
        <v>31544815.269999996</v>
      </c>
      <c r="H127" s="347">
        <f>[28]BPJS!Q95</f>
        <v>1178860</v>
      </c>
      <c r="I127" s="347">
        <f t="shared" si="30"/>
        <v>244607.99999999997</v>
      </c>
      <c r="J127" s="348">
        <f>[28]PerBULAN!T95</f>
        <v>3818499.9</v>
      </c>
      <c r="K127" s="349"/>
      <c r="L127" s="347">
        <f>[28]PerBULAN!U95</f>
        <v>540000</v>
      </c>
      <c r="M127" s="349">
        <f t="shared" si="31"/>
        <v>37326783.169999994</v>
      </c>
      <c r="N127" s="347">
        <f t="shared" si="32"/>
        <v>582400</v>
      </c>
      <c r="O127" s="349">
        <f t="shared" si="33"/>
        <v>1866339.1584999999</v>
      </c>
      <c r="P127" s="347">
        <f t="shared" si="34"/>
        <v>291200</v>
      </c>
      <c r="Q127" s="349">
        <f t="shared" si="35"/>
        <v>2739939.1584999999</v>
      </c>
      <c r="R127" s="349">
        <f t="shared" si="36"/>
        <v>34586844.011499994</v>
      </c>
      <c r="S127" s="350">
        <f t="shared" si="38"/>
        <v>63000000</v>
      </c>
      <c r="T127" s="351">
        <f t="shared" si="37"/>
        <v>0</v>
      </c>
      <c r="U127" s="341">
        <f t="shared" si="39"/>
        <v>30121347.269999996</v>
      </c>
    </row>
    <row r="128" spans="1:23" s="317" customFormat="1" hidden="1">
      <c r="A128" s="343">
        <v>4</v>
      </c>
      <c r="B128" s="344">
        <v>857</v>
      </c>
      <c r="C128" s="345" t="str">
        <f>[28]PerBULAN!B96</f>
        <v>BOBI SAPUTRA</v>
      </c>
      <c r="D128" s="346" t="str">
        <f>[28]PerBULAN!C96</f>
        <v>L</v>
      </c>
      <c r="E128" s="346" t="str">
        <f>[28]PerBULAN!D96</f>
        <v>K/1</v>
      </c>
      <c r="F128" s="346">
        <f>[28]PerBULAN!E96</f>
        <v>8</v>
      </c>
      <c r="G128" s="347">
        <f>[28]PerBULAN!S96</f>
        <v>28905997.43</v>
      </c>
      <c r="H128" s="347">
        <f>[28]BPJS!Q96</f>
        <v>1173440</v>
      </c>
      <c r="I128" s="347">
        <f t="shared" si="30"/>
        <v>244607.99999999997</v>
      </c>
      <c r="J128" s="348">
        <f>[28]PerBULAN!T96</f>
        <v>3801999.9</v>
      </c>
      <c r="K128" s="349"/>
      <c r="L128" s="347">
        <f>[28]PerBULAN!U96</f>
        <v>280000</v>
      </c>
      <c r="M128" s="347">
        <f t="shared" si="31"/>
        <v>34406045.329999998</v>
      </c>
      <c r="N128" s="347">
        <f t="shared" si="32"/>
        <v>582400</v>
      </c>
      <c r="O128" s="349">
        <f t="shared" si="33"/>
        <v>1720302.2664999999</v>
      </c>
      <c r="P128" s="347">
        <f t="shared" si="34"/>
        <v>291200</v>
      </c>
      <c r="Q128" s="347">
        <f t="shared" si="35"/>
        <v>2593902.2664999999</v>
      </c>
      <c r="R128" s="349">
        <f t="shared" si="36"/>
        <v>31812143.063499998</v>
      </c>
      <c r="S128" s="350">
        <f t="shared" si="38"/>
        <v>63000000</v>
      </c>
      <c r="T128" s="351">
        <f t="shared" si="37"/>
        <v>0</v>
      </c>
      <c r="U128" s="341">
        <f t="shared" si="39"/>
        <v>27487949.43</v>
      </c>
    </row>
    <row r="129" spans="1:23" s="317" customFormat="1" hidden="1">
      <c r="A129" s="343">
        <v>10</v>
      </c>
      <c r="B129" s="344">
        <v>875</v>
      </c>
      <c r="C129" s="345" t="str">
        <f>[28]PerBULAN!B97</f>
        <v>RIZKY FUTRAWAN</v>
      </c>
      <c r="D129" s="346" t="str">
        <f>[28]PerBULAN!C97</f>
        <v>L</v>
      </c>
      <c r="E129" s="346" t="str">
        <f>[28]PerBULAN!D97</f>
        <v>TK/0</v>
      </c>
      <c r="F129" s="346">
        <f>[28]PerBULAN!E97</f>
        <v>8</v>
      </c>
      <c r="G129" s="347">
        <f>[28]PerBULAN!S97</f>
        <v>29341448.780000001</v>
      </c>
      <c r="H129" s="347">
        <f>[28]BPJS!Q97</f>
        <v>1172240</v>
      </c>
      <c r="I129" s="347">
        <f t="shared" si="30"/>
        <v>244607.99999999997</v>
      </c>
      <c r="J129" s="348">
        <f>[28]PerBULAN!T97</f>
        <v>3731499.9</v>
      </c>
      <c r="K129" s="349"/>
      <c r="L129" s="347">
        <f>[28]PerBULAN!U97</f>
        <v>280000</v>
      </c>
      <c r="M129" s="347">
        <f t="shared" si="31"/>
        <v>34769796.68</v>
      </c>
      <c r="N129" s="347">
        <f t="shared" si="32"/>
        <v>582400</v>
      </c>
      <c r="O129" s="349">
        <f t="shared" si="33"/>
        <v>1738489.834</v>
      </c>
      <c r="P129" s="347">
        <f t="shared" si="34"/>
        <v>291200</v>
      </c>
      <c r="Q129" s="347">
        <f t="shared" si="35"/>
        <v>2612089.8339999998</v>
      </c>
      <c r="R129" s="349">
        <f t="shared" si="36"/>
        <v>32157706.846000001</v>
      </c>
      <c r="S129" s="350">
        <f t="shared" si="38"/>
        <v>54000000</v>
      </c>
      <c r="T129" s="351">
        <f t="shared" si="37"/>
        <v>0</v>
      </c>
      <c r="U129" s="341">
        <f t="shared" si="39"/>
        <v>27924600.780000001</v>
      </c>
    </row>
    <row r="130" spans="1:23" s="317" customFormat="1" hidden="1">
      <c r="A130" s="343">
        <v>11</v>
      </c>
      <c r="B130" s="344">
        <v>877</v>
      </c>
      <c r="C130" s="345" t="str">
        <f>[28]PerBULAN!B98</f>
        <v>USWATUL HASANAH</v>
      </c>
      <c r="D130" s="346" t="str">
        <f>[28]PerBULAN!C98</f>
        <v>P</v>
      </c>
      <c r="E130" s="346" t="str">
        <f>[28]PerBULAN!D98</f>
        <v>TK/0</v>
      </c>
      <c r="F130" s="346">
        <f>[28]PerBULAN!E98</f>
        <v>8</v>
      </c>
      <c r="G130" s="347">
        <f>[28]PerBULAN!S98</f>
        <v>28911331.719999999</v>
      </c>
      <c r="H130" s="347">
        <f>[28]BPJS!Q98</f>
        <v>1174400</v>
      </c>
      <c r="I130" s="347">
        <f t="shared" si="30"/>
        <v>244607.99999999997</v>
      </c>
      <c r="J130" s="348">
        <f>[28]PerBULAN!T98</f>
        <v>3737499.9</v>
      </c>
      <c r="K130" s="349"/>
      <c r="L130" s="347">
        <f>[28]PerBULAN!U98</f>
        <v>280000</v>
      </c>
      <c r="M130" s="347">
        <f t="shared" si="31"/>
        <v>34347839.619999997</v>
      </c>
      <c r="N130" s="347">
        <f t="shared" si="32"/>
        <v>582400</v>
      </c>
      <c r="O130" s="349">
        <f t="shared" si="33"/>
        <v>1717391.9809999999</v>
      </c>
      <c r="P130" s="347">
        <f t="shared" si="34"/>
        <v>291200</v>
      </c>
      <c r="Q130" s="347">
        <f t="shared" si="35"/>
        <v>2590991.9809999997</v>
      </c>
      <c r="R130" s="349">
        <f t="shared" si="36"/>
        <v>31756847.638999999</v>
      </c>
      <c r="S130" s="350">
        <f t="shared" si="38"/>
        <v>54000000</v>
      </c>
      <c r="T130" s="351">
        <f t="shared" si="37"/>
        <v>0</v>
      </c>
      <c r="U130" s="341">
        <f t="shared" si="39"/>
        <v>27492323.719999999</v>
      </c>
    </row>
    <row r="131" spans="1:23" s="317" customFormat="1" hidden="1">
      <c r="A131" s="343">
        <v>20</v>
      </c>
      <c r="B131" s="344">
        <v>906</v>
      </c>
      <c r="C131" s="345" t="str">
        <f>[28]PerBULAN!B99</f>
        <v>ILYANA</v>
      </c>
      <c r="D131" s="346" t="str">
        <f>[28]PerBULAN!C99</f>
        <v>P</v>
      </c>
      <c r="E131" s="346" t="str">
        <f>[28]PerBULAN!D99</f>
        <v>TK/0</v>
      </c>
      <c r="F131" s="346">
        <f>[28]PerBULAN!E99</f>
        <v>8</v>
      </c>
      <c r="G131" s="347">
        <f>[28]PerBULAN!S99</f>
        <v>29771331.399999999</v>
      </c>
      <c r="H131" s="347">
        <f>[28]BPJS!Q99</f>
        <v>1179140</v>
      </c>
      <c r="I131" s="347">
        <f t="shared" si="30"/>
        <v>244607.99999999997</v>
      </c>
      <c r="J131" s="348">
        <f>[28]PerBULAN!T99</f>
        <v>3750999.9</v>
      </c>
      <c r="K131" s="349"/>
      <c r="L131" s="347">
        <f>[28]PerBULAN!U99</f>
        <v>280000</v>
      </c>
      <c r="M131" s="347">
        <f t="shared" si="31"/>
        <v>35226079.299999997</v>
      </c>
      <c r="N131" s="347">
        <f t="shared" si="32"/>
        <v>582400</v>
      </c>
      <c r="O131" s="349">
        <f t="shared" si="33"/>
        <v>1761303.9649999999</v>
      </c>
      <c r="P131" s="347">
        <f t="shared" si="34"/>
        <v>291200</v>
      </c>
      <c r="Q131" s="347">
        <f t="shared" si="35"/>
        <v>2634903.9649999999</v>
      </c>
      <c r="R131" s="349">
        <f t="shared" si="36"/>
        <v>32591175.334999997</v>
      </c>
      <c r="S131" s="350">
        <f t="shared" si="38"/>
        <v>54000000</v>
      </c>
      <c r="T131" s="351">
        <f t="shared" si="37"/>
        <v>0</v>
      </c>
      <c r="U131" s="341">
        <f t="shared" si="39"/>
        <v>28347583.399999999</v>
      </c>
    </row>
    <row r="132" spans="1:23" s="317" customFormat="1" hidden="1">
      <c r="A132" s="343">
        <v>21</v>
      </c>
      <c r="B132" s="344">
        <v>908</v>
      </c>
      <c r="C132" s="345" t="str">
        <f>[28]PerBULAN!B100</f>
        <v>MERY YULIARTI</v>
      </c>
      <c r="D132" s="346" t="str">
        <f>[28]PerBULAN!C100</f>
        <v>P</v>
      </c>
      <c r="E132" s="346" t="str">
        <f>[28]PerBULAN!D100</f>
        <v>TK/0</v>
      </c>
      <c r="F132" s="346">
        <f>[28]PerBULAN!E100</f>
        <v>8</v>
      </c>
      <c r="G132" s="347">
        <f>[28]PerBULAN!S100</f>
        <v>30274331.719999999</v>
      </c>
      <c r="H132" s="347">
        <f>[28]BPJS!Q100</f>
        <v>1169600</v>
      </c>
      <c r="I132" s="347">
        <f t="shared" si="30"/>
        <v>244607.99999999997</v>
      </c>
      <c r="J132" s="348">
        <f>[28]PerBULAN!T100</f>
        <v>3722499.9</v>
      </c>
      <c r="K132" s="349"/>
      <c r="L132" s="347">
        <f>[28]PerBULAN!U100</f>
        <v>490000</v>
      </c>
      <c r="M132" s="347">
        <f t="shared" si="31"/>
        <v>35901039.619999997</v>
      </c>
      <c r="N132" s="347">
        <f t="shared" si="32"/>
        <v>582400</v>
      </c>
      <c r="O132" s="349">
        <f t="shared" si="33"/>
        <v>1795051.9809999999</v>
      </c>
      <c r="P132" s="347">
        <f t="shared" si="34"/>
        <v>291200</v>
      </c>
      <c r="Q132" s="347">
        <f t="shared" si="35"/>
        <v>2668651.9809999997</v>
      </c>
      <c r="R132" s="349">
        <f t="shared" si="36"/>
        <v>33232387.638999999</v>
      </c>
      <c r="S132" s="350">
        <f t="shared" si="38"/>
        <v>54000000</v>
      </c>
      <c r="T132" s="351">
        <f t="shared" si="37"/>
        <v>0</v>
      </c>
      <c r="U132" s="341">
        <f t="shared" si="39"/>
        <v>28860123.719999999</v>
      </c>
    </row>
    <row r="133" spans="1:23" s="317" customFormat="1" hidden="1">
      <c r="A133" s="343">
        <v>31</v>
      </c>
      <c r="B133" s="352"/>
      <c r="C133" s="345" t="str">
        <f>[28]PerBULAN!B101</f>
        <v>YETI PRIMA</v>
      </c>
      <c r="D133" s="346" t="str">
        <f>[28]PerBULAN!C101</f>
        <v>P</v>
      </c>
      <c r="E133" s="346" t="str">
        <f>[28]PerBULAN!D101</f>
        <v>TK/0</v>
      </c>
      <c r="F133" s="346">
        <f>[28]PerBULAN!E101</f>
        <v>8</v>
      </c>
      <c r="G133" s="347">
        <f>[28]PerBULAN!S101</f>
        <v>30166581.730000004</v>
      </c>
      <c r="H133" s="347">
        <f>[28]BPJS!Q101</f>
        <v>1180120</v>
      </c>
      <c r="I133" s="347">
        <f t="shared" si="30"/>
        <v>244607.99999999997</v>
      </c>
      <c r="J133" s="348">
        <f>[28]PerBULAN!T101</f>
        <v>3754499.9</v>
      </c>
      <c r="K133" s="349"/>
      <c r="L133" s="347">
        <f>[28]PerBULAN!U101</f>
        <v>280000</v>
      </c>
      <c r="M133" s="347">
        <f t="shared" si="31"/>
        <v>35625809.630000003</v>
      </c>
      <c r="N133" s="347">
        <f t="shared" si="32"/>
        <v>582400</v>
      </c>
      <c r="O133" s="349">
        <f t="shared" si="33"/>
        <v>1781290.4815000002</v>
      </c>
      <c r="P133" s="347">
        <f t="shared" si="34"/>
        <v>291200</v>
      </c>
      <c r="Q133" s="347">
        <f t="shared" si="35"/>
        <v>2654890.4815000002</v>
      </c>
      <c r="R133" s="349">
        <f t="shared" si="36"/>
        <v>32970919.148500003</v>
      </c>
      <c r="S133" s="350">
        <f t="shared" si="38"/>
        <v>54000000</v>
      </c>
      <c r="T133" s="351">
        <f t="shared" si="37"/>
        <v>0</v>
      </c>
      <c r="U133" s="341">
        <f t="shared" si="39"/>
        <v>28741853.730000004</v>
      </c>
    </row>
    <row r="134" spans="1:23" s="317" customFormat="1" hidden="1">
      <c r="A134" s="343">
        <v>38</v>
      </c>
      <c r="B134" s="352"/>
      <c r="C134" s="355" t="str">
        <f>[28]PerBULAN!B102</f>
        <v>MUNIDA LAIA</v>
      </c>
      <c r="D134" s="356" t="str">
        <f>[28]PerBULAN!C102</f>
        <v>P</v>
      </c>
      <c r="E134" s="356" t="str">
        <f>[28]PerBULAN!D102</f>
        <v>TK/0</v>
      </c>
      <c r="F134" s="356">
        <f>[28]PerBULAN!E102</f>
        <v>8</v>
      </c>
      <c r="G134" s="347">
        <f>[28]PerBULAN!S102</f>
        <v>28766746.280000001</v>
      </c>
      <c r="H134" s="347">
        <f>[28]BPJS!Q102</f>
        <v>1173560</v>
      </c>
      <c r="I134" s="347">
        <f t="shared" si="30"/>
        <v>244607.99999999997</v>
      </c>
      <c r="J134" s="348">
        <f>[28]PerBULAN!T102</f>
        <v>0</v>
      </c>
      <c r="K134" s="349"/>
      <c r="L134" s="347">
        <f>[28]PerBULAN!U102</f>
        <v>280000</v>
      </c>
      <c r="M134" s="349">
        <f t="shared" si="31"/>
        <v>30464914.280000001</v>
      </c>
      <c r="N134" s="347">
        <f t="shared" si="32"/>
        <v>582400</v>
      </c>
      <c r="O134" s="349">
        <f t="shared" si="33"/>
        <v>1523245.7140000002</v>
      </c>
      <c r="P134" s="347">
        <f t="shared" si="34"/>
        <v>291200</v>
      </c>
      <c r="Q134" s="349">
        <f t="shared" si="35"/>
        <v>2396845.7140000002</v>
      </c>
      <c r="R134" s="349">
        <f t="shared" si="36"/>
        <v>28068068.566</v>
      </c>
      <c r="S134" s="350">
        <f t="shared" si="38"/>
        <v>54000000</v>
      </c>
      <c r="T134" s="351">
        <f>IF(R134&lt;=S134,0,IF(R134&gt;S134,R134-S134))</f>
        <v>0</v>
      </c>
      <c r="U134" s="341">
        <f t="shared" si="39"/>
        <v>27348578.280000001</v>
      </c>
    </row>
    <row r="135" spans="1:23" s="317" customFormat="1" hidden="1">
      <c r="A135" s="343">
        <v>41</v>
      </c>
      <c r="B135" s="366"/>
      <c r="C135" s="367" t="str">
        <f>[28]PerBULAN!B103</f>
        <v>HARSONO</v>
      </c>
      <c r="D135" s="368" t="str">
        <f>[28]PerBULAN!C103</f>
        <v>L</v>
      </c>
      <c r="E135" s="368" t="str">
        <f>[28]PerBULAN!D103</f>
        <v>K/2</v>
      </c>
      <c r="F135" s="368">
        <f>[28]PerBULAN!E103</f>
        <v>8</v>
      </c>
      <c r="G135" s="336">
        <f>[28]PerBULAN!S103</f>
        <v>39553798.286666669</v>
      </c>
      <c r="H135" s="336">
        <f>[28]BPJS!Q103</f>
        <v>1203840</v>
      </c>
      <c r="I135" s="336">
        <f>(3715000*0.84%)*F135</f>
        <v>249647.99999999997</v>
      </c>
      <c r="J135" s="337">
        <f>[28]PerBULAN!T103</f>
        <v>3923999.9</v>
      </c>
      <c r="K135" s="338"/>
      <c r="L135" s="336">
        <f>[28]PerBULAN!U103</f>
        <v>300000</v>
      </c>
      <c r="M135" s="338">
        <f t="shared" si="31"/>
        <v>45231286.186666667</v>
      </c>
      <c r="N135" s="336">
        <f>(3715000*2%)*F135</f>
        <v>594400</v>
      </c>
      <c r="O135" s="338">
        <f t="shared" si="33"/>
        <v>2261564.3093333333</v>
      </c>
      <c r="P135" s="336">
        <f>(3715000*1%)*F135</f>
        <v>297200</v>
      </c>
      <c r="Q135" s="338">
        <f t="shared" si="35"/>
        <v>3153164.3093333333</v>
      </c>
      <c r="R135" s="338">
        <f t="shared" si="36"/>
        <v>42078121.877333336</v>
      </c>
      <c r="S135" s="339">
        <f t="shared" si="38"/>
        <v>67500000</v>
      </c>
      <c r="T135" s="340">
        <f t="shared" ref="T135" si="40">IF(R135&lt;=S135,0,IF(R135&gt;S135,R135-S135))</f>
        <v>0</v>
      </c>
      <c r="U135" s="341">
        <f t="shared" si="39"/>
        <v>38100310.286666669</v>
      </c>
    </row>
    <row r="136" spans="1:23" s="317" customFormat="1" hidden="1">
      <c r="A136" s="343">
        <v>14</v>
      </c>
      <c r="B136" s="344">
        <v>899</v>
      </c>
      <c r="C136" s="345" t="str">
        <f>[28]PerBULAN!B104</f>
        <v>YULIANTI</v>
      </c>
      <c r="D136" s="346" t="str">
        <f>[28]PerBULAN!C104</f>
        <v>P</v>
      </c>
      <c r="E136" s="346" t="str">
        <f>[28]PerBULAN!D104</f>
        <v>TK/0</v>
      </c>
      <c r="F136" s="346">
        <f>[28]PerBULAN!E104</f>
        <v>8</v>
      </c>
      <c r="G136" s="347">
        <f>[28]PerBULAN!S104</f>
        <v>29566164.409999996</v>
      </c>
      <c r="H136" s="347">
        <f>[28]BPJS!Q104</f>
        <v>1180820</v>
      </c>
      <c r="I136" s="347">
        <f>(3640000*0.84%)*F136</f>
        <v>244607.99999999997</v>
      </c>
      <c r="J136" s="348">
        <f>[28]PerBULAN!T104</f>
        <v>3757999.9</v>
      </c>
      <c r="K136" s="349"/>
      <c r="L136" s="347">
        <f>[28]PerBULAN!U104</f>
        <v>280000</v>
      </c>
      <c r="M136" s="347">
        <f t="shared" si="31"/>
        <v>35029592.309999995</v>
      </c>
      <c r="N136" s="347">
        <f>(3640000*2%)*F136</f>
        <v>582400</v>
      </c>
      <c r="O136" s="349">
        <f t="shared" si="33"/>
        <v>1751479.6154999998</v>
      </c>
      <c r="P136" s="347">
        <f>(3640000*1%)*F136</f>
        <v>291200</v>
      </c>
      <c r="Q136" s="347">
        <f t="shared" si="35"/>
        <v>2625079.6154999998</v>
      </c>
      <c r="R136" s="349">
        <f t="shared" si="36"/>
        <v>32404512.694499996</v>
      </c>
      <c r="S136" s="350">
        <f t="shared" si="38"/>
        <v>54000000</v>
      </c>
      <c r="T136" s="351">
        <f>IF(R136&lt;=S136,0,IF(R136&gt;S136,R136-S136))</f>
        <v>0</v>
      </c>
      <c r="U136" s="341">
        <f t="shared" si="39"/>
        <v>28140736.409999996</v>
      </c>
    </row>
    <row r="137" spans="1:23" s="317" customFormat="1" hidden="1">
      <c r="A137" s="343">
        <v>15</v>
      </c>
      <c r="B137" s="344">
        <v>903</v>
      </c>
      <c r="C137" s="345" t="str">
        <f>[28]PerBULAN!B105</f>
        <v>SUHERMAN</v>
      </c>
      <c r="D137" s="346" t="str">
        <f>[28]PerBULAN!C105</f>
        <v>L</v>
      </c>
      <c r="E137" s="346" t="str">
        <f>[28]PerBULAN!D105</f>
        <v>K/2</v>
      </c>
      <c r="F137" s="346">
        <f>[28]PerBULAN!E105</f>
        <v>8</v>
      </c>
      <c r="G137" s="347">
        <f>[28]PerBULAN!S105</f>
        <v>36964140.329999998</v>
      </c>
      <c r="H137" s="347">
        <f>[28]BPJS!Q105</f>
        <v>1184320</v>
      </c>
      <c r="I137" s="347">
        <f>(3640000*0.84%)*F137</f>
        <v>244607.99999999997</v>
      </c>
      <c r="J137" s="348">
        <f>[28]PerBULAN!T105</f>
        <v>3862999.9</v>
      </c>
      <c r="K137" s="349"/>
      <c r="L137" s="347">
        <f>[28]PerBULAN!U105</f>
        <v>490000</v>
      </c>
      <c r="M137" s="347">
        <f t="shared" si="31"/>
        <v>42746068.229999997</v>
      </c>
      <c r="N137" s="347">
        <f>(3640000*2%)*F137</f>
        <v>582400</v>
      </c>
      <c r="O137" s="349">
        <f t="shared" si="33"/>
        <v>2137303.4114999999</v>
      </c>
      <c r="P137" s="347">
        <f>(3640000*1%)*F137</f>
        <v>291200</v>
      </c>
      <c r="Q137" s="347">
        <f t="shared" si="35"/>
        <v>3010903.4114999999</v>
      </c>
      <c r="R137" s="349">
        <f t="shared" si="36"/>
        <v>39735164.818499997</v>
      </c>
      <c r="S137" s="350">
        <f t="shared" si="38"/>
        <v>67500000</v>
      </c>
      <c r="T137" s="351">
        <f>IF(R137&lt;=S137,0,IF(R137&gt;S137,R137-S137))</f>
        <v>0</v>
      </c>
      <c r="U137" s="341">
        <f t="shared" si="39"/>
        <v>35535212.329999998</v>
      </c>
    </row>
    <row r="141" spans="1:23" s="317" customFormat="1" ht="12.75" customHeight="1">
      <c r="A141" s="343">
        <v>74</v>
      </c>
      <c r="B141" s="352"/>
      <c r="C141" s="345" t="str">
        <f>+PERBULAN!B121</f>
        <v>HERY</v>
      </c>
      <c r="D141" s="345" t="str">
        <f>+PERBULAN!C121</f>
        <v>L</v>
      </c>
      <c r="E141" s="345" t="str">
        <f>+PERBULAN!D121</f>
        <v>K/0</v>
      </c>
      <c r="F141" s="346">
        <f>+PERBULAN!E121</f>
        <v>8</v>
      </c>
      <c r="G141" s="347">
        <f>+PERBULAN!S121</f>
        <v>29357683.479999997</v>
      </c>
      <c r="H141" s="347">
        <f>+BPJS!Q120</f>
        <v>1242912</v>
      </c>
      <c r="I141" s="347">
        <f>+BPJS!Q242</f>
        <v>260633.52</v>
      </c>
      <c r="J141" s="348">
        <f>+PERBULAN!T121</f>
        <v>4023600</v>
      </c>
      <c r="K141" s="349"/>
      <c r="L141" s="347">
        <f>+PERBULAN!U121</f>
        <v>200000</v>
      </c>
      <c r="M141" s="349">
        <f>SUM(G141:L141)</f>
        <v>35084829</v>
      </c>
      <c r="N141" s="347">
        <f>+'ASTEK 2% -DIISI SMPAI DESEMBER'!O119</f>
        <v>620544</v>
      </c>
      <c r="O141" s="349">
        <f>M141*0.05</f>
        <v>1754241.4500000002</v>
      </c>
      <c r="P141" s="347">
        <f>+'ASTEK 2% -DIISI SMPAI DESEMBER'!O241</f>
        <v>310272</v>
      </c>
      <c r="Q141" s="349">
        <f>SUM(N141:P141)</f>
        <v>2685057.45</v>
      </c>
      <c r="R141" s="349">
        <f>M141-Q141</f>
        <v>32399771.550000001</v>
      </c>
      <c r="S141" s="350">
        <f>IF(E141="TK/0",54000000,IF(E141="K/0",58500000,IF(E141="K/1",63000000,IF(E141="K/2",67500000,IF(E141="K/3",72000000)))))</f>
        <v>58500000</v>
      </c>
      <c r="T141" s="351">
        <f>IF(R141&lt;=S141,0,IF(R141&gt;S141,R141-S141))</f>
        <v>0</v>
      </c>
      <c r="U141" s="341"/>
      <c r="W141" s="342">
        <f>I141+H141</f>
        <v>1503545.52</v>
      </c>
    </row>
    <row r="142" spans="1:23" s="317" customFormat="1" ht="12.75" customHeight="1">
      <c r="A142" s="343">
        <v>2</v>
      </c>
      <c r="B142" s="344">
        <v>852</v>
      </c>
      <c r="C142" s="345" t="str">
        <f>+PERBULAN!B122</f>
        <v>MARETA</v>
      </c>
      <c r="D142" s="345" t="str">
        <f>+PERBULAN!C122</f>
        <v>P</v>
      </c>
      <c r="E142" s="345" t="str">
        <f>+PERBULAN!D122</f>
        <v>TK/0</v>
      </c>
      <c r="F142" s="346">
        <f>+PERBULAN!E122</f>
        <v>10</v>
      </c>
      <c r="G142" s="347">
        <f>+PERBULAN!S122</f>
        <v>64347618.999999985</v>
      </c>
      <c r="H142" s="347">
        <f>+BPJS!Q121</f>
        <v>1558320</v>
      </c>
      <c r="I142" s="347">
        <f>+BPJS!Q243</f>
        <v>326340</v>
      </c>
      <c r="J142" s="348">
        <f>+PERBULAN!T122</f>
        <v>3962100</v>
      </c>
      <c r="K142" s="349"/>
      <c r="L142" s="347">
        <f>+PERBULAN!U122</f>
        <v>900000</v>
      </c>
      <c r="M142" s="347">
        <f>SUM(G142:L142)</f>
        <v>71094378.999999985</v>
      </c>
      <c r="N142" s="347">
        <f>+'ASTEK 2% -DIISI SMPAI DESEMBER'!O120</f>
        <v>776988</v>
      </c>
      <c r="O142" s="349">
        <f>M142*0.05</f>
        <v>3554718.9499999993</v>
      </c>
      <c r="P142" s="347">
        <f>+'ASTEK 2% -DIISI SMPAI DESEMBER'!O242</f>
        <v>388494</v>
      </c>
      <c r="Q142" s="347">
        <f>SUM(N142:P142)</f>
        <v>4720200.9499999993</v>
      </c>
      <c r="R142" s="349">
        <f>M142-Q142</f>
        <v>66374178.049999982</v>
      </c>
      <c r="S142" s="350">
        <f>IF(E142="TK/0",54000000,IF(E142="K/0",58500000,IF(E142="K/1",63000000,IF(E142="K/2",67500000,IF(E142="K/3",72000000)))))</f>
        <v>54000000</v>
      </c>
      <c r="T142" s="351">
        <f>IF(R142&lt;=S142,0,IF(R142&gt;S142,R142-S142))</f>
        <v>12374178.049999982</v>
      </c>
      <c r="U142" s="341">
        <f>H142+I142</f>
        <v>1884660</v>
      </c>
      <c r="V142" s="341">
        <f>N142+P142</f>
        <v>1165482</v>
      </c>
      <c r="W142" s="342">
        <f>I142+H142</f>
        <v>1884660</v>
      </c>
    </row>
  </sheetData>
  <mergeCells count="12">
    <mergeCell ref="F3:F5"/>
    <mergeCell ref="G3:L3"/>
    <mergeCell ref="A118:C118"/>
    <mergeCell ref="A3:A5"/>
    <mergeCell ref="C3:C5"/>
    <mergeCell ref="D3:D5"/>
    <mergeCell ref="E3:E5"/>
    <mergeCell ref="N3:Q3"/>
    <mergeCell ref="S3:S5"/>
    <mergeCell ref="G4:G5"/>
    <mergeCell ref="J4:J5"/>
    <mergeCell ref="L4:L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2"/>
  <sheetViews>
    <sheetView topLeftCell="A96" workbookViewId="0">
      <pane xSplit="2" topLeftCell="C1" activePane="topRight" state="frozen"/>
      <selection activeCell="R89" sqref="R89"/>
      <selection pane="topRight" activeCell="R89" sqref="R89"/>
    </sheetView>
  </sheetViews>
  <sheetFormatPr defaultRowHeight="15"/>
  <cols>
    <col min="1" max="1" width="4.5703125" style="400" customWidth="1"/>
    <col min="2" max="2" width="24.140625" style="400" customWidth="1"/>
    <col min="3" max="3" width="21.85546875" style="494" customWidth="1"/>
    <col min="4" max="5" width="9.140625" style="400" customWidth="1"/>
    <col min="6" max="6" width="11.85546875" style="400" customWidth="1"/>
    <col min="7" max="7" width="9.140625" style="400" customWidth="1"/>
    <col min="8" max="8" width="12" style="400" hidden="1" customWidth="1"/>
    <col min="9" max="9" width="9.140625" style="400" customWidth="1"/>
    <col min="10" max="10" width="12" style="400" hidden="1" customWidth="1"/>
    <col min="11" max="12" width="9.140625" style="400" customWidth="1"/>
    <col min="13" max="13" width="10" style="400" customWidth="1"/>
    <col min="14" max="14" width="12.42578125" style="400" customWidth="1"/>
    <col min="15" max="15" width="11" style="400" customWidth="1"/>
    <col min="16" max="16" width="9.140625" style="400" customWidth="1"/>
    <col min="17" max="17" width="11.7109375" style="400" customWidth="1"/>
    <col min="18" max="18" width="11.28515625" style="400" customWidth="1"/>
    <col min="19" max="19" width="9.140625" style="400" customWidth="1"/>
    <col min="20" max="20" width="11.85546875" style="400" customWidth="1"/>
    <col min="21" max="21" width="7.85546875" style="400" customWidth="1"/>
    <col min="22" max="22" width="8.5703125" style="400" customWidth="1"/>
    <col min="23" max="16384" width="9.140625" style="400"/>
  </cols>
  <sheetData>
    <row r="1" spans="1:22">
      <c r="B1" s="637" t="s">
        <v>495</v>
      </c>
      <c r="C1" s="638" t="s">
        <v>515</v>
      </c>
      <c r="D1" s="640" t="s">
        <v>713</v>
      </c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400" t="s">
        <v>516</v>
      </c>
      <c r="S1" s="400" t="s">
        <v>517</v>
      </c>
      <c r="T1" s="400" t="s">
        <v>518</v>
      </c>
    </row>
    <row r="2" spans="1:22">
      <c r="B2" s="637"/>
      <c r="C2" s="639"/>
      <c r="D2" s="289" t="s">
        <v>497</v>
      </c>
      <c r="E2" s="289" t="s">
        <v>498</v>
      </c>
      <c r="F2" s="289" t="s">
        <v>499</v>
      </c>
      <c r="G2" s="289" t="s">
        <v>500</v>
      </c>
      <c r="H2" s="289" t="s">
        <v>79</v>
      </c>
      <c r="I2" s="289" t="s">
        <v>501</v>
      </c>
      <c r="J2" s="289" t="s">
        <v>204</v>
      </c>
      <c r="K2" s="289" t="s">
        <v>502</v>
      </c>
      <c r="L2" s="289" t="s">
        <v>503</v>
      </c>
      <c r="M2" s="289" t="s">
        <v>504</v>
      </c>
      <c r="N2" s="289" t="s">
        <v>505</v>
      </c>
      <c r="O2" s="289" t="s">
        <v>506</v>
      </c>
      <c r="P2" s="289" t="s">
        <v>507</v>
      </c>
      <c r="Q2" s="289" t="s">
        <v>31</v>
      </c>
      <c r="R2" s="401"/>
    </row>
    <row r="3" spans="1:22">
      <c r="A3" s="400">
        <v>1</v>
      </c>
      <c r="B3" s="300" t="str">
        <f>+PERBULAN!B6</f>
        <v>ARYADI</v>
      </c>
      <c r="C3" s="402" t="s">
        <v>338</v>
      </c>
      <c r="D3" s="403">
        <v>0</v>
      </c>
      <c r="E3" s="289">
        <v>0</v>
      </c>
      <c r="F3" s="289">
        <v>123670</v>
      </c>
      <c r="G3" s="289">
        <v>0</v>
      </c>
      <c r="H3" s="289"/>
      <c r="I3" s="289">
        <v>0</v>
      </c>
      <c r="J3" s="289"/>
      <c r="K3" s="289">
        <v>0</v>
      </c>
      <c r="L3" s="289">
        <v>0</v>
      </c>
      <c r="M3" s="289">
        <v>0</v>
      </c>
      <c r="N3" s="289">
        <v>0</v>
      </c>
      <c r="O3" s="289">
        <v>0</v>
      </c>
      <c r="P3" s="289">
        <v>0</v>
      </c>
      <c r="Q3" s="289"/>
      <c r="R3" s="404">
        <f t="shared" ref="R3:R25" si="0">SUM(D3:Q3)</f>
        <v>123670</v>
      </c>
      <c r="S3" s="401">
        <v>0</v>
      </c>
      <c r="T3" s="404">
        <f t="shared" ref="T3:T25" si="1">R3-S3</f>
        <v>123670</v>
      </c>
      <c r="V3" s="404">
        <f t="shared" ref="V3:V25" si="2">COUNT(D3:Q3)-COUNT(H3)-COUNT(J3)</f>
        <v>11</v>
      </c>
    </row>
    <row r="4" spans="1:22">
      <c r="A4" s="400">
        <v>2</v>
      </c>
      <c r="B4" s="300" t="str">
        <f>+PERBULAN!B7</f>
        <v>SUPRI</v>
      </c>
      <c r="C4" s="402" t="s">
        <v>341</v>
      </c>
      <c r="D4" s="403">
        <v>0</v>
      </c>
      <c r="E4" s="289">
        <v>0</v>
      </c>
      <c r="F4" s="289">
        <v>122683</v>
      </c>
      <c r="G4" s="289">
        <v>0</v>
      </c>
      <c r="H4" s="289"/>
      <c r="I4" s="289">
        <v>0</v>
      </c>
      <c r="J4" s="289"/>
      <c r="K4" s="289">
        <v>0</v>
      </c>
      <c r="L4" s="289">
        <v>0</v>
      </c>
      <c r="M4" s="289">
        <v>0</v>
      </c>
      <c r="N4" s="289">
        <v>0</v>
      </c>
      <c r="O4" s="289">
        <v>0</v>
      </c>
      <c r="P4" s="289">
        <v>0</v>
      </c>
      <c r="Q4" s="289"/>
      <c r="R4" s="404">
        <f t="shared" si="0"/>
        <v>122683</v>
      </c>
      <c r="S4" s="401">
        <v>0</v>
      </c>
      <c r="T4" s="404">
        <f t="shared" si="1"/>
        <v>122683</v>
      </c>
      <c r="V4" s="404">
        <f t="shared" si="2"/>
        <v>11</v>
      </c>
    </row>
    <row r="5" spans="1:22">
      <c r="A5" s="400">
        <v>3</v>
      </c>
      <c r="B5" s="300" t="str">
        <f>+PERBULAN!B8</f>
        <v>ROTIA</v>
      </c>
      <c r="C5" s="402" t="s">
        <v>342</v>
      </c>
      <c r="D5" s="289">
        <v>0</v>
      </c>
      <c r="E5" s="289">
        <v>0</v>
      </c>
      <c r="F5" s="289">
        <v>124762</v>
      </c>
      <c r="G5" s="289">
        <v>0</v>
      </c>
      <c r="H5" s="289"/>
      <c r="I5" s="289">
        <v>0</v>
      </c>
      <c r="J5" s="289"/>
      <c r="K5" s="289">
        <v>0</v>
      </c>
      <c r="L5" s="289">
        <v>0</v>
      </c>
      <c r="M5" s="289">
        <v>0</v>
      </c>
      <c r="N5" s="289">
        <v>0</v>
      </c>
      <c r="O5" s="289">
        <v>0</v>
      </c>
      <c r="P5" s="289">
        <v>0</v>
      </c>
      <c r="Q5" s="289"/>
      <c r="R5" s="404">
        <f t="shared" si="0"/>
        <v>124762</v>
      </c>
      <c r="S5" s="401">
        <v>0</v>
      </c>
      <c r="T5" s="404">
        <f t="shared" si="1"/>
        <v>124762</v>
      </c>
      <c r="V5" s="404">
        <f t="shared" si="2"/>
        <v>11</v>
      </c>
    </row>
    <row r="6" spans="1:22">
      <c r="A6" s="400">
        <v>4</v>
      </c>
      <c r="B6" s="300" t="str">
        <f>+PERBULAN!B9</f>
        <v>SURYANI</v>
      </c>
      <c r="C6" s="402" t="s">
        <v>343</v>
      </c>
      <c r="D6" s="403">
        <v>0</v>
      </c>
      <c r="E6" s="289">
        <v>0</v>
      </c>
      <c r="F6" s="289">
        <v>124762</v>
      </c>
      <c r="G6" s="289">
        <v>0</v>
      </c>
      <c r="H6" s="289"/>
      <c r="I6" s="289">
        <v>0</v>
      </c>
      <c r="J6" s="289"/>
      <c r="K6" s="289">
        <v>0</v>
      </c>
      <c r="L6" s="289">
        <v>0</v>
      </c>
      <c r="M6" s="289">
        <v>0</v>
      </c>
      <c r="N6" s="289">
        <v>0</v>
      </c>
      <c r="O6" s="289">
        <v>0</v>
      </c>
      <c r="P6" s="289">
        <v>0</v>
      </c>
      <c r="Q6" s="289"/>
      <c r="R6" s="404">
        <f t="shared" si="0"/>
        <v>124762</v>
      </c>
      <c r="S6" s="401">
        <v>0</v>
      </c>
      <c r="T6" s="404">
        <f t="shared" si="1"/>
        <v>124762</v>
      </c>
      <c r="V6" s="404">
        <f t="shared" si="2"/>
        <v>11</v>
      </c>
    </row>
    <row r="7" spans="1:22">
      <c r="A7" s="400">
        <v>5</v>
      </c>
      <c r="B7" s="300" t="str">
        <f>+PERBULAN!B10</f>
        <v>SAHINA YUNI</v>
      </c>
      <c r="C7" s="402" t="s">
        <v>344</v>
      </c>
      <c r="D7" s="403">
        <v>0</v>
      </c>
      <c r="E7" s="289">
        <v>0</v>
      </c>
      <c r="F7" s="289">
        <v>124655</v>
      </c>
      <c r="G7" s="289">
        <v>0</v>
      </c>
      <c r="H7" s="289"/>
      <c r="I7" s="289">
        <v>0</v>
      </c>
      <c r="J7" s="289"/>
      <c r="K7" s="289">
        <v>0</v>
      </c>
      <c r="L7" s="289">
        <v>0</v>
      </c>
      <c r="M7" s="289">
        <v>0</v>
      </c>
      <c r="N7" s="289">
        <v>0</v>
      </c>
      <c r="O7" s="289">
        <v>0</v>
      </c>
      <c r="P7" s="289">
        <v>0</v>
      </c>
      <c r="Q7" s="289"/>
      <c r="R7" s="404">
        <f t="shared" si="0"/>
        <v>124655</v>
      </c>
      <c r="S7" s="401">
        <v>0</v>
      </c>
      <c r="T7" s="404">
        <f t="shared" si="1"/>
        <v>124655</v>
      </c>
      <c r="V7" s="404">
        <f t="shared" si="2"/>
        <v>11</v>
      </c>
    </row>
    <row r="8" spans="1:22">
      <c r="A8" s="400">
        <v>6</v>
      </c>
      <c r="B8" s="300" t="str">
        <f>+PERBULAN!B11</f>
        <v>NURLELA</v>
      </c>
      <c r="C8" s="402" t="s">
        <v>345</v>
      </c>
      <c r="D8" s="289">
        <v>0</v>
      </c>
      <c r="E8" s="289">
        <v>0</v>
      </c>
      <c r="F8" s="289">
        <v>125833</v>
      </c>
      <c r="G8" s="289">
        <v>0</v>
      </c>
      <c r="H8" s="289"/>
      <c r="I8" s="289">
        <v>0</v>
      </c>
      <c r="J8" s="289"/>
      <c r="K8" s="289">
        <v>0</v>
      </c>
      <c r="L8" s="289">
        <v>0</v>
      </c>
      <c r="M8" s="289">
        <v>0</v>
      </c>
      <c r="N8" s="289">
        <v>0</v>
      </c>
      <c r="O8" s="289">
        <v>0</v>
      </c>
      <c r="P8" s="289">
        <v>0</v>
      </c>
      <c r="Q8" s="289"/>
      <c r="R8" s="404">
        <f t="shared" si="0"/>
        <v>125833</v>
      </c>
      <c r="S8" s="401">
        <v>0</v>
      </c>
      <c r="T8" s="404">
        <f t="shared" si="1"/>
        <v>125833</v>
      </c>
      <c r="V8" s="404">
        <f t="shared" si="2"/>
        <v>11</v>
      </c>
    </row>
    <row r="9" spans="1:22">
      <c r="A9" s="400">
        <v>7</v>
      </c>
      <c r="B9" s="300" t="str">
        <f>+PERBULAN!B12</f>
        <v>SUSINARTI</v>
      </c>
      <c r="C9" s="402" t="s">
        <v>346</v>
      </c>
      <c r="D9" s="289">
        <v>0</v>
      </c>
      <c r="E9" s="289">
        <v>0</v>
      </c>
      <c r="F9" s="289">
        <v>124548</v>
      </c>
      <c r="G9" s="289">
        <v>0</v>
      </c>
      <c r="H9" s="289"/>
      <c r="I9" s="289">
        <v>0</v>
      </c>
      <c r="J9" s="289"/>
      <c r="K9" s="289">
        <v>0</v>
      </c>
      <c r="L9" s="289">
        <v>0</v>
      </c>
      <c r="M9" s="289">
        <v>0</v>
      </c>
      <c r="N9" s="289">
        <v>0</v>
      </c>
      <c r="O9" s="289">
        <v>0</v>
      </c>
      <c r="P9" s="289">
        <v>0</v>
      </c>
      <c r="Q9" s="289"/>
      <c r="R9" s="404">
        <f t="shared" si="0"/>
        <v>124548</v>
      </c>
      <c r="S9" s="401">
        <v>0</v>
      </c>
      <c r="T9" s="404">
        <f t="shared" si="1"/>
        <v>124548</v>
      </c>
      <c r="V9" s="404">
        <f t="shared" si="2"/>
        <v>11</v>
      </c>
    </row>
    <row r="10" spans="1:22">
      <c r="A10" s="400">
        <v>8</v>
      </c>
      <c r="B10" s="300" t="str">
        <f>+PERBULAN!B13</f>
        <v>JAHIMIN</v>
      </c>
      <c r="C10" s="402" t="s">
        <v>347</v>
      </c>
      <c r="D10" s="289">
        <v>0</v>
      </c>
      <c r="E10" s="289">
        <v>0</v>
      </c>
      <c r="F10" s="289">
        <v>126945</v>
      </c>
      <c r="G10" s="289">
        <v>0</v>
      </c>
      <c r="H10" s="289"/>
      <c r="I10" s="289">
        <v>0</v>
      </c>
      <c r="J10" s="289"/>
      <c r="K10" s="289">
        <v>0</v>
      </c>
      <c r="L10" s="289">
        <v>0</v>
      </c>
      <c r="M10" s="289">
        <v>0</v>
      </c>
      <c r="N10" s="289">
        <v>0</v>
      </c>
      <c r="O10" s="289">
        <v>0</v>
      </c>
      <c r="P10" s="289">
        <v>0</v>
      </c>
      <c r="Q10" s="289"/>
      <c r="R10" s="404">
        <f t="shared" si="0"/>
        <v>126945</v>
      </c>
      <c r="S10" s="401">
        <v>0</v>
      </c>
      <c r="T10" s="404">
        <f t="shared" si="1"/>
        <v>126945</v>
      </c>
      <c r="V10" s="404">
        <f t="shared" si="2"/>
        <v>11</v>
      </c>
    </row>
    <row r="11" spans="1:22">
      <c r="A11" s="400">
        <v>9</v>
      </c>
      <c r="B11" s="300" t="str">
        <f>+PERBULAN!B14</f>
        <v>GUSTAMI</v>
      </c>
      <c r="C11" s="402" t="s">
        <v>350</v>
      </c>
      <c r="D11" s="289">
        <v>0</v>
      </c>
      <c r="E11" s="289">
        <v>0</v>
      </c>
      <c r="F11" s="289">
        <v>84210</v>
      </c>
      <c r="G11" s="289">
        <v>0</v>
      </c>
      <c r="H11" s="289"/>
      <c r="I11" s="289">
        <v>0</v>
      </c>
      <c r="J11" s="289"/>
      <c r="K11" s="289">
        <v>0</v>
      </c>
      <c r="L11" s="289">
        <v>0</v>
      </c>
      <c r="M11" s="289">
        <v>0</v>
      </c>
      <c r="N11" s="289">
        <v>0</v>
      </c>
      <c r="O11" s="289">
        <v>0</v>
      </c>
      <c r="P11" s="289">
        <v>0</v>
      </c>
      <c r="Q11" s="289"/>
      <c r="R11" s="404">
        <f t="shared" si="0"/>
        <v>84210</v>
      </c>
      <c r="S11" s="401">
        <v>0</v>
      </c>
      <c r="T11" s="404">
        <f t="shared" si="1"/>
        <v>84210</v>
      </c>
      <c r="V11" s="404">
        <f t="shared" si="2"/>
        <v>11</v>
      </c>
    </row>
    <row r="12" spans="1:22">
      <c r="A12" s="400">
        <v>10</v>
      </c>
      <c r="B12" s="300" t="str">
        <f>+PERBULAN!B15</f>
        <v>AGUS TRIANTIKA</v>
      </c>
      <c r="C12" s="402" t="s">
        <v>73</v>
      </c>
      <c r="D12" s="289">
        <v>0</v>
      </c>
      <c r="E12" s="289">
        <v>0</v>
      </c>
      <c r="F12" s="289">
        <v>83228</v>
      </c>
      <c r="G12" s="289">
        <v>0</v>
      </c>
      <c r="H12" s="289"/>
      <c r="I12" s="289">
        <v>0</v>
      </c>
      <c r="J12" s="289"/>
      <c r="K12" s="289">
        <v>0</v>
      </c>
      <c r="L12" s="289">
        <v>0</v>
      </c>
      <c r="M12" s="289">
        <v>0</v>
      </c>
      <c r="N12" s="289">
        <v>0</v>
      </c>
      <c r="O12" s="289">
        <v>0</v>
      </c>
      <c r="P12" s="289">
        <v>0</v>
      </c>
      <c r="Q12" s="289"/>
      <c r="R12" s="404">
        <f t="shared" si="0"/>
        <v>83228</v>
      </c>
      <c r="S12" s="401">
        <v>0</v>
      </c>
      <c r="T12" s="404">
        <f t="shared" si="1"/>
        <v>83228</v>
      </c>
      <c r="V12" s="404">
        <f t="shared" si="2"/>
        <v>11</v>
      </c>
    </row>
    <row r="13" spans="1:22">
      <c r="A13" s="400">
        <v>11</v>
      </c>
      <c r="B13" s="300" t="str">
        <f>+PERBULAN!B16</f>
        <v>FIKA HOIRI</v>
      </c>
      <c r="C13" s="402" t="s">
        <v>73</v>
      </c>
      <c r="D13" s="289">
        <v>0</v>
      </c>
      <c r="E13" s="289">
        <v>0</v>
      </c>
      <c r="F13" s="289">
        <v>81064</v>
      </c>
      <c r="G13" s="289">
        <v>0</v>
      </c>
      <c r="H13" s="289"/>
      <c r="I13" s="289">
        <v>0</v>
      </c>
      <c r="J13" s="289"/>
      <c r="K13" s="289">
        <v>0</v>
      </c>
      <c r="L13" s="289">
        <v>0</v>
      </c>
      <c r="M13" s="289">
        <v>0</v>
      </c>
      <c r="N13" s="289">
        <v>0</v>
      </c>
      <c r="O13" s="289">
        <v>0</v>
      </c>
      <c r="P13" s="289">
        <v>0</v>
      </c>
      <c r="Q13" s="289"/>
      <c r="R13" s="404">
        <f t="shared" si="0"/>
        <v>81064</v>
      </c>
      <c r="S13" s="401">
        <v>0</v>
      </c>
      <c r="T13" s="404">
        <f t="shared" si="1"/>
        <v>81064</v>
      </c>
      <c r="V13" s="404">
        <f t="shared" si="2"/>
        <v>11</v>
      </c>
    </row>
    <row r="14" spans="1:22">
      <c r="A14" s="400">
        <v>12</v>
      </c>
      <c r="B14" s="300" t="str">
        <f>+PERBULAN!B17</f>
        <v>NOPI HARIKA</v>
      </c>
      <c r="C14" s="402" t="s">
        <v>351</v>
      </c>
      <c r="D14" s="403">
        <v>0</v>
      </c>
      <c r="E14" s="289">
        <v>0</v>
      </c>
      <c r="F14" s="289">
        <v>124548</v>
      </c>
      <c r="G14" s="289">
        <v>0</v>
      </c>
      <c r="H14" s="289"/>
      <c r="I14" s="289">
        <v>0</v>
      </c>
      <c r="J14" s="289"/>
      <c r="K14" s="289">
        <v>0</v>
      </c>
      <c r="L14" s="289">
        <v>0</v>
      </c>
      <c r="M14" s="289">
        <v>0</v>
      </c>
      <c r="N14" s="289">
        <v>0</v>
      </c>
      <c r="O14" s="289">
        <v>0</v>
      </c>
      <c r="P14" s="289">
        <v>0</v>
      </c>
      <c r="Q14" s="289"/>
      <c r="R14" s="404">
        <f t="shared" si="0"/>
        <v>124548</v>
      </c>
      <c r="S14" s="401">
        <v>0</v>
      </c>
      <c r="T14" s="404">
        <f t="shared" si="1"/>
        <v>124548</v>
      </c>
      <c r="V14" s="404">
        <f t="shared" si="2"/>
        <v>11</v>
      </c>
    </row>
    <row r="15" spans="1:22">
      <c r="A15" s="400">
        <v>13</v>
      </c>
      <c r="B15" s="300" t="str">
        <f>+PERBULAN!B18</f>
        <v>SARI IRIANTI</v>
      </c>
      <c r="C15" s="402" t="s">
        <v>353</v>
      </c>
      <c r="D15" s="289">
        <v>0</v>
      </c>
      <c r="E15" s="289">
        <v>0</v>
      </c>
      <c r="F15" s="289">
        <v>123936</v>
      </c>
      <c r="G15" s="289">
        <v>0</v>
      </c>
      <c r="H15" s="289"/>
      <c r="I15" s="289">
        <v>0</v>
      </c>
      <c r="J15" s="289"/>
      <c r="K15" s="289">
        <v>0</v>
      </c>
      <c r="L15" s="289">
        <v>0</v>
      </c>
      <c r="M15" s="289">
        <v>0</v>
      </c>
      <c r="N15" s="289">
        <v>0</v>
      </c>
      <c r="O15" s="289">
        <v>0</v>
      </c>
      <c r="P15" s="289">
        <v>0</v>
      </c>
      <c r="Q15" s="289"/>
      <c r="R15" s="404">
        <f t="shared" si="0"/>
        <v>123936</v>
      </c>
      <c r="S15" s="401">
        <v>0</v>
      </c>
      <c r="T15" s="404">
        <f t="shared" si="1"/>
        <v>123936</v>
      </c>
      <c r="V15" s="404">
        <f t="shared" si="2"/>
        <v>11</v>
      </c>
    </row>
    <row r="16" spans="1:22">
      <c r="A16" s="400">
        <v>14</v>
      </c>
      <c r="B16" s="300" t="str">
        <f>+PERBULAN!B19</f>
        <v>ROSNANI</v>
      </c>
      <c r="C16" s="402" t="s">
        <v>355</v>
      </c>
      <c r="D16" s="289">
        <v>0</v>
      </c>
      <c r="E16" s="289">
        <v>0</v>
      </c>
      <c r="F16" s="289">
        <v>122790</v>
      </c>
      <c r="G16" s="289">
        <v>0</v>
      </c>
      <c r="H16" s="289"/>
      <c r="I16" s="289">
        <v>0</v>
      </c>
      <c r="J16" s="289"/>
      <c r="K16" s="289">
        <v>0</v>
      </c>
      <c r="L16" s="289">
        <v>0</v>
      </c>
      <c r="M16" s="289">
        <v>0</v>
      </c>
      <c r="N16" s="289">
        <v>0</v>
      </c>
      <c r="O16" s="289">
        <v>0</v>
      </c>
      <c r="P16" s="289">
        <v>0</v>
      </c>
      <c r="Q16" s="289"/>
      <c r="R16" s="404">
        <f t="shared" si="0"/>
        <v>122790</v>
      </c>
      <c r="S16" s="401">
        <v>0</v>
      </c>
      <c r="T16" s="404">
        <f t="shared" si="1"/>
        <v>122790</v>
      </c>
      <c r="V16" s="404">
        <f t="shared" si="2"/>
        <v>11</v>
      </c>
    </row>
    <row r="17" spans="1:22">
      <c r="A17" s="400">
        <v>15</v>
      </c>
      <c r="B17" s="300" t="str">
        <f>+PERBULAN!B20</f>
        <v>YESI</v>
      </c>
      <c r="C17" s="402" t="s">
        <v>73</v>
      </c>
      <c r="D17" s="289">
        <v>0</v>
      </c>
      <c r="E17" s="289">
        <v>0</v>
      </c>
      <c r="F17" s="289">
        <v>121688</v>
      </c>
      <c r="G17" s="289">
        <v>0</v>
      </c>
      <c r="H17" s="289"/>
      <c r="I17" s="289">
        <v>0</v>
      </c>
      <c r="J17" s="289"/>
      <c r="K17" s="289">
        <v>0</v>
      </c>
      <c r="L17" s="289">
        <v>0</v>
      </c>
      <c r="M17" s="289">
        <v>0</v>
      </c>
      <c r="N17" s="289">
        <v>0</v>
      </c>
      <c r="O17" s="289">
        <v>0</v>
      </c>
      <c r="P17" s="289">
        <v>0</v>
      </c>
      <c r="Q17" s="289"/>
      <c r="R17" s="404">
        <f t="shared" si="0"/>
        <v>121688</v>
      </c>
      <c r="S17" s="401">
        <v>0</v>
      </c>
      <c r="T17" s="404">
        <f t="shared" si="1"/>
        <v>121688</v>
      </c>
      <c r="V17" s="404">
        <f t="shared" si="2"/>
        <v>11</v>
      </c>
    </row>
    <row r="18" spans="1:22">
      <c r="A18" s="400">
        <v>16</v>
      </c>
      <c r="B18" s="300" t="str">
        <f>+PERBULAN!B21</f>
        <v>WAKINI</v>
      </c>
      <c r="C18" s="402" t="s">
        <v>73</v>
      </c>
      <c r="D18" s="289">
        <v>0</v>
      </c>
      <c r="E18" s="289">
        <v>0</v>
      </c>
      <c r="F18" s="289">
        <v>123660</v>
      </c>
      <c r="G18" s="289">
        <v>0</v>
      </c>
      <c r="H18" s="289"/>
      <c r="I18" s="289">
        <v>0</v>
      </c>
      <c r="J18" s="289"/>
      <c r="K18" s="289">
        <v>0</v>
      </c>
      <c r="L18" s="289">
        <v>0</v>
      </c>
      <c r="M18" s="289">
        <v>0</v>
      </c>
      <c r="N18" s="289">
        <v>0</v>
      </c>
      <c r="O18" s="289">
        <v>0</v>
      </c>
      <c r="P18" s="289">
        <v>0</v>
      </c>
      <c r="Q18" s="289"/>
      <c r="R18" s="404">
        <f t="shared" si="0"/>
        <v>123660</v>
      </c>
      <c r="S18" s="401">
        <v>0</v>
      </c>
      <c r="T18" s="404">
        <f t="shared" si="1"/>
        <v>123660</v>
      </c>
      <c r="V18" s="404">
        <f t="shared" si="2"/>
        <v>11</v>
      </c>
    </row>
    <row r="19" spans="1:22">
      <c r="A19" s="400">
        <v>17</v>
      </c>
      <c r="B19" s="300" t="str">
        <f>+PERBULAN!B22</f>
        <v>WITA SARI</v>
      </c>
      <c r="C19" s="402" t="s">
        <v>359</v>
      </c>
      <c r="D19" s="403">
        <v>0</v>
      </c>
      <c r="E19" s="289">
        <v>0</v>
      </c>
      <c r="F19" s="289">
        <v>123660</v>
      </c>
      <c r="G19" s="289">
        <v>0</v>
      </c>
      <c r="H19" s="289"/>
      <c r="I19" s="289">
        <v>0</v>
      </c>
      <c r="J19" s="289"/>
      <c r="K19" s="289">
        <v>0</v>
      </c>
      <c r="L19" s="289">
        <v>0</v>
      </c>
      <c r="M19" s="289">
        <v>0</v>
      </c>
      <c r="N19" s="289">
        <v>0</v>
      </c>
      <c r="O19" s="289">
        <v>0</v>
      </c>
      <c r="P19" s="289">
        <v>0</v>
      </c>
      <c r="Q19" s="289"/>
      <c r="R19" s="404">
        <f t="shared" si="0"/>
        <v>123660</v>
      </c>
      <c r="S19" s="401">
        <v>0</v>
      </c>
      <c r="T19" s="404">
        <f t="shared" si="1"/>
        <v>123660</v>
      </c>
      <c r="V19" s="404">
        <f t="shared" si="2"/>
        <v>11</v>
      </c>
    </row>
    <row r="20" spans="1:22">
      <c r="A20" s="400">
        <v>18</v>
      </c>
      <c r="B20" s="300" t="str">
        <f>+PERBULAN!B23</f>
        <v>SARWANDI</v>
      </c>
      <c r="C20" s="402" t="s">
        <v>360</v>
      </c>
      <c r="D20" s="289">
        <v>0</v>
      </c>
      <c r="E20" s="289">
        <v>0</v>
      </c>
      <c r="F20" s="289">
        <v>123559</v>
      </c>
      <c r="G20" s="289">
        <v>0</v>
      </c>
      <c r="H20" s="289"/>
      <c r="I20" s="289">
        <v>0</v>
      </c>
      <c r="J20" s="289"/>
      <c r="K20" s="289">
        <v>0</v>
      </c>
      <c r="L20" s="289">
        <v>0</v>
      </c>
      <c r="M20" s="289">
        <v>0</v>
      </c>
      <c r="N20" s="289">
        <v>0</v>
      </c>
      <c r="O20" s="289">
        <v>0</v>
      </c>
      <c r="P20" s="289">
        <v>0</v>
      </c>
      <c r="Q20" s="289"/>
      <c r="R20" s="404">
        <f t="shared" si="0"/>
        <v>123559</v>
      </c>
      <c r="S20" s="401">
        <v>0</v>
      </c>
      <c r="T20" s="404">
        <f t="shared" si="1"/>
        <v>123559</v>
      </c>
      <c r="V20" s="404">
        <f t="shared" si="2"/>
        <v>11</v>
      </c>
    </row>
    <row r="21" spans="1:22">
      <c r="A21" s="400">
        <v>19</v>
      </c>
      <c r="B21" s="300" t="str">
        <f>+PERBULAN!B24</f>
        <v>ANI MARIA</v>
      </c>
      <c r="C21" s="402" t="s">
        <v>361</v>
      </c>
      <c r="D21" s="289">
        <v>0</v>
      </c>
      <c r="E21" s="289">
        <v>0</v>
      </c>
      <c r="F21" s="289">
        <v>124548</v>
      </c>
      <c r="G21" s="289">
        <v>0</v>
      </c>
      <c r="H21" s="289"/>
      <c r="I21" s="289">
        <v>0</v>
      </c>
      <c r="J21" s="289"/>
      <c r="K21" s="289">
        <v>0</v>
      </c>
      <c r="L21" s="289">
        <v>0</v>
      </c>
      <c r="M21" s="289">
        <v>0</v>
      </c>
      <c r="N21" s="289">
        <v>0</v>
      </c>
      <c r="O21" s="289">
        <v>0</v>
      </c>
      <c r="P21" s="289">
        <v>0</v>
      </c>
      <c r="Q21" s="289"/>
      <c r="R21" s="404">
        <f t="shared" si="0"/>
        <v>124548</v>
      </c>
      <c r="S21" s="401">
        <v>0</v>
      </c>
      <c r="T21" s="404">
        <f t="shared" si="1"/>
        <v>124548</v>
      </c>
      <c r="V21" s="404">
        <f t="shared" si="2"/>
        <v>11</v>
      </c>
    </row>
    <row r="22" spans="1:22">
      <c r="A22" s="400">
        <v>20</v>
      </c>
      <c r="B22" s="300" t="str">
        <f>+PERBULAN!B25</f>
        <v>YULIARDI</v>
      </c>
      <c r="C22" s="402" t="s">
        <v>362</v>
      </c>
      <c r="D22" s="289">
        <v>0</v>
      </c>
      <c r="E22" s="289">
        <v>0</v>
      </c>
      <c r="F22" s="289">
        <v>82421</v>
      </c>
      <c r="G22" s="289">
        <v>0</v>
      </c>
      <c r="H22" s="289"/>
      <c r="I22" s="289">
        <v>0</v>
      </c>
      <c r="J22" s="289"/>
      <c r="K22" s="289">
        <v>0</v>
      </c>
      <c r="L22" s="289">
        <v>0</v>
      </c>
      <c r="M22" s="289">
        <v>0</v>
      </c>
      <c r="N22" s="289">
        <v>0</v>
      </c>
      <c r="O22" s="289">
        <v>0</v>
      </c>
      <c r="P22" s="289">
        <v>0</v>
      </c>
      <c r="Q22" s="289"/>
      <c r="R22" s="404">
        <f t="shared" si="0"/>
        <v>82421</v>
      </c>
      <c r="S22" s="401">
        <v>0</v>
      </c>
      <c r="T22" s="404">
        <f t="shared" si="1"/>
        <v>82421</v>
      </c>
      <c r="V22" s="404">
        <f t="shared" si="2"/>
        <v>11</v>
      </c>
    </row>
    <row r="23" spans="1:22">
      <c r="A23" s="400">
        <v>21</v>
      </c>
      <c r="B23" s="300" t="str">
        <f>+PERBULAN!B26</f>
        <v>YADI</v>
      </c>
      <c r="C23" s="402" t="s">
        <v>73</v>
      </c>
      <c r="D23" s="289">
        <v>0</v>
      </c>
      <c r="E23" s="289">
        <v>0</v>
      </c>
      <c r="F23" s="289">
        <v>83228</v>
      </c>
      <c r="G23" s="289">
        <v>0</v>
      </c>
      <c r="H23" s="289"/>
      <c r="I23" s="289">
        <v>0</v>
      </c>
      <c r="J23" s="289"/>
      <c r="K23" s="289">
        <v>0</v>
      </c>
      <c r="L23" s="289">
        <v>0</v>
      </c>
      <c r="M23" s="289">
        <v>0</v>
      </c>
      <c r="N23" s="289">
        <v>0</v>
      </c>
      <c r="O23" s="289">
        <v>0</v>
      </c>
      <c r="P23" s="289">
        <v>0</v>
      </c>
      <c r="Q23" s="289"/>
      <c r="R23" s="404">
        <f t="shared" si="0"/>
        <v>83228</v>
      </c>
      <c r="S23" s="401">
        <v>0</v>
      </c>
      <c r="T23" s="404">
        <f t="shared" si="1"/>
        <v>83228</v>
      </c>
      <c r="V23" s="404">
        <f t="shared" si="2"/>
        <v>11</v>
      </c>
    </row>
    <row r="24" spans="1:22">
      <c r="A24" s="400">
        <v>22</v>
      </c>
      <c r="B24" s="300" t="str">
        <f>+PERBULAN!B27</f>
        <v>YEKILIA</v>
      </c>
      <c r="C24" s="402" t="s">
        <v>363</v>
      </c>
      <c r="D24" s="289">
        <v>0</v>
      </c>
      <c r="E24" s="289">
        <v>0</v>
      </c>
      <c r="F24" s="289">
        <v>123660</v>
      </c>
      <c r="G24" s="289">
        <v>0</v>
      </c>
      <c r="H24" s="289"/>
      <c r="I24" s="289">
        <v>0</v>
      </c>
      <c r="J24" s="289"/>
      <c r="K24" s="289">
        <v>0</v>
      </c>
      <c r="L24" s="289">
        <v>0</v>
      </c>
      <c r="M24" s="289">
        <v>0</v>
      </c>
      <c r="N24" s="289">
        <v>0</v>
      </c>
      <c r="O24" s="289">
        <v>0</v>
      </c>
      <c r="P24" s="289">
        <v>0</v>
      </c>
      <c r="Q24" s="289"/>
      <c r="R24" s="404">
        <f t="shared" si="0"/>
        <v>123660</v>
      </c>
      <c r="S24" s="401">
        <v>0</v>
      </c>
      <c r="T24" s="404">
        <f t="shared" si="1"/>
        <v>123660</v>
      </c>
      <c r="V24" s="404">
        <f t="shared" si="2"/>
        <v>11</v>
      </c>
    </row>
    <row r="25" spans="1:22">
      <c r="A25" s="400">
        <v>23</v>
      </c>
      <c r="B25" s="300" t="str">
        <f>+PERBULAN!B28</f>
        <v>LESMANA GIRI</v>
      </c>
      <c r="C25" s="402" t="s">
        <v>73</v>
      </c>
      <c r="D25" s="289">
        <v>0</v>
      </c>
      <c r="E25" s="289">
        <v>0</v>
      </c>
      <c r="F25" s="289">
        <v>117270</v>
      </c>
      <c r="G25" s="289">
        <v>0</v>
      </c>
      <c r="H25" s="289"/>
      <c r="I25" s="289">
        <v>0</v>
      </c>
      <c r="J25" s="289"/>
      <c r="K25" s="289">
        <v>0</v>
      </c>
      <c r="L25" s="289">
        <v>0</v>
      </c>
      <c r="M25" s="289">
        <v>0</v>
      </c>
      <c r="N25" s="289">
        <v>0</v>
      </c>
      <c r="O25" s="289">
        <v>0</v>
      </c>
      <c r="P25" s="289">
        <v>0</v>
      </c>
      <c r="Q25" s="289"/>
      <c r="R25" s="404">
        <f t="shared" si="0"/>
        <v>117270</v>
      </c>
      <c r="S25" s="401">
        <v>0</v>
      </c>
      <c r="T25" s="404">
        <f t="shared" si="1"/>
        <v>117270</v>
      </c>
      <c r="V25" s="404">
        <f t="shared" si="2"/>
        <v>11</v>
      </c>
    </row>
    <row r="26" spans="1:22">
      <c r="A26" s="400">
        <v>24</v>
      </c>
      <c r="B26" s="300" t="str">
        <f>+PERBULAN!B29</f>
        <v>RAFIKA UDIN</v>
      </c>
      <c r="C26" s="419" t="s">
        <v>402</v>
      </c>
      <c r="D26" s="289">
        <v>0</v>
      </c>
      <c r="E26" s="289">
        <v>0</v>
      </c>
      <c r="F26" s="289">
        <v>121183</v>
      </c>
      <c r="G26" s="289">
        <v>0</v>
      </c>
      <c r="H26" s="289"/>
      <c r="I26" s="289">
        <v>0</v>
      </c>
      <c r="J26" s="289"/>
      <c r="K26" s="289">
        <v>0</v>
      </c>
      <c r="L26" s="289">
        <v>0</v>
      </c>
      <c r="M26" s="289">
        <v>0</v>
      </c>
      <c r="N26" s="289">
        <v>0</v>
      </c>
      <c r="O26" s="289">
        <v>0</v>
      </c>
      <c r="P26" s="417">
        <v>0</v>
      </c>
      <c r="Q26" s="289"/>
      <c r="R26" s="404">
        <f>SUM(D26:Q26)</f>
        <v>121183</v>
      </c>
      <c r="S26" s="401">
        <v>0</v>
      </c>
      <c r="T26" s="404">
        <f>R26-S26</f>
        <v>121183</v>
      </c>
      <c r="V26" s="404">
        <f>COUNT(D26:Q26)-COUNT(H26)-COUNT(J26)</f>
        <v>11</v>
      </c>
    </row>
    <row r="27" spans="1:22">
      <c r="A27" s="400">
        <v>25</v>
      </c>
      <c r="B27" s="300" t="str">
        <f>+PERBULAN!B30</f>
        <v>MARDIANSYAH</v>
      </c>
      <c r="C27" s="419" t="s">
        <v>410</v>
      </c>
      <c r="D27" s="289">
        <v>0</v>
      </c>
      <c r="E27" s="289">
        <v>0</v>
      </c>
      <c r="F27" s="289">
        <v>80787</v>
      </c>
      <c r="G27" s="289">
        <v>0</v>
      </c>
      <c r="H27" s="289"/>
      <c r="I27" s="289">
        <v>0</v>
      </c>
      <c r="J27" s="289"/>
      <c r="K27" s="289">
        <v>0</v>
      </c>
      <c r="L27" s="289">
        <v>0</v>
      </c>
      <c r="M27" s="289">
        <v>0</v>
      </c>
      <c r="N27" s="289">
        <v>0</v>
      </c>
      <c r="O27" s="289">
        <v>0</v>
      </c>
      <c r="P27" s="417">
        <v>0</v>
      </c>
      <c r="Q27" s="405"/>
      <c r="R27" s="404">
        <f>SUM(D27:Q27)</f>
        <v>80787</v>
      </c>
      <c r="S27" s="401">
        <v>0</v>
      </c>
      <c r="T27" s="404">
        <f>R27-S27</f>
        <v>80787</v>
      </c>
      <c r="V27" s="404">
        <f>COUNT(D27:Q27)-COUNT(H27)-COUNT(J27)</f>
        <v>11</v>
      </c>
    </row>
    <row r="28" spans="1:22">
      <c r="A28" s="400">
        <v>26</v>
      </c>
      <c r="B28" s="300" t="str">
        <f>+PERBULAN!B31</f>
        <v>SUTRISNO</v>
      </c>
      <c r="C28" s="407" t="s">
        <v>414</v>
      </c>
      <c r="D28" s="289">
        <v>0</v>
      </c>
      <c r="E28" s="289">
        <v>0</v>
      </c>
      <c r="F28" s="406">
        <v>85116</v>
      </c>
      <c r="G28" s="289">
        <v>0</v>
      </c>
      <c r="H28" s="289">
        <v>0</v>
      </c>
      <c r="I28" s="289">
        <v>0</v>
      </c>
      <c r="J28" s="289">
        <v>0</v>
      </c>
      <c r="K28" s="289">
        <v>0</v>
      </c>
      <c r="L28" s="406">
        <v>0</v>
      </c>
      <c r="M28" s="406">
        <v>0</v>
      </c>
      <c r="N28" s="289">
        <v>0</v>
      </c>
      <c r="O28" s="289">
        <v>0</v>
      </c>
      <c r="P28" s="289">
        <v>0</v>
      </c>
      <c r="Q28" s="531"/>
      <c r="R28" s="404">
        <f t="shared" ref="R28:R29" si="3">SUM(D28:Q28)</f>
        <v>85116</v>
      </c>
      <c r="S28" s="401">
        <v>0</v>
      </c>
      <c r="T28" s="404">
        <f t="shared" ref="T28:T37" si="4">R28-S28</f>
        <v>85116</v>
      </c>
      <c r="V28" s="404">
        <f t="shared" ref="V28:V37" si="5">COUNT(D28:Q28)-COUNT(H28)-COUNT(J28)</f>
        <v>11</v>
      </c>
    </row>
    <row r="29" spans="1:22">
      <c r="A29" s="400">
        <v>27</v>
      </c>
      <c r="B29" s="300" t="str">
        <f>+PERBULAN!B32</f>
        <v>SLAMET UNTUNG</v>
      </c>
      <c r="C29" s="407" t="s">
        <v>73</v>
      </c>
      <c r="D29" s="289">
        <v>0</v>
      </c>
      <c r="E29" s="289">
        <v>0</v>
      </c>
      <c r="F29" s="406">
        <v>82565</v>
      </c>
      <c r="G29" s="289">
        <v>0</v>
      </c>
      <c r="H29" s="289">
        <v>0</v>
      </c>
      <c r="I29" s="289">
        <v>0</v>
      </c>
      <c r="J29" s="289">
        <v>0</v>
      </c>
      <c r="K29" s="289">
        <v>0</v>
      </c>
      <c r="L29" s="406">
        <v>0</v>
      </c>
      <c r="M29" s="406">
        <v>0</v>
      </c>
      <c r="N29" s="289">
        <v>0</v>
      </c>
      <c r="O29" s="289">
        <v>0</v>
      </c>
      <c r="P29" s="289">
        <v>0</v>
      </c>
      <c r="Q29" s="531"/>
      <c r="R29" s="404">
        <f t="shared" si="3"/>
        <v>82565</v>
      </c>
      <c r="S29" s="401">
        <v>0</v>
      </c>
      <c r="T29" s="404">
        <f t="shared" si="4"/>
        <v>82565</v>
      </c>
      <c r="V29" s="404">
        <f t="shared" si="5"/>
        <v>11</v>
      </c>
    </row>
    <row r="30" spans="1:22">
      <c r="A30" s="400">
        <v>28</v>
      </c>
      <c r="B30" s="300" t="str">
        <f>+PERBULAN!B33</f>
        <v>WAFIQ AMANDA</v>
      </c>
      <c r="C30" s="407" t="s">
        <v>73</v>
      </c>
      <c r="D30" s="289">
        <v>0</v>
      </c>
      <c r="E30" s="289">
        <v>0</v>
      </c>
      <c r="F30" s="289">
        <v>64325</v>
      </c>
      <c r="G30" s="289">
        <v>0</v>
      </c>
      <c r="H30" s="289"/>
      <c r="I30" s="289">
        <v>0</v>
      </c>
      <c r="J30" s="289"/>
      <c r="K30" s="289">
        <v>0</v>
      </c>
      <c r="L30" s="289">
        <v>0</v>
      </c>
      <c r="M30" s="289">
        <v>0</v>
      </c>
      <c r="N30" s="289">
        <v>0</v>
      </c>
      <c r="O30" s="289">
        <v>0</v>
      </c>
      <c r="P30" s="289">
        <v>0</v>
      </c>
      <c r="Q30" s="289"/>
      <c r="R30" s="404">
        <f t="shared" ref="R30:R110" si="6">SUM(D30:Q30)</f>
        <v>64325</v>
      </c>
      <c r="S30" s="401">
        <v>0</v>
      </c>
      <c r="T30" s="404">
        <f t="shared" si="4"/>
        <v>64325</v>
      </c>
      <c r="V30" s="404">
        <f t="shared" si="5"/>
        <v>11</v>
      </c>
    </row>
    <row r="31" spans="1:22">
      <c r="A31" s="400">
        <v>29</v>
      </c>
      <c r="B31" s="300" t="str">
        <f>+PERBULAN!B34</f>
        <v>HERI GUNAWAN</v>
      </c>
      <c r="C31" s="407" t="s">
        <v>525</v>
      </c>
      <c r="D31" s="289">
        <v>0</v>
      </c>
      <c r="E31" s="289">
        <v>0</v>
      </c>
      <c r="F31" s="289">
        <v>83768</v>
      </c>
      <c r="G31" s="289">
        <v>0</v>
      </c>
      <c r="H31" s="289"/>
      <c r="I31" s="289">
        <v>0</v>
      </c>
      <c r="J31" s="289"/>
      <c r="K31" s="289">
        <v>0</v>
      </c>
      <c r="L31" s="289">
        <v>0</v>
      </c>
      <c r="M31" s="289">
        <v>0</v>
      </c>
      <c r="N31" s="289">
        <v>0</v>
      </c>
      <c r="O31" s="289">
        <v>0</v>
      </c>
      <c r="P31" s="289">
        <v>0</v>
      </c>
      <c r="Q31" s="289"/>
      <c r="R31" s="404">
        <f t="shared" si="6"/>
        <v>83768</v>
      </c>
      <c r="S31" s="401">
        <v>0</v>
      </c>
      <c r="T31" s="404">
        <f t="shared" si="4"/>
        <v>83768</v>
      </c>
      <c r="V31" s="404">
        <f t="shared" si="5"/>
        <v>11</v>
      </c>
    </row>
    <row r="32" spans="1:22">
      <c r="A32" s="400">
        <v>30</v>
      </c>
      <c r="B32" s="300" t="str">
        <f>+PERBULAN!B35</f>
        <v>BOBI SAPUTRA</v>
      </c>
      <c r="C32" s="407" t="s">
        <v>73</v>
      </c>
      <c r="D32" s="289">
        <v>0</v>
      </c>
      <c r="E32" s="289">
        <v>0</v>
      </c>
      <c r="F32" s="289">
        <v>84149</v>
      </c>
      <c r="G32" s="289">
        <v>0</v>
      </c>
      <c r="H32" s="289"/>
      <c r="I32" s="289">
        <v>0</v>
      </c>
      <c r="J32" s="289"/>
      <c r="K32" s="289">
        <v>0</v>
      </c>
      <c r="L32" s="289">
        <v>0</v>
      </c>
      <c r="M32" s="289">
        <v>0</v>
      </c>
      <c r="N32" s="289">
        <v>0</v>
      </c>
      <c r="O32" s="289">
        <v>0</v>
      </c>
      <c r="P32" s="289">
        <v>0</v>
      </c>
      <c r="Q32" s="289"/>
      <c r="R32" s="404">
        <f t="shared" si="6"/>
        <v>84149</v>
      </c>
      <c r="S32" s="401">
        <v>0</v>
      </c>
      <c r="T32" s="404">
        <f t="shared" si="4"/>
        <v>84149</v>
      </c>
      <c r="V32" s="404">
        <f t="shared" si="5"/>
        <v>11</v>
      </c>
    </row>
    <row r="33" spans="1:22">
      <c r="A33" s="400">
        <v>31</v>
      </c>
      <c r="B33" s="300" t="str">
        <f>+PERBULAN!B36</f>
        <v>JULIANSYAH</v>
      </c>
      <c r="C33" s="407" t="s">
        <v>526</v>
      </c>
      <c r="D33" s="289">
        <v>0</v>
      </c>
      <c r="E33" s="289">
        <v>0</v>
      </c>
      <c r="F33" s="289">
        <v>123690</v>
      </c>
      <c r="G33" s="289">
        <v>0</v>
      </c>
      <c r="H33" s="289"/>
      <c r="I33" s="289">
        <v>0</v>
      </c>
      <c r="J33" s="289"/>
      <c r="K33" s="289">
        <v>0</v>
      </c>
      <c r="L33" s="289">
        <v>0</v>
      </c>
      <c r="M33" s="289">
        <v>0</v>
      </c>
      <c r="N33" s="289">
        <v>0</v>
      </c>
      <c r="O33" s="289">
        <v>0</v>
      </c>
      <c r="P33" s="289">
        <v>0</v>
      </c>
      <c r="Q33" s="289"/>
      <c r="R33" s="404">
        <f t="shared" si="6"/>
        <v>123690</v>
      </c>
      <c r="S33" s="401">
        <v>0</v>
      </c>
      <c r="T33" s="404">
        <f t="shared" si="4"/>
        <v>123690</v>
      </c>
      <c r="V33" s="404">
        <f t="shared" si="5"/>
        <v>11</v>
      </c>
    </row>
    <row r="34" spans="1:22">
      <c r="A34" s="400">
        <v>32</v>
      </c>
      <c r="B34" s="300" t="str">
        <f>+PERBULAN!B37</f>
        <v>ARDIANTO</v>
      </c>
      <c r="C34" s="407" t="s">
        <v>373</v>
      </c>
      <c r="D34" s="289">
        <v>52507</v>
      </c>
      <c r="E34" s="289">
        <v>54398</v>
      </c>
      <c r="F34" s="289">
        <v>155414</v>
      </c>
      <c r="G34" s="289">
        <v>52542</v>
      </c>
      <c r="H34" s="289"/>
      <c r="I34" s="289">
        <v>78479</v>
      </c>
      <c r="J34" s="289"/>
      <c r="K34" s="289">
        <v>15991</v>
      </c>
      <c r="L34" s="289">
        <v>16187</v>
      </c>
      <c r="M34" s="289">
        <v>34118</v>
      </c>
      <c r="N34" s="289">
        <v>15841</v>
      </c>
      <c r="O34" s="289">
        <v>34197</v>
      </c>
      <c r="P34" s="289">
        <v>16031</v>
      </c>
      <c r="Q34" s="289"/>
      <c r="R34" s="404">
        <f t="shared" si="6"/>
        <v>525705</v>
      </c>
      <c r="S34" s="401">
        <v>0</v>
      </c>
      <c r="T34" s="404">
        <f t="shared" si="4"/>
        <v>525705</v>
      </c>
      <c r="V34" s="404">
        <f t="shared" si="5"/>
        <v>11</v>
      </c>
    </row>
    <row r="35" spans="1:22">
      <c r="A35" s="400">
        <v>33</v>
      </c>
      <c r="B35" s="300" t="str">
        <f>+PERBULAN!B38</f>
        <v xml:space="preserve">JUNI </v>
      </c>
      <c r="C35" s="407" t="s">
        <v>374</v>
      </c>
      <c r="D35" s="289">
        <v>52327</v>
      </c>
      <c r="E35" s="289">
        <v>54190</v>
      </c>
      <c r="F35" s="289">
        <v>154947</v>
      </c>
      <c r="G35" s="289">
        <v>34007</v>
      </c>
      <c r="H35" s="289"/>
      <c r="I35" s="289">
        <v>75843</v>
      </c>
      <c r="J35" s="289"/>
      <c r="K35" s="289">
        <v>15553</v>
      </c>
      <c r="L35" s="289">
        <v>32866</v>
      </c>
      <c r="M35" s="289">
        <v>33255</v>
      </c>
      <c r="N35" s="289">
        <v>15627</v>
      </c>
      <c r="O35" s="289">
        <v>34048</v>
      </c>
      <c r="P35" s="289">
        <v>15993</v>
      </c>
      <c r="Q35" s="289"/>
      <c r="R35" s="404">
        <f t="shared" si="6"/>
        <v>518656</v>
      </c>
      <c r="S35" s="401">
        <v>0</v>
      </c>
      <c r="T35" s="404">
        <f t="shared" si="4"/>
        <v>518656</v>
      </c>
      <c r="V35" s="404">
        <f t="shared" si="5"/>
        <v>11</v>
      </c>
    </row>
    <row r="36" spans="1:22">
      <c r="A36" s="400">
        <v>34</v>
      </c>
      <c r="B36" s="300" t="str">
        <f>+PERBULAN!B39</f>
        <v>DARMAWAN</v>
      </c>
      <c r="C36" s="407" t="s">
        <v>512</v>
      </c>
      <c r="D36" s="289">
        <v>84619</v>
      </c>
      <c r="E36" s="289">
        <v>88047</v>
      </c>
      <c r="F36" s="289">
        <v>231405</v>
      </c>
      <c r="G36" s="289">
        <v>88439</v>
      </c>
      <c r="H36" s="289"/>
      <c r="I36" s="289">
        <v>122140</v>
      </c>
      <c r="J36" s="289"/>
      <c r="K36" s="289">
        <v>29476</v>
      </c>
      <c r="L36" s="289">
        <v>66282</v>
      </c>
      <c r="M36" s="289">
        <v>64974</v>
      </c>
      <c r="N36" s="289">
        <v>65933</v>
      </c>
      <c r="O36" s="289">
        <v>29373</v>
      </c>
      <c r="P36" s="289">
        <v>29172</v>
      </c>
      <c r="Q36" s="289"/>
      <c r="R36" s="404">
        <f t="shared" si="6"/>
        <v>899860</v>
      </c>
      <c r="S36" s="401">
        <v>0</v>
      </c>
      <c r="T36" s="404">
        <f t="shared" si="4"/>
        <v>899860</v>
      </c>
      <c r="V36" s="404">
        <f t="shared" si="5"/>
        <v>11</v>
      </c>
    </row>
    <row r="37" spans="1:22">
      <c r="A37" s="400">
        <v>35</v>
      </c>
      <c r="B37" s="300" t="str">
        <f>+PERBULAN!B40</f>
        <v>DEDI NOPRIADI</v>
      </c>
      <c r="C37" s="407" t="s">
        <v>73</v>
      </c>
      <c r="D37" s="289">
        <v>33362</v>
      </c>
      <c r="E37" s="289">
        <v>53634</v>
      </c>
      <c r="F37" s="289">
        <v>152708</v>
      </c>
      <c r="G37" s="289">
        <v>52653</v>
      </c>
      <c r="H37" s="289"/>
      <c r="I37" s="289">
        <v>80256</v>
      </c>
      <c r="J37" s="289"/>
      <c r="K37" s="289">
        <v>0</v>
      </c>
      <c r="L37" s="289">
        <v>33467</v>
      </c>
      <c r="M37" s="289">
        <v>32657</v>
      </c>
      <c r="N37" s="289">
        <v>0</v>
      </c>
      <c r="O37" s="289">
        <v>0</v>
      </c>
      <c r="P37" s="289">
        <v>0</v>
      </c>
      <c r="Q37" s="289"/>
      <c r="R37" s="404">
        <f t="shared" si="6"/>
        <v>438737</v>
      </c>
      <c r="S37" s="401">
        <v>0</v>
      </c>
      <c r="T37" s="404">
        <f t="shared" si="4"/>
        <v>438737</v>
      </c>
      <c r="V37" s="404">
        <f t="shared" si="5"/>
        <v>11</v>
      </c>
    </row>
    <row r="38" spans="1:22">
      <c r="A38" s="400">
        <v>36</v>
      </c>
      <c r="B38" s="300" t="str">
        <f>+PERBULAN!B41</f>
        <v>IRWANTO</v>
      </c>
      <c r="C38" s="407" t="str">
        <f>+Des!E41</f>
        <v>97.228.308.9-305.000</v>
      </c>
      <c r="D38" s="289">
        <v>0</v>
      </c>
      <c r="E38" s="289">
        <v>0</v>
      </c>
      <c r="F38" s="289">
        <v>85372</v>
      </c>
      <c r="G38" s="289">
        <v>0</v>
      </c>
      <c r="H38" s="289"/>
      <c r="I38" s="289">
        <v>0</v>
      </c>
      <c r="J38" s="289"/>
      <c r="K38" s="289">
        <v>0</v>
      </c>
      <c r="L38" s="289">
        <v>0</v>
      </c>
      <c r="M38" s="289">
        <v>0</v>
      </c>
      <c r="N38" s="289">
        <v>0</v>
      </c>
      <c r="O38" s="289">
        <v>0</v>
      </c>
      <c r="P38" s="289">
        <v>0</v>
      </c>
      <c r="Q38" s="289"/>
      <c r="R38" s="404">
        <f t="shared" si="6"/>
        <v>85372</v>
      </c>
      <c r="S38" s="401">
        <v>0</v>
      </c>
      <c r="T38" s="404">
        <f t="shared" ref="T38:T100" si="7">R38-S38</f>
        <v>85372</v>
      </c>
      <c r="V38" s="404">
        <f t="shared" ref="V38:V100" si="8">COUNT(D38:Q38)-COUNT(H38)-COUNT(J38)</f>
        <v>11</v>
      </c>
    </row>
    <row r="39" spans="1:22">
      <c r="A39" s="400">
        <v>37</v>
      </c>
      <c r="B39" s="300" t="str">
        <f>+PERBULAN!B42</f>
        <v>ISRIN YUNUPITA</v>
      </c>
      <c r="C39" s="407" t="str">
        <f>+Des!E42</f>
        <v>55.159.631.5-305.000</v>
      </c>
      <c r="D39" s="289">
        <v>0</v>
      </c>
      <c r="E39" s="289">
        <v>0</v>
      </c>
      <c r="F39" s="289">
        <v>122147</v>
      </c>
      <c r="G39" s="289">
        <v>0</v>
      </c>
      <c r="H39" s="289"/>
      <c r="I39" s="289">
        <v>0</v>
      </c>
      <c r="J39" s="289"/>
      <c r="K39" s="289">
        <v>0</v>
      </c>
      <c r="L39" s="289">
        <v>0</v>
      </c>
      <c r="M39" s="289">
        <v>0</v>
      </c>
      <c r="N39" s="289">
        <v>0</v>
      </c>
      <c r="O39" s="289">
        <v>0</v>
      </c>
      <c r="P39" s="289">
        <v>0</v>
      </c>
      <c r="Q39" s="289"/>
      <c r="R39" s="404">
        <f t="shared" si="6"/>
        <v>122147</v>
      </c>
      <c r="S39" s="401">
        <v>0</v>
      </c>
      <c r="T39" s="404">
        <f t="shared" si="7"/>
        <v>122147</v>
      </c>
      <c r="V39" s="404">
        <f t="shared" si="8"/>
        <v>11</v>
      </c>
    </row>
    <row r="40" spans="1:22">
      <c r="A40" s="400">
        <v>38</v>
      </c>
      <c r="B40" s="300" t="str">
        <f>+PERBULAN!B43</f>
        <v>ARYANI.K</v>
      </c>
      <c r="C40" s="407" t="str">
        <f>+Des!E43</f>
        <v>75.660.309.8-305.000</v>
      </c>
      <c r="D40" s="289">
        <v>0</v>
      </c>
      <c r="E40" s="289">
        <v>0</v>
      </c>
      <c r="F40" s="289">
        <v>119992</v>
      </c>
      <c r="G40" s="289">
        <v>0</v>
      </c>
      <c r="H40" s="289"/>
      <c r="I40" s="289">
        <v>0</v>
      </c>
      <c r="J40" s="289"/>
      <c r="K40" s="289">
        <v>0</v>
      </c>
      <c r="L40" s="289">
        <v>0</v>
      </c>
      <c r="M40" s="289">
        <v>0</v>
      </c>
      <c r="N40" s="289">
        <v>0</v>
      </c>
      <c r="O40" s="289">
        <v>0</v>
      </c>
      <c r="P40" s="289">
        <v>0</v>
      </c>
      <c r="Q40" s="289"/>
      <c r="R40" s="404">
        <f t="shared" si="6"/>
        <v>119992</v>
      </c>
      <c r="S40" s="401">
        <v>0</v>
      </c>
      <c r="T40" s="404">
        <f t="shared" si="7"/>
        <v>119992</v>
      </c>
      <c r="V40" s="404">
        <f t="shared" si="8"/>
        <v>11</v>
      </c>
    </row>
    <row r="41" spans="1:22">
      <c r="A41" s="400">
        <v>39</v>
      </c>
      <c r="B41" s="300" t="str">
        <f>+PERBULAN!B44</f>
        <v>HARYANTI ( K )</v>
      </c>
      <c r="C41" s="407" t="str">
        <f>+Des!E44</f>
        <v>55.166.675.3-305.000</v>
      </c>
      <c r="D41" s="289">
        <v>0</v>
      </c>
      <c r="E41" s="289">
        <v>0</v>
      </c>
      <c r="F41" s="289">
        <v>124119</v>
      </c>
      <c r="G41" s="289">
        <v>0</v>
      </c>
      <c r="H41" s="289"/>
      <c r="I41" s="289">
        <v>0</v>
      </c>
      <c r="J41" s="289"/>
      <c r="K41" s="289">
        <v>0</v>
      </c>
      <c r="L41" s="289">
        <v>0</v>
      </c>
      <c r="M41" s="289">
        <v>0</v>
      </c>
      <c r="N41" s="289">
        <v>0</v>
      </c>
      <c r="O41" s="289">
        <v>0</v>
      </c>
      <c r="P41" s="289">
        <v>0</v>
      </c>
      <c r="Q41" s="289"/>
      <c r="R41" s="404">
        <f t="shared" si="6"/>
        <v>124119</v>
      </c>
      <c r="S41" s="401">
        <v>0</v>
      </c>
      <c r="T41" s="404">
        <f t="shared" si="7"/>
        <v>124119</v>
      </c>
      <c r="V41" s="404">
        <f t="shared" si="8"/>
        <v>11</v>
      </c>
    </row>
    <row r="42" spans="1:22">
      <c r="A42" s="400">
        <v>40</v>
      </c>
      <c r="B42" s="300" t="str">
        <f>+PERBULAN!B45</f>
        <v>YUNIAR</v>
      </c>
      <c r="C42" s="407" t="str">
        <f>+Des!E45</f>
        <v>97.228.320.4-305.000</v>
      </c>
      <c r="D42" s="289">
        <v>0</v>
      </c>
      <c r="E42" s="289">
        <v>0</v>
      </c>
      <c r="F42" s="289">
        <v>124762</v>
      </c>
      <c r="G42" s="289">
        <v>0</v>
      </c>
      <c r="H42" s="289"/>
      <c r="I42" s="289">
        <v>0</v>
      </c>
      <c r="J42" s="289"/>
      <c r="K42" s="289">
        <v>0</v>
      </c>
      <c r="L42" s="289">
        <v>0</v>
      </c>
      <c r="M42" s="289">
        <v>0</v>
      </c>
      <c r="N42" s="289">
        <v>0</v>
      </c>
      <c r="O42" s="289">
        <v>0</v>
      </c>
      <c r="P42" s="289">
        <v>0</v>
      </c>
      <c r="Q42" s="289"/>
      <c r="R42" s="404">
        <f t="shared" si="6"/>
        <v>124762</v>
      </c>
      <c r="S42" s="401">
        <v>0</v>
      </c>
      <c r="T42" s="404">
        <f t="shared" si="7"/>
        <v>124762</v>
      </c>
      <c r="V42" s="404">
        <f t="shared" si="8"/>
        <v>11</v>
      </c>
    </row>
    <row r="43" spans="1:22">
      <c r="A43" s="400">
        <v>41</v>
      </c>
      <c r="B43" s="300" t="str">
        <f>+PERBULAN!B46</f>
        <v>NOVELA SYAKUR</v>
      </c>
      <c r="C43" s="407" t="str">
        <f>+Des!E46</f>
        <v>-</v>
      </c>
      <c r="D43" s="289">
        <v>0</v>
      </c>
      <c r="E43" s="289">
        <v>0</v>
      </c>
      <c r="F43" s="289">
        <v>123752</v>
      </c>
      <c r="G43" s="289">
        <v>0</v>
      </c>
      <c r="H43" s="289"/>
      <c r="I43" s="289">
        <v>46266</v>
      </c>
      <c r="J43" s="289"/>
      <c r="K43" s="289">
        <v>0</v>
      </c>
      <c r="L43" s="289">
        <v>0</v>
      </c>
      <c r="M43" s="289">
        <v>13641</v>
      </c>
      <c r="N43" s="289">
        <v>0</v>
      </c>
      <c r="O43" s="289">
        <v>0</v>
      </c>
      <c r="P43" s="289">
        <v>0</v>
      </c>
      <c r="Q43" s="289"/>
      <c r="R43" s="404">
        <f t="shared" si="6"/>
        <v>183659</v>
      </c>
      <c r="S43" s="401">
        <v>0</v>
      </c>
      <c r="T43" s="404">
        <f t="shared" si="7"/>
        <v>183659</v>
      </c>
      <c r="V43" s="404">
        <f t="shared" si="8"/>
        <v>11</v>
      </c>
    </row>
    <row r="44" spans="1:22">
      <c r="A44" s="400">
        <v>42</v>
      </c>
      <c r="B44" s="524" t="str">
        <f>+PERBULAN!B47</f>
        <v>KUDIN</v>
      </c>
      <c r="C44" s="525" t="str">
        <f>+Des!E47</f>
        <v>-</v>
      </c>
      <c r="D44" s="526">
        <v>0</v>
      </c>
      <c r="E44" s="526">
        <v>0</v>
      </c>
      <c r="F44" s="526">
        <v>122993</v>
      </c>
      <c r="G44" s="526">
        <v>0</v>
      </c>
      <c r="H44" s="526"/>
      <c r="I44" s="526">
        <v>0</v>
      </c>
      <c r="J44" s="526"/>
      <c r="K44" s="526">
        <v>0</v>
      </c>
      <c r="L44" s="526">
        <v>0</v>
      </c>
      <c r="M44" s="526"/>
      <c r="N44" s="526"/>
      <c r="O44" s="526"/>
      <c r="P44" s="526"/>
      <c r="Q44" s="526"/>
      <c r="R44" s="527">
        <f t="shared" si="6"/>
        <v>122993</v>
      </c>
      <c r="S44" s="528">
        <v>0</v>
      </c>
      <c r="T44" s="527">
        <f t="shared" si="7"/>
        <v>122993</v>
      </c>
      <c r="U44" s="523"/>
      <c r="V44" s="527">
        <f t="shared" si="8"/>
        <v>7</v>
      </c>
    </row>
    <row r="45" spans="1:22">
      <c r="A45" s="400">
        <v>43</v>
      </c>
      <c r="B45" s="300" t="str">
        <f>+PERBULAN!B48</f>
        <v>YULIATI</v>
      </c>
      <c r="C45" s="407" t="str">
        <f>+Des!E48</f>
        <v>-</v>
      </c>
      <c r="D45" s="289">
        <v>0</v>
      </c>
      <c r="E45" s="289">
        <v>0</v>
      </c>
      <c r="F45" s="289">
        <v>122055</v>
      </c>
      <c r="G45" s="289">
        <v>0</v>
      </c>
      <c r="H45" s="289"/>
      <c r="I45" s="289">
        <v>0</v>
      </c>
      <c r="J45" s="289"/>
      <c r="K45" s="289">
        <v>0</v>
      </c>
      <c r="L45" s="289">
        <v>0</v>
      </c>
      <c r="M45" s="289">
        <v>0</v>
      </c>
      <c r="N45" s="289">
        <v>0</v>
      </c>
      <c r="O45" s="289">
        <v>0</v>
      </c>
      <c r="P45" s="289">
        <v>0</v>
      </c>
      <c r="Q45" s="289"/>
      <c r="R45" s="404">
        <f t="shared" si="6"/>
        <v>122055</v>
      </c>
      <c r="S45" s="401">
        <v>0</v>
      </c>
      <c r="T45" s="404">
        <f t="shared" si="7"/>
        <v>122055</v>
      </c>
      <c r="V45" s="404">
        <f t="shared" si="8"/>
        <v>11</v>
      </c>
    </row>
    <row r="46" spans="1:22">
      <c r="A46" s="400">
        <v>44</v>
      </c>
      <c r="B46" s="300" t="str">
        <f>+PERBULAN!B49</f>
        <v>ROHAYA</v>
      </c>
      <c r="C46" s="407" t="str">
        <f>+Des!E49</f>
        <v>-</v>
      </c>
      <c r="D46" s="289">
        <v>0</v>
      </c>
      <c r="E46" s="289">
        <v>0</v>
      </c>
      <c r="F46" s="289">
        <v>123844</v>
      </c>
      <c r="G46" s="289">
        <v>0</v>
      </c>
      <c r="H46" s="289"/>
      <c r="I46" s="289">
        <v>0</v>
      </c>
      <c r="J46" s="289"/>
      <c r="K46" s="289">
        <v>0</v>
      </c>
      <c r="L46" s="289">
        <v>0</v>
      </c>
      <c r="M46" s="289">
        <v>0</v>
      </c>
      <c r="N46" s="289">
        <v>0</v>
      </c>
      <c r="O46" s="289">
        <v>0</v>
      </c>
      <c r="P46" s="289">
        <v>0</v>
      </c>
      <c r="Q46" s="289"/>
      <c r="R46" s="404">
        <f t="shared" si="6"/>
        <v>123844</v>
      </c>
      <c r="S46" s="401">
        <v>0</v>
      </c>
      <c r="T46" s="404">
        <f t="shared" si="7"/>
        <v>123844</v>
      </c>
      <c r="V46" s="404">
        <f t="shared" si="8"/>
        <v>11</v>
      </c>
    </row>
    <row r="47" spans="1:22">
      <c r="A47" s="400">
        <v>45</v>
      </c>
      <c r="B47" s="300" t="str">
        <f>+PERBULAN!B50</f>
        <v>ROSMIATI</v>
      </c>
      <c r="C47" s="407" t="str">
        <f>+Des!E50</f>
        <v>75.694.421.1-305.000</v>
      </c>
      <c r="D47" s="289">
        <v>0</v>
      </c>
      <c r="E47" s="289">
        <v>0</v>
      </c>
      <c r="F47" s="289">
        <v>124027</v>
      </c>
      <c r="G47" s="289">
        <v>0</v>
      </c>
      <c r="H47" s="289"/>
      <c r="I47" s="289">
        <v>0</v>
      </c>
      <c r="J47" s="289"/>
      <c r="K47" s="289">
        <v>0</v>
      </c>
      <c r="L47" s="289">
        <v>0</v>
      </c>
      <c r="M47" s="289">
        <v>0</v>
      </c>
      <c r="N47" s="289">
        <v>0</v>
      </c>
      <c r="O47" s="289">
        <v>0</v>
      </c>
      <c r="P47" s="289">
        <v>0</v>
      </c>
      <c r="Q47" s="289"/>
      <c r="R47" s="404">
        <f t="shared" si="6"/>
        <v>124027</v>
      </c>
      <c r="S47" s="401">
        <v>0</v>
      </c>
      <c r="T47" s="404">
        <f t="shared" si="7"/>
        <v>124027</v>
      </c>
      <c r="V47" s="404">
        <f t="shared" si="8"/>
        <v>11</v>
      </c>
    </row>
    <row r="48" spans="1:22">
      <c r="A48" s="400">
        <v>46</v>
      </c>
      <c r="B48" s="300" t="str">
        <f>+PERBULAN!B51</f>
        <v>ROSMINI</v>
      </c>
      <c r="C48" s="407" t="str">
        <f>+Des!E51</f>
        <v>75.694.309.8-305.000</v>
      </c>
      <c r="D48" s="289">
        <v>0</v>
      </c>
      <c r="E48" s="289">
        <v>0</v>
      </c>
      <c r="F48" s="289">
        <v>123844</v>
      </c>
      <c r="G48" s="289">
        <v>0</v>
      </c>
      <c r="H48" s="289"/>
      <c r="I48" s="289">
        <v>0</v>
      </c>
      <c r="J48" s="289"/>
      <c r="K48" s="289">
        <v>0</v>
      </c>
      <c r="L48" s="289">
        <v>0</v>
      </c>
      <c r="M48" s="289">
        <v>0</v>
      </c>
      <c r="N48" s="289">
        <v>0</v>
      </c>
      <c r="O48" s="289">
        <v>0</v>
      </c>
      <c r="P48" s="289">
        <v>0</v>
      </c>
      <c r="Q48" s="289"/>
      <c r="R48" s="404">
        <f t="shared" si="6"/>
        <v>123844</v>
      </c>
      <c r="S48" s="401">
        <v>0</v>
      </c>
      <c r="T48" s="404">
        <f t="shared" si="7"/>
        <v>123844</v>
      </c>
      <c r="V48" s="404">
        <f t="shared" si="8"/>
        <v>11</v>
      </c>
    </row>
    <row r="49" spans="1:22">
      <c r="A49" s="400">
        <v>47</v>
      </c>
      <c r="B49" s="300" t="str">
        <f>+PERBULAN!B52</f>
        <v>KURI</v>
      </c>
      <c r="C49" s="407" t="str">
        <f>+Des!E52</f>
        <v>97.228.658.7-305.000</v>
      </c>
      <c r="D49" s="289">
        <v>0</v>
      </c>
      <c r="E49" s="289">
        <v>0</v>
      </c>
      <c r="F49" s="289">
        <v>82604</v>
      </c>
      <c r="G49" s="289">
        <v>0</v>
      </c>
      <c r="H49" s="289"/>
      <c r="I49" s="289">
        <v>0</v>
      </c>
      <c r="J49" s="289"/>
      <c r="K49" s="289">
        <v>0</v>
      </c>
      <c r="L49" s="289">
        <v>0</v>
      </c>
      <c r="M49" s="289">
        <v>0</v>
      </c>
      <c r="N49" s="289">
        <v>0</v>
      </c>
      <c r="O49" s="289">
        <v>0</v>
      </c>
      <c r="P49" s="289">
        <v>0</v>
      </c>
      <c r="Q49" s="289"/>
      <c r="R49" s="404">
        <f t="shared" si="6"/>
        <v>82604</v>
      </c>
      <c r="S49" s="401">
        <v>0</v>
      </c>
      <c r="T49" s="404">
        <f t="shared" si="7"/>
        <v>82604</v>
      </c>
      <c r="V49" s="404">
        <f t="shared" si="8"/>
        <v>11</v>
      </c>
    </row>
    <row r="50" spans="1:22">
      <c r="A50" s="400">
        <v>48</v>
      </c>
      <c r="B50" s="300" t="str">
        <f>+PERBULAN!B53</f>
        <v>BASTIAR</v>
      </c>
      <c r="C50" s="407" t="str">
        <f>+Des!E53</f>
        <v>-</v>
      </c>
      <c r="D50" s="289">
        <v>0</v>
      </c>
      <c r="E50" s="289">
        <v>0</v>
      </c>
      <c r="F50" s="289">
        <v>81084</v>
      </c>
      <c r="G50" s="289">
        <v>0</v>
      </c>
      <c r="H50" s="289"/>
      <c r="I50" s="289">
        <v>0</v>
      </c>
      <c r="J50" s="289"/>
      <c r="K50" s="289">
        <v>0</v>
      </c>
      <c r="L50" s="289">
        <v>0</v>
      </c>
      <c r="M50" s="289">
        <v>0</v>
      </c>
      <c r="N50" s="289">
        <v>0</v>
      </c>
      <c r="O50" s="289">
        <v>0</v>
      </c>
      <c r="P50" s="289">
        <v>0</v>
      </c>
      <c r="Q50" s="289"/>
      <c r="R50" s="404">
        <f t="shared" si="6"/>
        <v>81084</v>
      </c>
      <c r="S50" s="401">
        <v>0</v>
      </c>
      <c r="T50" s="404">
        <f t="shared" si="7"/>
        <v>81084</v>
      </c>
      <c r="V50" s="404">
        <f t="shared" si="8"/>
        <v>11</v>
      </c>
    </row>
    <row r="51" spans="1:22">
      <c r="A51" s="400">
        <v>49</v>
      </c>
      <c r="B51" s="300" t="str">
        <f>+PERBULAN!B54</f>
        <v>ADIYANSA</v>
      </c>
      <c r="C51" s="407" t="str">
        <f>+Des!E54</f>
        <v>-</v>
      </c>
      <c r="D51" s="289">
        <v>0</v>
      </c>
      <c r="E51" s="289">
        <v>0</v>
      </c>
      <c r="F51" s="289">
        <v>83904</v>
      </c>
      <c r="G51" s="289">
        <v>0</v>
      </c>
      <c r="H51" s="289"/>
      <c r="I51" s="289">
        <v>0</v>
      </c>
      <c r="J51" s="289"/>
      <c r="K51" s="289">
        <v>0</v>
      </c>
      <c r="L51" s="289">
        <v>0</v>
      </c>
      <c r="M51" s="289">
        <v>0</v>
      </c>
      <c r="N51" s="289">
        <v>0</v>
      </c>
      <c r="O51" s="289">
        <v>0</v>
      </c>
      <c r="P51" s="289">
        <v>0</v>
      </c>
      <c r="Q51" s="289"/>
      <c r="R51" s="404">
        <f t="shared" si="6"/>
        <v>83904</v>
      </c>
      <c r="S51" s="401">
        <v>0</v>
      </c>
      <c r="T51" s="404">
        <f t="shared" si="7"/>
        <v>83904</v>
      </c>
      <c r="V51" s="404">
        <f t="shared" si="8"/>
        <v>11</v>
      </c>
    </row>
    <row r="52" spans="1:22">
      <c r="A52" s="400">
        <v>50</v>
      </c>
      <c r="B52" s="300" t="str">
        <f>+PERBULAN!B55</f>
        <v>RUDI SETIAWAN</v>
      </c>
      <c r="C52" s="407" t="str">
        <f>+Des!E55</f>
        <v>12.751.440.4-305.000</v>
      </c>
      <c r="D52" s="289">
        <v>0</v>
      </c>
      <c r="E52" s="289">
        <v>0</v>
      </c>
      <c r="F52" s="289">
        <v>121290</v>
      </c>
      <c r="G52" s="289">
        <v>0</v>
      </c>
      <c r="H52" s="289"/>
      <c r="I52" s="289">
        <v>0</v>
      </c>
      <c r="J52" s="289"/>
      <c r="K52" s="289">
        <v>0</v>
      </c>
      <c r="L52" s="289">
        <v>0</v>
      </c>
      <c r="M52" s="289">
        <v>0</v>
      </c>
      <c r="N52" s="289">
        <v>0</v>
      </c>
      <c r="O52" s="289">
        <v>0</v>
      </c>
      <c r="P52" s="289">
        <v>0</v>
      </c>
      <c r="Q52" s="289"/>
      <c r="R52" s="404">
        <f t="shared" si="6"/>
        <v>121290</v>
      </c>
      <c r="S52" s="401">
        <v>0</v>
      </c>
      <c r="T52" s="404">
        <f t="shared" si="7"/>
        <v>121290</v>
      </c>
      <c r="V52" s="404">
        <f t="shared" si="8"/>
        <v>11</v>
      </c>
    </row>
    <row r="53" spans="1:22">
      <c r="A53" s="400">
        <v>51</v>
      </c>
      <c r="B53" s="300" t="str">
        <f>+PERBULAN!B56</f>
        <v>MARYANTO</v>
      </c>
      <c r="C53" s="407" t="str">
        <f>+Des!E56</f>
        <v>97.228.630.6-305.000</v>
      </c>
      <c r="D53" s="289">
        <v>0</v>
      </c>
      <c r="E53" s="289">
        <v>0</v>
      </c>
      <c r="F53" s="289">
        <v>125874</v>
      </c>
      <c r="G53" s="289">
        <v>0</v>
      </c>
      <c r="H53" s="289"/>
      <c r="I53" s="289">
        <v>0</v>
      </c>
      <c r="J53" s="289"/>
      <c r="K53" s="289">
        <v>0</v>
      </c>
      <c r="L53" s="289">
        <v>0</v>
      </c>
      <c r="M53" s="289">
        <v>0</v>
      </c>
      <c r="N53" s="289">
        <v>0</v>
      </c>
      <c r="O53" s="289">
        <v>0</v>
      </c>
      <c r="P53" s="289">
        <v>0</v>
      </c>
      <c r="Q53" s="289"/>
      <c r="R53" s="404">
        <f t="shared" si="6"/>
        <v>125874</v>
      </c>
      <c r="S53" s="401">
        <v>0</v>
      </c>
      <c r="T53" s="404">
        <f t="shared" si="7"/>
        <v>125874</v>
      </c>
      <c r="V53" s="404">
        <f t="shared" si="8"/>
        <v>11</v>
      </c>
    </row>
    <row r="54" spans="1:22">
      <c r="A54" s="400">
        <v>52</v>
      </c>
      <c r="B54" s="300" t="str">
        <f>+PERBULAN!B57</f>
        <v>SRI REJEKI</v>
      </c>
      <c r="C54" s="407" t="str">
        <f>+Des!E57</f>
        <v>97.228.346.9-305.000</v>
      </c>
      <c r="D54" s="289">
        <v>0</v>
      </c>
      <c r="E54" s="289">
        <v>0</v>
      </c>
      <c r="F54" s="289">
        <v>124762</v>
      </c>
      <c r="G54" s="289">
        <v>0</v>
      </c>
      <c r="H54" s="289"/>
      <c r="I54" s="289">
        <v>0</v>
      </c>
      <c r="J54" s="289"/>
      <c r="K54" s="289">
        <v>0</v>
      </c>
      <c r="L54" s="289">
        <v>0</v>
      </c>
      <c r="M54" s="289">
        <v>0</v>
      </c>
      <c r="N54" s="289">
        <v>0</v>
      </c>
      <c r="O54" s="289">
        <v>0</v>
      </c>
      <c r="P54" s="289">
        <v>0</v>
      </c>
      <c r="Q54" s="289"/>
      <c r="R54" s="404">
        <f t="shared" si="6"/>
        <v>124762</v>
      </c>
      <c r="S54" s="401">
        <v>0</v>
      </c>
      <c r="T54" s="404">
        <f t="shared" si="7"/>
        <v>124762</v>
      </c>
      <c r="V54" s="404">
        <f t="shared" si="8"/>
        <v>11</v>
      </c>
    </row>
    <row r="55" spans="1:22">
      <c r="A55" s="400">
        <v>53</v>
      </c>
      <c r="B55" s="300" t="str">
        <f>+PERBULAN!B58</f>
        <v>SARTIKA</v>
      </c>
      <c r="C55" s="407" t="str">
        <f>+Des!E58</f>
        <v>97.228.347.7-305.000</v>
      </c>
      <c r="D55" s="289">
        <v>0</v>
      </c>
      <c r="E55" s="289">
        <v>0</v>
      </c>
      <c r="F55" s="289">
        <v>124548</v>
      </c>
      <c r="G55" s="289">
        <v>0</v>
      </c>
      <c r="H55" s="289"/>
      <c r="I55" s="289">
        <v>0</v>
      </c>
      <c r="J55" s="289"/>
      <c r="K55" s="289">
        <v>0</v>
      </c>
      <c r="L55" s="289">
        <v>0</v>
      </c>
      <c r="M55" s="289">
        <v>0</v>
      </c>
      <c r="N55" s="289">
        <v>0</v>
      </c>
      <c r="O55" s="289">
        <v>0</v>
      </c>
      <c r="P55" s="289">
        <v>0</v>
      </c>
      <c r="Q55" s="289"/>
      <c r="R55" s="404">
        <f t="shared" si="6"/>
        <v>124548</v>
      </c>
      <c r="S55" s="401">
        <v>0</v>
      </c>
      <c r="T55" s="404">
        <f t="shared" si="7"/>
        <v>124548</v>
      </c>
      <c r="V55" s="404">
        <f t="shared" si="8"/>
        <v>11</v>
      </c>
    </row>
    <row r="56" spans="1:22">
      <c r="A56" s="400">
        <v>54</v>
      </c>
      <c r="B56" s="300" t="str">
        <f>+PERBULAN!B59</f>
        <v>MIRNA</v>
      </c>
      <c r="C56" s="407" t="str">
        <f>+Des!E59</f>
        <v>55.161.258.3-305.000</v>
      </c>
      <c r="D56" s="289">
        <v>0</v>
      </c>
      <c r="E56" s="289">
        <v>0</v>
      </c>
      <c r="F56" s="289">
        <v>124119</v>
      </c>
      <c r="G56" s="289">
        <v>0</v>
      </c>
      <c r="H56" s="289"/>
      <c r="I56" s="289">
        <v>0</v>
      </c>
      <c r="J56" s="289"/>
      <c r="K56" s="289">
        <v>0</v>
      </c>
      <c r="L56" s="289">
        <v>0</v>
      </c>
      <c r="M56" s="289">
        <v>0</v>
      </c>
      <c r="N56" s="289">
        <v>0</v>
      </c>
      <c r="O56" s="289">
        <v>0</v>
      </c>
      <c r="P56" s="289">
        <v>0</v>
      </c>
      <c r="Q56" s="289"/>
      <c r="R56" s="404">
        <f t="shared" si="6"/>
        <v>124119</v>
      </c>
      <c r="S56" s="401">
        <v>0</v>
      </c>
      <c r="T56" s="404">
        <f t="shared" si="7"/>
        <v>124119</v>
      </c>
      <c r="V56" s="404">
        <f t="shared" si="8"/>
        <v>11</v>
      </c>
    </row>
    <row r="57" spans="1:22">
      <c r="A57" s="400">
        <v>55</v>
      </c>
      <c r="B57" s="300" t="str">
        <f>+PERBULAN!B60</f>
        <v>ROZATI</v>
      </c>
      <c r="C57" s="407" t="str">
        <f>+Des!E60</f>
        <v>-</v>
      </c>
      <c r="D57" s="289">
        <v>0</v>
      </c>
      <c r="E57" s="289">
        <v>0</v>
      </c>
      <c r="F57" s="289">
        <v>121688</v>
      </c>
      <c r="G57" s="289">
        <v>0</v>
      </c>
      <c r="H57" s="289"/>
      <c r="I57" s="289">
        <v>0</v>
      </c>
      <c r="J57" s="289"/>
      <c r="K57" s="289">
        <v>0</v>
      </c>
      <c r="L57" s="289">
        <v>0</v>
      </c>
      <c r="M57" s="289">
        <v>0</v>
      </c>
      <c r="N57" s="289">
        <v>0</v>
      </c>
      <c r="O57" s="289">
        <v>0</v>
      </c>
      <c r="P57" s="289">
        <v>0</v>
      </c>
      <c r="Q57" s="289"/>
      <c r="R57" s="404">
        <f t="shared" si="6"/>
        <v>121688</v>
      </c>
      <c r="S57" s="401">
        <v>0</v>
      </c>
      <c r="T57" s="404">
        <f t="shared" si="7"/>
        <v>121688</v>
      </c>
      <c r="V57" s="404">
        <f t="shared" si="8"/>
        <v>11</v>
      </c>
    </row>
    <row r="58" spans="1:22">
      <c r="A58" s="400">
        <v>56</v>
      </c>
      <c r="B58" s="300" t="str">
        <f>+PERBULAN!B61</f>
        <v>SAHWEDI</v>
      </c>
      <c r="C58" s="407" t="str">
        <f>+Des!E61</f>
        <v>-</v>
      </c>
      <c r="D58" s="289">
        <v>0</v>
      </c>
      <c r="E58" s="289">
        <v>0</v>
      </c>
      <c r="F58" s="289">
        <v>121367</v>
      </c>
      <c r="G58" s="289">
        <v>0</v>
      </c>
      <c r="H58" s="289"/>
      <c r="I58" s="289">
        <v>0</v>
      </c>
      <c r="J58" s="289"/>
      <c r="K58" s="289">
        <v>0</v>
      </c>
      <c r="L58" s="289">
        <v>0</v>
      </c>
      <c r="M58" s="289">
        <v>0</v>
      </c>
      <c r="N58" s="289">
        <v>0</v>
      </c>
      <c r="O58" s="289">
        <v>0</v>
      </c>
      <c r="P58" s="289">
        <v>0</v>
      </c>
      <c r="Q58" s="289"/>
      <c r="R58" s="404">
        <f t="shared" si="6"/>
        <v>121367</v>
      </c>
      <c r="S58" s="401">
        <v>0</v>
      </c>
      <c r="T58" s="404">
        <f t="shared" si="7"/>
        <v>121367</v>
      </c>
      <c r="V58" s="404">
        <f t="shared" si="8"/>
        <v>11</v>
      </c>
    </row>
    <row r="59" spans="1:22">
      <c r="A59" s="400">
        <v>57</v>
      </c>
      <c r="B59" s="300" t="str">
        <f>+PERBULAN!B62</f>
        <v>RUKMAN</v>
      </c>
      <c r="C59" s="407" t="str">
        <f>+Des!E62</f>
        <v>97.387.458.9-305.000</v>
      </c>
      <c r="D59" s="289">
        <v>0</v>
      </c>
      <c r="E59" s="289">
        <v>0</v>
      </c>
      <c r="F59" s="289">
        <v>85045</v>
      </c>
      <c r="G59" s="289">
        <v>0</v>
      </c>
      <c r="H59" s="289"/>
      <c r="I59" s="289">
        <v>0</v>
      </c>
      <c r="J59" s="289"/>
      <c r="K59" s="289">
        <v>0</v>
      </c>
      <c r="L59" s="289">
        <v>0</v>
      </c>
      <c r="M59" s="289">
        <v>0</v>
      </c>
      <c r="N59" s="289">
        <v>0</v>
      </c>
      <c r="O59" s="289">
        <v>0</v>
      </c>
      <c r="P59" s="289">
        <v>0</v>
      </c>
      <c r="Q59" s="289"/>
      <c r="R59" s="404">
        <f t="shared" si="6"/>
        <v>85045</v>
      </c>
      <c r="S59" s="401">
        <v>0</v>
      </c>
      <c r="T59" s="404">
        <f t="shared" si="7"/>
        <v>85045</v>
      </c>
      <c r="V59" s="404">
        <f t="shared" si="8"/>
        <v>11</v>
      </c>
    </row>
    <row r="60" spans="1:22">
      <c r="A60" s="400">
        <v>58</v>
      </c>
      <c r="B60" s="300" t="str">
        <f>+PERBULAN!B63</f>
        <v>AGUSTIONO</v>
      </c>
      <c r="C60" s="407" t="str">
        <f>+Des!E63</f>
        <v>97.237.680.0-305.000</v>
      </c>
      <c r="D60" s="289">
        <v>0</v>
      </c>
      <c r="E60" s="289">
        <v>0</v>
      </c>
      <c r="F60" s="289">
        <v>85116</v>
      </c>
      <c r="G60" s="289">
        <v>0</v>
      </c>
      <c r="H60" s="289"/>
      <c r="I60" s="289">
        <v>0</v>
      </c>
      <c r="J60" s="289"/>
      <c r="K60" s="289">
        <v>0</v>
      </c>
      <c r="L60" s="289">
        <v>0</v>
      </c>
      <c r="M60" s="289">
        <v>0</v>
      </c>
      <c r="N60" s="289">
        <v>0</v>
      </c>
      <c r="O60" s="289">
        <v>0</v>
      </c>
      <c r="P60" s="289">
        <v>0</v>
      </c>
      <c r="Q60" s="289"/>
      <c r="R60" s="404">
        <f t="shared" si="6"/>
        <v>85116</v>
      </c>
      <c r="S60" s="401">
        <v>0</v>
      </c>
      <c r="T60" s="404">
        <f t="shared" si="7"/>
        <v>85116</v>
      </c>
      <c r="V60" s="404">
        <f t="shared" si="8"/>
        <v>11</v>
      </c>
    </row>
    <row r="61" spans="1:22">
      <c r="A61" s="400">
        <v>59</v>
      </c>
      <c r="B61" s="300" t="str">
        <f>+PERBULAN!B64</f>
        <v>TONGAM PARNINGTON SAMOSIR</v>
      </c>
      <c r="C61" s="407" t="str">
        <f>+Des!E64</f>
        <v>97.237.703.0-305.000</v>
      </c>
      <c r="D61" s="289">
        <v>0</v>
      </c>
      <c r="E61" s="289">
        <v>0</v>
      </c>
      <c r="F61" s="289">
        <v>0</v>
      </c>
      <c r="G61" s="289">
        <v>0</v>
      </c>
      <c r="H61" s="289"/>
      <c r="I61" s="289">
        <v>0</v>
      </c>
      <c r="J61" s="289"/>
      <c r="K61" s="289">
        <v>0</v>
      </c>
      <c r="L61" s="289">
        <v>0</v>
      </c>
      <c r="M61" s="289">
        <v>0</v>
      </c>
      <c r="N61" s="289">
        <v>0</v>
      </c>
      <c r="O61" s="289">
        <v>0</v>
      </c>
      <c r="P61" s="289">
        <v>0</v>
      </c>
      <c r="Q61" s="289"/>
      <c r="R61" s="404">
        <f t="shared" si="6"/>
        <v>0</v>
      </c>
      <c r="S61" s="401">
        <v>0</v>
      </c>
      <c r="T61" s="404">
        <f t="shared" si="7"/>
        <v>0</v>
      </c>
      <c r="V61" s="404">
        <f t="shared" si="8"/>
        <v>11</v>
      </c>
    </row>
    <row r="62" spans="1:22">
      <c r="A62" s="400">
        <v>60</v>
      </c>
      <c r="B62" s="300" t="str">
        <f>+PERBULAN!B65</f>
        <v>ANUAR</v>
      </c>
      <c r="C62" s="407" t="str">
        <f>+Des!E65</f>
        <v>97.387.489.4-305.000</v>
      </c>
      <c r="D62" s="289">
        <v>0</v>
      </c>
      <c r="E62" s="289">
        <v>0</v>
      </c>
      <c r="F62" s="289">
        <v>122683</v>
      </c>
      <c r="G62" s="289">
        <v>0</v>
      </c>
      <c r="H62" s="289"/>
      <c r="I62" s="289">
        <v>0</v>
      </c>
      <c r="J62" s="289"/>
      <c r="K62" s="289">
        <v>0</v>
      </c>
      <c r="L62" s="289">
        <v>0</v>
      </c>
      <c r="M62" s="289">
        <v>0</v>
      </c>
      <c r="N62" s="289">
        <v>0</v>
      </c>
      <c r="O62" s="289">
        <v>0</v>
      </c>
      <c r="P62" s="289">
        <v>0</v>
      </c>
      <c r="Q62" s="289"/>
      <c r="R62" s="404">
        <f t="shared" si="6"/>
        <v>122683</v>
      </c>
      <c r="S62" s="401">
        <v>0</v>
      </c>
      <c r="T62" s="404">
        <f t="shared" si="7"/>
        <v>122683</v>
      </c>
      <c r="V62" s="404">
        <f t="shared" si="8"/>
        <v>11</v>
      </c>
    </row>
    <row r="63" spans="1:22">
      <c r="A63" s="400">
        <v>61</v>
      </c>
      <c r="B63" s="300" t="str">
        <f>+PERBULAN!B66</f>
        <v>YUNIAR ANDRIANTI</v>
      </c>
      <c r="C63" s="407" t="str">
        <f>+Des!E66</f>
        <v>97.228.537.3-305.000</v>
      </c>
      <c r="D63" s="289">
        <v>0</v>
      </c>
      <c r="E63" s="289">
        <v>0</v>
      </c>
      <c r="F63" s="289">
        <v>116659</v>
      </c>
      <c r="G63" s="289">
        <v>0</v>
      </c>
      <c r="H63" s="289"/>
      <c r="I63" s="289">
        <v>0</v>
      </c>
      <c r="J63" s="289"/>
      <c r="K63" s="289">
        <v>0</v>
      </c>
      <c r="L63" s="289">
        <v>0</v>
      </c>
      <c r="M63" s="289">
        <v>0</v>
      </c>
      <c r="N63" s="289">
        <v>0</v>
      </c>
      <c r="O63" s="289">
        <v>0</v>
      </c>
      <c r="P63" s="289">
        <v>0</v>
      </c>
      <c r="Q63" s="289"/>
      <c r="R63" s="404">
        <f t="shared" si="6"/>
        <v>116659</v>
      </c>
      <c r="S63" s="401">
        <v>0</v>
      </c>
      <c r="T63" s="404">
        <f t="shared" si="7"/>
        <v>116659</v>
      </c>
      <c r="V63" s="404">
        <f t="shared" si="8"/>
        <v>11</v>
      </c>
    </row>
    <row r="64" spans="1:22">
      <c r="A64" s="400">
        <v>62</v>
      </c>
      <c r="B64" s="300" t="str">
        <f>+PERBULAN!B67</f>
        <v>LISA JAYANTI</v>
      </c>
      <c r="C64" s="407" t="str">
        <f>+Des!E67</f>
        <v>97-237-522-4-305-000</v>
      </c>
      <c r="D64" s="289">
        <v>0</v>
      </c>
      <c r="E64" s="289">
        <v>0</v>
      </c>
      <c r="F64" s="289">
        <v>120282</v>
      </c>
      <c r="G64" s="289">
        <v>0</v>
      </c>
      <c r="H64" s="289"/>
      <c r="I64" s="289">
        <v>0</v>
      </c>
      <c r="J64" s="289"/>
      <c r="K64" s="289">
        <v>0</v>
      </c>
      <c r="L64" s="289">
        <v>0</v>
      </c>
      <c r="M64" s="289">
        <v>0</v>
      </c>
      <c r="N64" s="289">
        <v>0</v>
      </c>
      <c r="O64" s="289">
        <v>0</v>
      </c>
      <c r="P64" s="289">
        <v>0</v>
      </c>
      <c r="Q64" s="289"/>
      <c r="R64" s="404">
        <f t="shared" si="6"/>
        <v>120282</v>
      </c>
      <c r="S64" s="401">
        <v>0</v>
      </c>
      <c r="T64" s="404">
        <f t="shared" si="7"/>
        <v>120282</v>
      </c>
      <c r="V64" s="404">
        <f t="shared" si="8"/>
        <v>11</v>
      </c>
    </row>
    <row r="65" spans="1:22">
      <c r="A65" s="400">
        <v>63</v>
      </c>
      <c r="B65" s="300" t="str">
        <f>+PERBULAN!B68</f>
        <v>RUSDIN</v>
      </c>
      <c r="C65" s="407" t="str">
        <f>+Des!E68</f>
        <v>97.228.326.1-305-000</v>
      </c>
      <c r="D65" s="289">
        <v>0</v>
      </c>
      <c r="E65" s="289">
        <v>0</v>
      </c>
      <c r="F65" s="289">
        <v>83768</v>
      </c>
      <c r="G65" s="289">
        <v>0</v>
      </c>
      <c r="H65" s="289"/>
      <c r="I65" s="289">
        <v>0</v>
      </c>
      <c r="J65" s="289"/>
      <c r="K65" s="289">
        <v>0</v>
      </c>
      <c r="L65" s="289">
        <v>0</v>
      </c>
      <c r="M65" s="289">
        <v>0</v>
      </c>
      <c r="N65" s="289">
        <v>0</v>
      </c>
      <c r="O65" s="289">
        <v>0</v>
      </c>
      <c r="P65" s="289">
        <v>0</v>
      </c>
      <c r="Q65" s="289"/>
      <c r="R65" s="404">
        <f t="shared" si="6"/>
        <v>83768</v>
      </c>
      <c r="S65" s="401">
        <v>0</v>
      </c>
      <c r="T65" s="404">
        <f t="shared" si="7"/>
        <v>83768</v>
      </c>
      <c r="V65" s="404">
        <f t="shared" si="8"/>
        <v>11</v>
      </c>
    </row>
    <row r="66" spans="1:22">
      <c r="A66" s="400">
        <v>64</v>
      </c>
      <c r="B66" s="524" t="str">
        <f>+PERBULAN!B69</f>
        <v>FREDI S</v>
      </c>
      <c r="C66" s="525" t="str">
        <f>+Des!E69</f>
        <v>-</v>
      </c>
      <c r="D66" s="526">
        <v>0</v>
      </c>
      <c r="E66" s="526">
        <v>0</v>
      </c>
      <c r="F66" s="526">
        <v>123186</v>
      </c>
      <c r="G66" s="526">
        <v>0</v>
      </c>
      <c r="H66" s="526"/>
      <c r="I66" s="526">
        <v>0</v>
      </c>
      <c r="J66" s="526"/>
      <c r="K66" s="526">
        <v>0</v>
      </c>
      <c r="L66" s="526">
        <v>0</v>
      </c>
      <c r="M66" s="526">
        <v>0</v>
      </c>
      <c r="N66" s="526"/>
      <c r="O66" s="526"/>
      <c r="P66" s="526"/>
      <c r="Q66" s="526"/>
      <c r="R66" s="527">
        <f t="shared" si="6"/>
        <v>123186</v>
      </c>
      <c r="S66" s="528">
        <v>0</v>
      </c>
      <c r="T66" s="527">
        <f t="shared" si="7"/>
        <v>123186</v>
      </c>
      <c r="U66" s="523"/>
      <c r="V66" s="527">
        <f t="shared" si="8"/>
        <v>8</v>
      </c>
    </row>
    <row r="67" spans="1:22">
      <c r="A67" s="400">
        <v>65</v>
      </c>
      <c r="B67" s="300" t="str">
        <f>+PERBULAN!B70</f>
        <v>ARIPDAN</v>
      </c>
      <c r="C67" s="407" t="str">
        <f>+Des!E70</f>
        <v>97.228.611.6-305.000</v>
      </c>
      <c r="D67" s="289">
        <v>33481</v>
      </c>
      <c r="E67" s="289">
        <v>0</v>
      </c>
      <c r="F67" s="289">
        <v>152707</v>
      </c>
      <c r="G67" s="289">
        <v>0</v>
      </c>
      <c r="H67" s="289"/>
      <c r="I67" s="289">
        <v>0</v>
      </c>
      <c r="J67" s="289"/>
      <c r="K67" s="289">
        <v>0</v>
      </c>
      <c r="L67" s="289">
        <v>0</v>
      </c>
      <c r="M67" s="289">
        <v>0</v>
      </c>
      <c r="N67" s="289">
        <v>0</v>
      </c>
      <c r="O67" s="289">
        <v>0</v>
      </c>
      <c r="P67" s="289">
        <v>0</v>
      </c>
      <c r="Q67" s="289"/>
      <c r="R67" s="404">
        <f t="shared" si="6"/>
        <v>186188</v>
      </c>
      <c r="S67" s="401">
        <v>0</v>
      </c>
      <c r="T67" s="404">
        <f t="shared" si="7"/>
        <v>186188</v>
      </c>
      <c r="V67" s="404">
        <f t="shared" si="8"/>
        <v>11</v>
      </c>
    </row>
    <row r="68" spans="1:22">
      <c r="A68" s="400">
        <v>66</v>
      </c>
      <c r="B68" s="300" t="str">
        <f>+PERBULAN!B71</f>
        <v>DEDI PURWANTO</v>
      </c>
      <c r="C68" s="407" t="str">
        <f>+Des!E71</f>
        <v>97.228.389.9-305.000</v>
      </c>
      <c r="D68" s="289">
        <v>33380</v>
      </c>
      <c r="E68" s="289">
        <v>15851</v>
      </c>
      <c r="F68" s="289">
        <v>153473</v>
      </c>
      <c r="G68" s="289">
        <v>0</v>
      </c>
      <c r="H68" s="289"/>
      <c r="I68" s="289">
        <v>32637</v>
      </c>
      <c r="J68" s="289"/>
      <c r="K68" s="289">
        <v>0</v>
      </c>
      <c r="L68" s="289">
        <v>0</v>
      </c>
      <c r="M68" s="289">
        <v>0</v>
      </c>
      <c r="N68" s="289">
        <v>0</v>
      </c>
      <c r="O68" s="289">
        <v>0</v>
      </c>
      <c r="P68" s="289">
        <v>0</v>
      </c>
      <c r="Q68" s="289"/>
      <c r="R68" s="404">
        <f t="shared" si="6"/>
        <v>235341</v>
      </c>
      <c r="S68" s="401">
        <v>0</v>
      </c>
      <c r="T68" s="404">
        <f t="shared" si="7"/>
        <v>235341</v>
      </c>
      <c r="V68" s="404">
        <f t="shared" si="8"/>
        <v>11</v>
      </c>
    </row>
    <row r="69" spans="1:22">
      <c r="A69" s="400">
        <v>67</v>
      </c>
      <c r="B69" s="300" t="str">
        <f>+PERBULAN!B72</f>
        <v>HARSONO</v>
      </c>
      <c r="C69" s="407" t="str">
        <f>+Des!E72</f>
        <v>54.921.172.0.305.000</v>
      </c>
      <c r="D69" s="289">
        <v>0</v>
      </c>
      <c r="E69" s="289">
        <v>0</v>
      </c>
      <c r="F69" s="289">
        <v>85509</v>
      </c>
      <c r="G69" s="289">
        <v>0</v>
      </c>
      <c r="H69" s="289"/>
      <c r="I69" s="289">
        <v>0</v>
      </c>
      <c r="J69" s="289"/>
      <c r="K69" s="289">
        <v>15517</v>
      </c>
      <c r="L69" s="289">
        <v>0</v>
      </c>
      <c r="M69" s="289">
        <v>0</v>
      </c>
      <c r="N69" s="289">
        <v>0</v>
      </c>
      <c r="O69" s="289">
        <v>0</v>
      </c>
      <c r="P69" s="289">
        <v>0</v>
      </c>
      <c r="Q69" s="289"/>
      <c r="R69" s="404">
        <f t="shared" si="6"/>
        <v>101026</v>
      </c>
      <c r="S69" s="401">
        <v>0</v>
      </c>
      <c r="T69" s="404">
        <f t="shared" si="7"/>
        <v>101026</v>
      </c>
      <c r="V69" s="404">
        <f t="shared" si="8"/>
        <v>11</v>
      </c>
    </row>
    <row r="70" spans="1:22">
      <c r="A70" s="400">
        <v>68</v>
      </c>
      <c r="B70" s="300" t="str">
        <f>+PERBULAN!B73</f>
        <v>MIKO AGNESTA</v>
      </c>
      <c r="C70" s="407" t="str">
        <f>+Des!E73</f>
        <v>-</v>
      </c>
      <c r="D70" s="289">
        <v>0</v>
      </c>
      <c r="E70" s="289">
        <v>0</v>
      </c>
      <c r="F70" s="289">
        <v>64277</v>
      </c>
      <c r="G70" s="289">
        <v>0</v>
      </c>
      <c r="H70" s="289"/>
      <c r="I70" s="289">
        <v>0</v>
      </c>
      <c r="J70" s="289"/>
      <c r="K70" s="289">
        <v>29671</v>
      </c>
      <c r="L70" s="289">
        <v>13592</v>
      </c>
      <c r="M70" s="289">
        <v>13777</v>
      </c>
      <c r="N70" s="289">
        <v>28629</v>
      </c>
      <c r="O70" s="289">
        <v>28278</v>
      </c>
      <c r="P70" s="289">
        <v>28424</v>
      </c>
      <c r="Q70" s="289"/>
      <c r="R70" s="404">
        <f t="shared" si="6"/>
        <v>206648</v>
      </c>
      <c r="S70" s="401">
        <v>0</v>
      </c>
      <c r="T70" s="404">
        <f t="shared" si="7"/>
        <v>206648</v>
      </c>
      <c r="V70" s="404">
        <f t="shared" si="8"/>
        <v>11</v>
      </c>
    </row>
    <row r="71" spans="1:22">
      <c r="A71" s="400">
        <v>69</v>
      </c>
      <c r="B71" s="300" t="str">
        <f>+PERBULAN!B74</f>
        <v>HERI GUNAWAN</v>
      </c>
      <c r="C71" s="407" t="str">
        <f>+Des!E74</f>
        <v>50.500.537.1-305.000</v>
      </c>
      <c r="D71" s="289">
        <v>0</v>
      </c>
      <c r="E71" s="289">
        <v>0</v>
      </c>
      <c r="F71" s="289">
        <v>82003</v>
      </c>
      <c r="G71" s="289">
        <v>0</v>
      </c>
      <c r="H71" s="289"/>
      <c r="I71" s="289">
        <v>0</v>
      </c>
      <c r="J71" s="289"/>
      <c r="K71" s="289">
        <v>0</v>
      </c>
      <c r="L71" s="289">
        <v>0</v>
      </c>
      <c r="M71" s="289">
        <v>0</v>
      </c>
      <c r="N71" s="289">
        <v>0</v>
      </c>
      <c r="O71" s="289">
        <v>0</v>
      </c>
      <c r="P71" s="289">
        <v>0</v>
      </c>
      <c r="Q71" s="289"/>
      <c r="R71" s="404">
        <f t="shared" si="6"/>
        <v>82003</v>
      </c>
      <c r="S71" s="401">
        <v>0</v>
      </c>
      <c r="T71" s="404">
        <f t="shared" si="7"/>
        <v>82003</v>
      </c>
      <c r="V71" s="404">
        <f t="shared" si="8"/>
        <v>11</v>
      </c>
    </row>
    <row r="72" spans="1:22">
      <c r="A72" s="400">
        <v>70</v>
      </c>
      <c r="B72" s="300" t="str">
        <f>+PERBULAN!B75</f>
        <v>LEPI ERWANSYAH</v>
      </c>
      <c r="C72" s="407" t="str">
        <f>+Des!E75</f>
        <v>-</v>
      </c>
      <c r="D72" s="289">
        <v>0</v>
      </c>
      <c r="E72" s="289">
        <v>0</v>
      </c>
      <c r="F72" s="289">
        <v>83683</v>
      </c>
      <c r="G72" s="289">
        <v>0</v>
      </c>
      <c r="H72" s="289"/>
      <c r="I72" s="289">
        <v>0</v>
      </c>
      <c r="J72" s="289"/>
      <c r="K72" s="289">
        <v>0</v>
      </c>
      <c r="L72" s="289">
        <v>0</v>
      </c>
      <c r="M72" s="289">
        <v>0</v>
      </c>
      <c r="N72" s="289">
        <v>0</v>
      </c>
      <c r="O72" s="289">
        <v>0</v>
      </c>
      <c r="P72" s="289">
        <v>0</v>
      </c>
      <c r="Q72" s="289"/>
      <c r="R72" s="404">
        <f t="shared" si="6"/>
        <v>83683</v>
      </c>
      <c r="S72" s="401">
        <v>0</v>
      </c>
      <c r="T72" s="404">
        <f t="shared" si="7"/>
        <v>83683</v>
      </c>
      <c r="V72" s="404">
        <f t="shared" si="8"/>
        <v>11</v>
      </c>
    </row>
    <row r="73" spans="1:22">
      <c r="A73" s="400">
        <v>71</v>
      </c>
      <c r="B73" s="524" t="str">
        <f>+PERBULAN!B76</f>
        <v>NOVA RIZAL</v>
      </c>
      <c r="C73" s="525" t="str">
        <f>+Des!E76</f>
        <v>95.590.256.4-305.000</v>
      </c>
      <c r="D73" s="526">
        <v>0</v>
      </c>
      <c r="E73" s="526">
        <v>0</v>
      </c>
      <c r="F73" s="526">
        <v>83630</v>
      </c>
      <c r="G73" s="526">
        <v>0</v>
      </c>
      <c r="H73" s="526"/>
      <c r="I73" s="526">
        <v>0</v>
      </c>
      <c r="J73" s="526"/>
      <c r="K73" s="526">
        <v>0</v>
      </c>
      <c r="L73" s="526">
        <v>0</v>
      </c>
      <c r="M73" s="526"/>
      <c r="N73" s="526"/>
      <c r="O73" s="526"/>
      <c r="P73" s="526"/>
      <c r="Q73" s="526"/>
      <c r="R73" s="527">
        <f t="shared" si="6"/>
        <v>83630</v>
      </c>
      <c r="S73" s="528">
        <v>0</v>
      </c>
      <c r="T73" s="527">
        <f t="shared" si="7"/>
        <v>83630</v>
      </c>
      <c r="U73" s="523"/>
      <c r="V73" s="527">
        <f t="shared" si="8"/>
        <v>7</v>
      </c>
    </row>
    <row r="74" spans="1:22">
      <c r="A74" s="400">
        <v>72</v>
      </c>
      <c r="B74" s="300" t="str">
        <f>+PERBULAN!B77</f>
        <v>MASKUR</v>
      </c>
      <c r="C74" s="407" t="str">
        <f>+Des!E77</f>
        <v>-</v>
      </c>
      <c r="D74" s="289">
        <v>0</v>
      </c>
      <c r="E74" s="289">
        <v>0</v>
      </c>
      <c r="F74" s="289">
        <v>84307</v>
      </c>
      <c r="G74" s="289">
        <v>0</v>
      </c>
      <c r="H74" s="289"/>
      <c r="I74" s="289">
        <v>0</v>
      </c>
      <c r="J74" s="289"/>
      <c r="K74" s="289">
        <v>0</v>
      </c>
      <c r="L74" s="289">
        <v>0</v>
      </c>
      <c r="M74" s="289">
        <v>0</v>
      </c>
      <c r="N74" s="289">
        <v>0</v>
      </c>
      <c r="O74" s="289">
        <v>0</v>
      </c>
      <c r="P74" s="289">
        <v>0</v>
      </c>
      <c r="Q74" s="289"/>
      <c r="R74" s="404">
        <f t="shared" si="6"/>
        <v>84307</v>
      </c>
      <c r="S74" s="401">
        <v>0</v>
      </c>
      <c r="T74" s="404">
        <f t="shared" si="7"/>
        <v>84307</v>
      </c>
      <c r="V74" s="404">
        <f t="shared" si="8"/>
        <v>11</v>
      </c>
    </row>
    <row r="75" spans="1:22">
      <c r="A75" s="400">
        <v>73</v>
      </c>
      <c r="B75" s="300" t="str">
        <f>+PERBULAN!B78</f>
        <v>SUTRISNO</v>
      </c>
      <c r="C75" s="407" t="str">
        <f>+Des!E78</f>
        <v>97.228.621.5-305.000</v>
      </c>
      <c r="D75" s="289">
        <v>0</v>
      </c>
      <c r="E75" s="289">
        <v>0</v>
      </c>
      <c r="F75" s="289">
        <v>123950</v>
      </c>
      <c r="G75" s="289">
        <v>0</v>
      </c>
      <c r="H75" s="289"/>
      <c r="I75" s="289">
        <v>0</v>
      </c>
      <c r="J75" s="289"/>
      <c r="K75" s="289">
        <v>0</v>
      </c>
      <c r="L75" s="289">
        <v>0</v>
      </c>
      <c r="M75" s="289">
        <v>0</v>
      </c>
      <c r="N75" s="289">
        <v>0</v>
      </c>
      <c r="O75" s="289">
        <v>0</v>
      </c>
      <c r="P75" s="289">
        <v>0</v>
      </c>
      <c r="Q75" s="289"/>
      <c r="R75" s="404">
        <f t="shared" si="6"/>
        <v>123950</v>
      </c>
      <c r="S75" s="401">
        <v>0</v>
      </c>
      <c r="T75" s="404">
        <f t="shared" si="7"/>
        <v>123950</v>
      </c>
      <c r="V75" s="404">
        <f t="shared" si="8"/>
        <v>11</v>
      </c>
    </row>
    <row r="76" spans="1:22">
      <c r="A76" s="400">
        <v>74</v>
      </c>
      <c r="B76" s="502" t="str">
        <f>+PERBULAN!B79</f>
        <v>SUHARDI</v>
      </c>
      <c r="C76" s="503" t="str">
        <f>+Des!E79</f>
        <v>54.907.601.6-305.000</v>
      </c>
      <c r="D76" s="504">
        <v>0</v>
      </c>
      <c r="E76" s="504">
        <v>0</v>
      </c>
      <c r="F76" s="504">
        <v>83274</v>
      </c>
      <c r="G76" s="504">
        <v>0</v>
      </c>
      <c r="H76" s="504"/>
      <c r="I76" s="504">
        <v>0</v>
      </c>
      <c r="J76" s="504"/>
      <c r="K76" s="504">
        <v>0</v>
      </c>
      <c r="L76" s="504">
        <v>0</v>
      </c>
      <c r="M76" s="504">
        <v>0</v>
      </c>
      <c r="N76" s="504">
        <v>0</v>
      </c>
      <c r="O76" s="504">
        <v>0</v>
      </c>
      <c r="P76" s="504">
        <v>0</v>
      </c>
      <c r="Q76" s="504"/>
      <c r="R76" s="505">
        <f t="shared" si="6"/>
        <v>83274</v>
      </c>
      <c r="S76" s="506">
        <v>0</v>
      </c>
      <c r="T76" s="505">
        <f t="shared" si="7"/>
        <v>83274</v>
      </c>
      <c r="U76" s="507"/>
      <c r="V76" s="505">
        <f t="shared" si="8"/>
        <v>11</v>
      </c>
    </row>
    <row r="77" spans="1:22">
      <c r="A77" s="400">
        <v>75</v>
      </c>
      <c r="B77" s="300" t="str">
        <f>+PERBULAN!B80</f>
        <v>RUSDI</v>
      </c>
      <c r="C77" s="407" t="str">
        <f>+Des!E80</f>
        <v>97.228.549.8-305.000</v>
      </c>
      <c r="D77" s="289">
        <v>0</v>
      </c>
      <c r="E77" s="289">
        <v>0</v>
      </c>
      <c r="F77" s="289">
        <v>85816</v>
      </c>
      <c r="G77" s="289">
        <v>0</v>
      </c>
      <c r="H77" s="289"/>
      <c r="I77" s="289">
        <v>0</v>
      </c>
      <c r="J77" s="289"/>
      <c r="K77" s="289">
        <v>0</v>
      </c>
      <c r="L77" s="289">
        <v>0</v>
      </c>
      <c r="M77" s="289">
        <v>0</v>
      </c>
      <c r="N77" s="289">
        <v>0</v>
      </c>
      <c r="O77" s="289">
        <v>0</v>
      </c>
      <c r="P77" s="289">
        <v>0</v>
      </c>
      <c r="Q77" s="289"/>
      <c r="R77" s="404">
        <f t="shared" si="6"/>
        <v>85816</v>
      </c>
      <c r="S77" s="401">
        <v>0</v>
      </c>
      <c r="T77" s="404">
        <f t="shared" si="7"/>
        <v>85816</v>
      </c>
      <c r="V77" s="404">
        <f t="shared" si="8"/>
        <v>11</v>
      </c>
    </row>
    <row r="78" spans="1:22">
      <c r="A78" s="400">
        <v>76</v>
      </c>
      <c r="B78" s="300" t="str">
        <f>+PERBULAN!B81</f>
        <v>MASJONI</v>
      </c>
      <c r="C78" s="407" t="str">
        <f>+Des!E81</f>
        <v>97.228.567.0-305.000</v>
      </c>
      <c r="D78" s="289">
        <v>0</v>
      </c>
      <c r="E78" s="289">
        <v>0</v>
      </c>
      <c r="F78" s="289">
        <v>85719</v>
      </c>
      <c r="G78" s="289">
        <v>0</v>
      </c>
      <c r="H78" s="289"/>
      <c r="I78" s="289">
        <v>0</v>
      </c>
      <c r="J78" s="289"/>
      <c r="K78" s="289">
        <v>0</v>
      </c>
      <c r="L78" s="289">
        <v>0</v>
      </c>
      <c r="M78" s="289">
        <v>0</v>
      </c>
      <c r="N78" s="289">
        <v>0</v>
      </c>
      <c r="O78" s="289">
        <v>0</v>
      </c>
      <c r="P78" s="289">
        <v>0</v>
      </c>
      <c r="Q78" s="289"/>
      <c r="R78" s="404">
        <f t="shared" si="6"/>
        <v>85719</v>
      </c>
      <c r="S78" s="401">
        <v>0</v>
      </c>
      <c r="T78" s="404">
        <f t="shared" si="7"/>
        <v>85719</v>
      </c>
      <c r="V78" s="404">
        <f t="shared" si="8"/>
        <v>11</v>
      </c>
    </row>
    <row r="79" spans="1:22">
      <c r="A79" s="400">
        <v>77</v>
      </c>
      <c r="B79" s="300" t="str">
        <f>+PERBULAN!B82</f>
        <v>ROSMAN</v>
      </c>
      <c r="C79" s="407" t="str">
        <f>+Des!E82</f>
        <v>97.228.573.8-305.000</v>
      </c>
      <c r="D79" s="289">
        <v>0</v>
      </c>
      <c r="E79" s="289">
        <v>0</v>
      </c>
      <c r="F79" s="289">
        <v>82874</v>
      </c>
      <c r="G79" s="289">
        <v>0</v>
      </c>
      <c r="H79" s="289"/>
      <c r="I79" s="289">
        <v>0</v>
      </c>
      <c r="J79" s="289"/>
      <c r="K79" s="289">
        <v>0</v>
      </c>
      <c r="L79" s="289">
        <v>0</v>
      </c>
      <c r="M79" s="289">
        <v>0</v>
      </c>
      <c r="N79" s="289">
        <v>0</v>
      </c>
      <c r="O79" s="289">
        <v>0</v>
      </c>
      <c r="P79" s="289">
        <v>0</v>
      </c>
      <c r="Q79" s="289"/>
      <c r="R79" s="404">
        <f t="shared" si="6"/>
        <v>82874</v>
      </c>
      <c r="S79" s="401">
        <v>0</v>
      </c>
      <c r="T79" s="404">
        <f t="shared" si="7"/>
        <v>82874</v>
      </c>
      <c r="V79" s="404">
        <f t="shared" si="8"/>
        <v>11</v>
      </c>
    </row>
    <row r="80" spans="1:22">
      <c r="A80" s="400">
        <v>78</v>
      </c>
      <c r="B80" s="502" t="str">
        <f>+PERBULAN!B83</f>
        <v>SUMARTO EVENDI</v>
      </c>
      <c r="C80" s="503" t="str">
        <f>+Des!E83</f>
        <v>-</v>
      </c>
      <c r="D80" s="504">
        <v>0</v>
      </c>
      <c r="E80" s="504">
        <v>0</v>
      </c>
      <c r="F80" s="504">
        <v>83385</v>
      </c>
      <c r="G80" s="504">
        <v>0</v>
      </c>
      <c r="H80" s="504"/>
      <c r="I80" s="504">
        <v>0</v>
      </c>
      <c r="J80" s="504"/>
      <c r="K80" s="504">
        <v>0</v>
      </c>
      <c r="L80" s="504">
        <v>0</v>
      </c>
      <c r="M80" s="504">
        <v>0</v>
      </c>
      <c r="N80" s="504">
        <v>0</v>
      </c>
      <c r="O80" s="504">
        <v>0</v>
      </c>
      <c r="P80" s="504"/>
      <c r="Q80" s="504"/>
      <c r="R80" s="505">
        <f t="shared" si="6"/>
        <v>83385</v>
      </c>
      <c r="S80" s="506">
        <v>0</v>
      </c>
      <c r="T80" s="505">
        <f t="shared" si="7"/>
        <v>83385</v>
      </c>
      <c r="U80" s="507"/>
      <c r="V80" s="505">
        <f t="shared" si="8"/>
        <v>10</v>
      </c>
    </row>
    <row r="81" spans="1:22">
      <c r="A81" s="400">
        <v>79</v>
      </c>
      <c r="B81" s="300" t="str">
        <f>+PERBULAN!B84</f>
        <v>HERMAN</v>
      </c>
      <c r="C81" s="407" t="str">
        <f>+Des!E84</f>
        <v>84.484.558.6-305.000</v>
      </c>
      <c r="D81" s="289">
        <v>0</v>
      </c>
      <c r="E81" s="289">
        <v>0</v>
      </c>
      <c r="F81" s="289">
        <v>124930</v>
      </c>
      <c r="G81" s="289">
        <v>0</v>
      </c>
      <c r="H81" s="289"/>
      <c r="I81" s="289">
        <v>0</v>
      </c>
      <c r="J81" s="289"/>
      <c r="K81" s="289">
        <v>0</v>
      </c>
      <c r="L81" s="289">
        <v>0</v>
      </c>
      <c r="M81" s="289">
        <v>0</v>
      </c>
      <c r="N81" s="289">
        <v>0</v>
      </c>
      <c r="O81" s="289">
        <v>0</v>
      </c>
      <c r="P81" s="289">
        <v>0</v>
      </c>
      <c r="Q81" s="289"/>
      <c r="R81" s="404">
        <f t="shared" si="6"/>
        <v>124930</v>
      </c>
      <c r="S81" s="401">
        <v>0</v>
      </c>
      <c r="T81" s="404">
        <f t="shared" si="7"/>
        <v>124930</v>
      </c>
      <c r="V81" s="404">
        <f t="shared" si="8"/>
        <v>11</v>
      </c>
    </row>
    <row r="82" spans="1:22">
      <c r="A82" s="400">
        <v>80</v>
      </c>
      <c r="B82" s="300" t="str">
        <f>+PERBULAN!B85</f>
        <v>ANDRES CAHYADI</v>
      </c>
      <c r="C82" s="407" t="str">
        <f>+Des!E85</f>
        <v>-</v>
      </c>
      <c r="D82" s="289">
        <v>0</v>
      </c>
      <c r="E82" s="289">
        <v>0</v>
      </c>
      <c r="F82" s="289">
        <v>82326</v>
      </c>
      <c r="G82" s="289">
        <v>0</v>
      </c>
      <c r="H82" s="289"/>
      <c r="I82" s="289">
        <v>0</v>
      </c>
      <c r="J82" s="289"/>
      <c r="K82" s="289">
        <v>0</v>
      </c>
      <c r="L82" s="289">
        <v>0</v>
      </c>
      <c r="M82" s="289">
        <v>0</v>
      </c>
      <c r="N82" s="289">
        <v>0</v>
      </c>
      <c r="O82" s="289">
        <v>0</v>
      </c>
      <c r="P82" s="289">
        <v>0</v>
      </c>
      <c r="Q82" s="289"/>
      <c r="R82" s="404">
        <f t="shared" si="6"/>
        <v>82326</v>
      </c>
      <c r="S82" s="401">
        <v>0</v>
      </c>
      <c r="T82" s="404">
        <f t="shared" si="7"/>
        <v>82326</v>
      </c>
      <c r="V82" s="404">
        <f t="shared" si="8"/>
        <v>11</v>
      </c>
    </row>
    <row r="83" spans="1:22">
      <c r="A83" s="400">
        <v>81</v>
      </c>
      <c r="B83" s="300" t="str">
        <f>+PERBULAN!B86</f>
        <v>SAMSIR</v>
      </c>
      <c r="C83" s="407" t="str">
        <f>+Des!E86</f>
        <v>-</v>
      </c>
      <c r="D83" s="289">
        <v>0</v>
      </c>
      <c r="E83" s="289">
        <v>0</v>
      </c>
      <c r="F83" s="289">
        <v>121060</v>
      </c>
      <c r="G83" s="289">
        <v>0</v>
      </c>
      <c r="H83" s="289"/>
      <c r="I83" s="289">
        <v>0</v>
      </c>
      <c r="J83" s="289"/>
      <c r="K83" s="289">
        <v>0</v>
      </c>
      <c r="L83" s="289">
        <v>0</v>
      </c>
      <c r="M83" s="289">
        <v>0</v>
      </c>
      <c r="N83" s="289">
        <v>0</v>
      </c>
      <c r="O83" s="289">
        <v>0</v>
      </c>
      <c r="P83" s="289">
        <v>0</v>
      </c>
      <c r="Q83" s="289"/>
      <c r="R83" s="404">
        <f t="shared" si="6"/>
        <v>121060</v>
      </c>
      <c r="S83" s="401">
        <v>0</v>
      </c>
      <c r="T83" s="404">
        <f t="shared" si="7"/>
        <v>121060</v>
      </c>
      <c r="V83" s="404">
        <f t="shared" si="8"/>
        <v>11</v>
      </c>
    </row>
    <row r="84" spans="1:22">
      <c r="A84" s="400">
        <v>82</v>
      </c>
      <c r="B84" s="502" t="str">
        <f>+PERBULAN!B87</f>
        <v>FEBRIANSYAH</v>
      </c>
      <c r="C84" s="503" t="str">
        <f>+Des!E87</f>
        <v>-</v>
      </c>
      <c r="D84" s="504"/>
      <c r="E84" s="504">
        <v>0</v>
      </c>
      <c r="F84" s="504">
        <v>82793</v>
      </c>
      <c r="G84" s="504">
        <v>0</v>
      </c>
      <c r="H84" s="504"/>
      <c r="I84" s="504">
        <v>0</v>
      </c>
      <c r="J84" s="504"/>
      <c r="K84" s="504"/>
      <c r="L84" s="504"/>
      <c r="M84" s="504"/>
      <c r="N84" s="504"/>
      <c r="O84" s="504"/>
      <c r="P84" s="504"/>
      <c r="Q84" s="504"/>
      <c r="R84" s="505">
        <f t="shared" si="6"/>
        <v>82793</v>
      </c>
      <c r="S84" s="506">
        <v>0</v>
      </c>
      <c r="T84" s="505">
        <f t="shared" si="7"/>
        <v>82793</v>
      </c>
      <c r="U84" s="507"/>
      <c r="V84" s="505">
        <f t="shared" si="8"/>
        <v>4</v>
      </c>
    </row>
    <row r="85" spans="1:22">
      <c r="A85" s="400">
        <v>83</v>
      </c>
      <c r="B85" s="300" t="str">
        <f>+PERBULAN!B88</f>
        <v>WIDI JULIANSYAH</v>
      </c>
      <c r="C85" s="407" t="str">
        <f>+Des!E88</f>
        <v>-</v>
      </c>
      <c r="D85" s="500"/>
      <c r="E85" s="289">
        <v>0</v>
      </c>
      <c r="F85" s="289">
        <v>119688</v>
      </c>
      <c r="G85" s="289">
        <v>0</v>
      </c>
      <c r="H85" s="289"/>
      <c r="I85" s="289">
        <v>0</v>
      </c>
      <c r="J85" s="289"/>
      <c r="K85" s="289">
        <v>0</v>
      </c>
      <c r="L85" s="289">
        <v>0</v>
      </c>
      <c r="M85" s="289">
        <v>0</v>
      </c>
      <c r="N85" s="289">
        <v>0</v>
      </c>
      <c r="O85" s="289">
        <v>0</v>
      </c>
      <c r="P85" s="289">
        <v>0</v>
      </c>
      <c r="Q85" s="289"/>
      <c r="R85" s="404">
        <f t="shared" si="6"/>
        <v>119688</v>
      </c>
      <c r="S85" s="401">
        <v>0</v>
      </c>
      <c r="T85" s="404">
        <f t="shared" si="7"/>
        <v>119688</v>
      </c>
      <c r="V85" s="404">
        <f t="shared" si="8"/>
        <v>10</v>
      </c>
    </row>
    <row r="86" spans="1:22">
      <c r="A86" s="400">
        <v>84</v>
      </c>
      <c r="B86" s="502" t="str">
        <f>+PERBULAN!B89</f>
        <v>ANGGA NURDIANSYAH</v>
      </c>
      <c r="C86" s="503" t="str">
        <f>+Des!E89</f>
        <v>-</v>
      </c>
      <c r="D86" s="504">
        <v>0</v>
      </c>
      <c r="E86" s="504">
        <v>0</v>
      </c>
      <c r="F86" s="504">
        <v>140351</v>
      </c>
      <c r="G86" s="504">
        <v>0</v>
      </c>
      <c r="H86" s="504"/>
      <c r="I86" s="504">
        <v>0</v>
      </c>
      <c r="J86" s="504"/>
      <c r="K86" s="504">
        <v>0</v>
      </c>
      <c r="L86" s="504">
        <v>0</v>
      </c>
      <c r="M86" s="504">
        <v>0</v>
      </c>
      <c r="N86" s="504">
        <v>0</v>
      </c>
      <c r="O86" s="504">
        <v>0</v>
      </c>
      <c r="P86" s="504">
        <v>0</v>
      </c>
      <c r="Q86" s="504"/>
      <c r="R86" s="505">
        <f t="shared" si="6"/>
        <v>140351</v>
      </c>
      <c r="S86" s="506">
        <v>0</v>
      </c>
      <c r="T86" s="505">
        <f t="shared" si="7"/>
        <v>140351</v>
      </c>
      <c r="U86" s="507"/>
      <c r="V86" s="505">
        <f t="shared" si="8"/>
        <v>11</v>
      </c>
    </row>
    <row r="87" spans="1:22">
      <c r="A87" s="400">
        <v>85</v>
      </c>
      <c r="B87" s="300" t="str">
        <f>+PERBULAN!B90</f>
        <v>ISMAIL</v>
      </c>
      <c r="C87" s="407" t="str">
        <f>+Des!E90</f>
        <v>-</v>
      </c>
      <c r="D87" s="289">
        <v>0</v>
      </c>
      <c r="E87" s="289">
        <v>0</v>
      </c>
      <c r="F87" s="289">
        <v>194033</v>
      </c>
      <c r="G87" s="289">
        <v>0</v>
      </c>
      <c r="H87" s="289"/>
      <c r="I87" s="289">
        <v>0</v>
      </c>
      <c r="J87" s="289"/>
      <c r="K87" s="289">
        <v>0</v>
      </c>
      <c r="L87" s="289">
        <v>0</v>
      </c>
      <c r="M87" s="289">
        <v>0</v>
      </c>
      <c r="N87" s="289">
        <v>0</v>
      </c>
      <c r="O87" s="289">
        <v>0</v>
      </c>
      <c r="P87" s="289">
        <v>0</v>
      </c>
      <c r="Q87" s="289"/>
      <c r="R87" s="404">
        <f t="shared" si="6"/>
        <v>194033</v>
      </c>
      <c r="S87" s="401">
        <v>0</v>
      </c>
      <c r="T87" s="404">
        <f t="shared" si="7"/>
        <v>194033</v>
      </c>
      <c r="V87" s="404">
        <f t="shared" si="8"/>
        <v>11</v>
      </c>
    </row>
    <row r="88" spans="1:22">
      <c r="A88" s="400">
        <v>86</v>
      </c>
      <c r="B88" s="300" t="str">
        <f>+PERBULAN!B91</f>
        <v>JOPI APRIAN HIDAYAT</v>
      </c>
      <c r="C88" s="407" t="str">
        <f>+Des!E91</f>
        <v>-</v>
      </c>
      <c r="D88" s="289">
        <v>0</v>
      </c>
      <c r="E88" s="289">
        <v>0</v>
      </c>
      <c r="F88" s="289">
        <v>193058</v>
      </c>
      <c r="G88" s="289">
        <v>0</v>
      </c>
      <c r="H88" s="289"/>
      <c r="I88" s="289">
        <v>0</v>
      </c>
      <c r="J88" s="289"/>
      <c r="K88" s="289">
        <v>0</v>
      </c>
      <c r="L88" s="289">
        <v>0</v>
      </c>
      <c r="M88" s="289">
        <v>0</v>
      </c>
      <c r="N88" s="289">
        <v>0</v>
      </c>
      <c r="O88" s="289">
        <v>0</v>
      </c>
      <c r="P88" s="289">
        <v>0</v>
      </c>
      <c r="Q88" s="289"/>
      <c r="R88" s="404">
        <f t="shared" si="6"/>
        <v>193058</v>
      </c>
      <c r="S88" s="401">
        <v>0</v>
      </c>
      <c r="T88" s="404">
        <f t="shared" si="7"/>
        <v>193058</v>
      </c>
      <c r="V88" s="404">
        <f t="shared" si="8"/>
        <v>11</v>
      </c>
    </row>
    <row r="89" spans="1:22">
      <c r="A89" s="400">
        <v>87</v>
      </c>
      <c r="B89" s="502" t="str">
        <f>+PERBULAN!B92</f>
        <v>BINTANG ADITYA REVALDO</v>
      </c>
      <c r="C89" s="503" t="str">
        <f>+Des!E92</f>
        <v>-</v>
      </c>
      <c r="D89" s="504"/>
      <c r="E89" s="504">
        <v>0</v>
      </c>
      <c r="F89" s="504">
        <v>0</v>
      </c>
      <c r="G89" s="504">
        <v>0</v>
      </c>
      <c r="H89" s="504"/>
      <c r="I89" s="504">
        <v>0</v>
      </c>
      <c r="J89" s="504"/>
      <c r="K89" s="504"/>
      <c r="L89" s="504"/>
      <c r="M89" s="504"/>
      <c r="N89" s="504"/>
      <c r="O89" s="504"/>
      <c r="P89" s="504"/>
      <c r="Q89" s="504"/>
      <c r="R89" s="505">
        <f t="shared" si="6"/>
        <v>0</v>
      </c>
      <c r="S89" s="506">
        <v>0</v>
      </c>
      <c r="T89" s="505">
        <f t="shared" si="7"/>
        <v>0</v>
      </c>
      <c r="U89" s="507"/>
      <c r="V89" s="505">
        <f t="shared" si="8"/>
        <v>4</v>
      </c>
    </row>
    <row r="90" spans="1:22">
      <c r="A90" s="400">
        <v>88</v>
      </c>
      <c r="B90" s="300" t="str">
        <f>+PERBULAN!B93</f>
        <v>SOLEHAN</v>
      </c>
      <c r="C90" s="407" t="s">
        <v>73</v>
      </c>
      <c r="D90" s="289">
        <v>0</v>
      </c>
      <c r="E90" s="289">
        <v>0</v>
      </c>
      <c r="F90" s="289">
        <v>138683</v>
      </c>
      <c r="G90" s="289">
        <v>0</v>
      </c>
      <c r="H90" s="289"/>
      <c r="I90" s="289">
        <v>0</v>
      </c>
      <c r="J90" s="289"/>
      <c r="K90" s="289">
        <v>0</v>
      </c>
      <c r="L90" s="289">
        <v>0</v>
      </c>
      <c r="M90" s="289">
        <v>0</v>
      </c>
      <c r="N90" s="289">
        <v>0</v>
      </c>
      <c r="O90" s="289">
        <v>0</v>
      </c>
      <c r="P90" s="289">
        <v>0</v>
      </c>
      <c r="Q90" s="289"/>
      <c r="R90" s="404">
        <f t="shared" si="6"/>
        <v>138683</v>
      </c>
      <c r="S90" s="401">
        <v>0</v>
      </c>
      <c r="T90" s="404">
        <f t="shared" si="7"/>
        <v>138683</v>
      </c>
      <c r="V90" s="404">
        <f t="shared" si="8"/>
        <v>11</v>
      </c>
    </row>
    <row r="91" spans="1:22">
      <c r="A91" s="400">
        <v>89</v>
      </c>
      <c r="B91" s="300" t="str">
        <f>+PERBULAN!B94</f>
        <v>WIRANTO</v>
      </c>
      <c r="C91" s="407" t="s">
        <v>73</v>
      </c>
      <c r="D91" s="289">
        <v>0</v>
      </c>
      <c r="E91" s="289">
        <v>0</v>
      </c>
      <c r="F91" s="289">
        <v>162989</v>
      </c>
      <c r="G91" s="289">
        <v>0</v>
      </c>
      <c r="H91" s="289"/>
      <c r="I91" s="289">
        <v>0</v>
      </c>
      <c r="J91" s="289"/>
      <c r="K91" s="289">
        <v>0</v>
      </c>
      <c r="L91" s="289">
        <v>0</v>
      </c>
      <c r="M91" s="289">
        <v>0</v>
      </c>
      <c r="N91" s="289">
        <v>0</v>
      </c>
      <c r="O91" s="289">
        <v>0</v>
      </c>
      <c r="P91" s="289">
        <v>0</v>
      </c>
      <c r="Q91" s="289"/>
      <c r="R91" s="404">
        <f t="shared" si="6"/>
        <v>162989</v>
      </c>
      <c r="S91" s="401">
        <v>0</v>
      </c>
      <c r="T91" s="404">
        <f t="shared" si="7"/>
        <v>162989</v>
      </c>
      <c r="V91" s="404">
        <f t="shared" si="8"/>
        <v>11</v>
      </c>
    </row>
    <row r="92" spans="1:22">
      <c r="A92" s="400">
        <v>90</v>
      </c>
      <c r="B92" s="502" t="str">
        <f>+PERBULAN!B95</f>
        <v>RUSDIANA</v>
      </c>
      <c r="C92" s="503" t="s">
        <v>706</v>
      </c>
      <c r="D92" s="504">
        <v>0</v>
      </c>
      <c r="E92" s="504">
        <v>0</v>
      </c>
      <c r="F92" s="504">
        <v>89258</v>
      </c>
      <c r="G92" s="504">
        <v>0</v>
      </c>
      <c r="H92" s="504"/>
      <c r="I92" s="504">
        <v>0</v>
      </c>
      <c r="J92" s="504"/>
      <c r="K92" s="504">
        <v>0</v>
      </c>
      <c r="L92" s="504">
        <v>0</v>
      </c>
      <c r="M92" s="504">
        <v>0</v>
      </c>
      <c r="N92" s="504">
        <v>0</v>
      </c>
      <c r="O92" s="504"/>
      <c r="P92" s="504"/>
      <c r="Q92" s="504"/>
      <c r="R92" s="505">
        <f t="shared" si="6"/>
        <v>89258</v>
      </c>
      <c r="S92" s="506">
        <v>0</v>
      </c>
      <c r="T92" s="505">
        <f t="shared" si="7"/>
        <v>89258</v>
      </c>
      <c r="U92" s="507"/>
      <c r="V92" s="505">
        <f t="shared" si="8"/>
        <v>9</v>
      </c>
    </row>
    <row r="93" spans="1:22">
      <c r="A93" s="400">
        <v>91</v>
      </c>
      <c r="B93" s="300" t="str">
        <f>+PERBULAN!B96</f>
        <v>EDI ZULKARNADI</v>
      </c>
      <c r="C93" s="407" t="s">
        <v>726</v>
      </c>
      <c r="D93" s="289">
        <v>0</v>
      </c>
      <c r="E93" s="289">
        <v>0</v>
      </c>
      <c r="F93" s="289">
        <v>85203</v>
      </c>
      <c r="G93" s="289">
        <v>0</v>
      </c>
      <c r="H93" s="289"/>
      <c r="I93" s="289">
        <v>0</v>
      </c>
      <c r="J93" s="289"/>
      <c r="K93" s="289">
        <v>0</v>
      </c>
      <c r="L93" s="289">
        <v>0</v>
      </c>
      <c r="M93" s="289">
        <v>0</v>
      </c>
      <c r="N93" s="289">
        <v>0</v>
      </c>
      <c r="O93" s="289">
        <v>0</v>
      </c>
      <c r="P93" s="289">
        <v>0</v>
      </c>
      <c r="Q93" s="289"/>
      <c r="R93" s="404">
        <f t="shared" si="6"/>
        <v>85203</v>
      </c>
      <c r="S93" s="401">
        <v>0</v>
      </c>
      <c r="T93" s="404">
        <f t="shared" si="7"/>
        <v>85203</v>
      </c>
      <c r="V93" s="404">
        <f t="shared" si="8"/>
        <v>11</v>
      </c>
    </row>
    <row r="94" spans="1:22">
      <c r="A94" s="400">
        <v>92</v>
      </c>
      <c r="B94" s="300" t="str">
        <f>+PERBULAN!B97</f>
        <v>ERLANDA</v>
      </c>
      <c r="C94" s="407" t="s">
        <v>73</v>
      </c>
      <c r="D94" s="289">
        <v>0</v>
      </c>
      <c r="E94" s="289">
        <v>0</v>
      </c>
      <c r="F94" s="289">
        <v>82508</v>
      </c>
      <c r="G94" s="289">
        <v>0</v>
      </c>
      <c r="H94" s="289"/>
      <c r="I94" s="289">
        <v>0</v>
      </c>
      <c r="J94" s="289"/>
      <c r="K94" s="289">
        <v>0</v>
      </c>
      <c r="L94" s="289">
        <v>0</v>
      </c>
      <c r="M94" s="289">
        <v>0</v>
      </c>
      <c r="N94" s="289">
        <v>0</v>
      </c>
      <c r="O94" s="289">
        <v>0</v>
      </c>
      <c r="P94" s="289">
        <v>0</v>
      </c>
      <c r="Q94" s="289"/>
      <c r="R94" s="404">
        <f t="shared" si="6"/>
        <v>82508</v>
      </c>
      <c r="S94" s="401">
        <v>0</v>
      </c>
      <c r="T94" s="404">
        <f t="shared" si="7"/>
        <v>82508</v>
      </c>
      <c r="V94" s="404">
        <f t="shared" si="8"/>
        <v>11</v>
      </c>
    </row>
    <row r="95" spans="1:22">
      <c r="A95" s="400">
        <v>93</v>
      </c>
      <c r="B95" s="300" t="str">
        <f>+PERBULAN!B98</f>
        <v>SUNARDI</v>
      </c>
      <c r="C95" s="407" t="s">
        <v>73</v>
      </c>
      <c r="D95" s="289">
        <v>0</v>
      </c>
      <c r="E95" s="289">
        <v>0</v>
      </c>
      <c r="F95" s="289">
        <v>87096</v>
      </c>
      <c r="G95" s="289">
        <v>0</v>
      </c>
      <c r="H95" s="289"/>
      <c r="I95" s="289">
        <v>0</v>
      </c>
      <c r="J95" s="289"/>
      <c r="K95" s="289">
        <v>0</v>
      </c>
      <c r="L95" s="289">
        <v>0</v>
      </c>
      <c r="M95" s="289">
        <v>0</v>
      </c>
      <c r="N95" s="289">
        <v>0</v>
      </c>
      <c r="O95" s="289">
        <v>0</v>
      </c>
      <c r="P95" s="289">
        <v>0</v>
      </c>
      <c r="Q95" s="289"/>
      <c r="R95" s="404">
        <f t="shared" si="6"/>
        <v>87096</v>
      </c>
      <c r="S95" s="401">
        <v>0</v>
      </c>
      <c r="T95" s="404">
        <f t="shared" si="7"/>
        <v>87096</v>
      </c>
      <c r="V95" s="404">
        <f t="shared" si="8"/>
        <v>11</v>
      </c>
    </row>
    <row r="96" spans="1:22">
      <c r="A96" s="400">
        <v>94</v>
      </c>
      <c r="B96" s="300" t="str">
        <f>+PERBULAN!B99</f>
        <v>ANDRI GUNAWAN</v>
      </c>
      <c r="C96" s="407" t="s">
        <v>73</v>
      </c>
      <c r="D96" s="500"/>
      <c r="E96" s="500"/>
      <c r="F96" s="289">
        <v>0</v>
      </c>
      <c r="G96" s="289">
        <v>0</v>
      </c>
      <c r="H96" s="289"/>
      <c r="I96" s="289">
        <v>0</v>
      </c>
      <c r="J96" s="289"/>
      <c r="K96" s="289">
        <v>0</v>
      </c>
      <c r="L96" s="289">
        <v>0</v>
      </c>
      <c r="M96" s="289">
        <v>0</v>
      </c>
      <c r="N96" s="289">
        <v>0</v>
      </c>
      <c r="O96" s="289">
        <v>0</v>
      </c>
      <c r="P96" s="289">
        <v>0</v>
      </c>
      <c r="Q96" s="289"/>
      <c r="R96" s="404">
        <f t="shared" si="6"/>
        <v>0</v>
      </c>
      <c r="S96" s="401">
        <v>0</v>
      </c>
      <c r="T96" s="404">
        <f t="shared" si="7"/>
        <v>0</v>
      </c>
      <c r="V96" s="404">
        <f t="shared" si="8"/>
        <v>9</v>
      </c>
    </row>
    <row r="97" spans="1:22">
      <c r="A97" s="400">
        <v>95</v>
      </c>
      <c r="B97" s="300" t="str">
        <f>+PERBULAN!B100</f>
        <v>JUPRI</v>
      </c>
      <c r="C97" s="407" t="s">
        <v>73</v>
      </c>
      <c r="D97" s="289">
        <v>0</v>
      </c>
      <c r="E97" s="289">
        <v>0</v>
      </c>
      <c r="F97" s="289">
        <v>85964</v>
      </c>
      <c r="G97" s="289">
        <v>0</v>
      </c>
      <c r="H97" s="289"/>
      <c r="I97" s="289">
        <v>0</v>
      </c>
      <c r="J97" s="289"/>
      <c r="K97" s="289">
        <v>0</v>
      </c>
      <c r="L97" s="289">
        <v>0</v>
      </c>
      <c r="M97" s="289">
        <v>0</v>
      </c>
      <c r="N97" s="289">
        <v>0</v>
      </c>
      <c r="O97" s="289">
        <v>0</v>
      </c>
      <c r="P97" s="289">
        <v>0</v>
      </c>
      <c r="Q97" s="289"/>
      <c r="R97" s="404">
        <f t="shared" si="6"/>
        <v>85964</v>
      </c>
      <c r="S97" s="401">
        <v>0</v>
      </c>
      <c r="T97" s="404">
        <f t="shared" si="7"/>
        <v>85964</v>
      </c>
      <c r="V97" s="404">
        <f t="shared" si="8"/>
        <v>11</v>
      </c>
    </row>
    <row r="98" spans="1:22">
      <c r="A98" s="400">
        <v>96</v>
      </c>
      <c r="B98" s="300" t="str">
        <f>+PERBULAN!B101</f>
        <v>RAMADHAN</v>
      </c>
      <c r="C98" s="407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404">
        <f t="shared" si="6"/>
        <v>0</v>
      </c>
      <c r="S98" s="401">
        <v>0</v>
      </c>
      <c r="T98" s="404">
        <f t="shared" si="7"/>
        <v>0</v>
      </c>
      <c r="V98" s="404">
        <f t="shared" si="8"/>
        <v>0</v>
      </c>
    </row>
    <row r="99" spans="1:22">
      <c r="A99" s="400">
        <v>97</v>
      </c>
      <c r="B99" s="300" t="str">
        <f>+PERBULAN!B102</f>
        <v>RAFIANSYAH</v>
      </c>
      <c r="C99" s="407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404">
        <f t="shared" si="6"/>
        <v>0</v>
      </c>
      <c r="S99" s="401">
        <v>0</v>
      </c>
      <c r="T99" s="404">
        <f t="shared" si="7"/>
        <v>0</v>
      </c>
      <c r="V99" s="404">
        <f t="shared" si="8"/>
        <v>0</v>
      </c>
    </row>
    <row r="100" spans="1:22">
      <c r="A100" s="400">
        <v>98</v>
      </c>
      <c r="B100" s="300" t="str">
        <f>+PERBULAN!B103</f>
        <v>VIRGA</v>
      </c>
      <c r="C100" s="407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404">
        <f t="shared" si="6"/>
        <v>0</v>
      </c>
      <c r="S100" s="401">
        <v>0</v>
      </c>
      <c r="T100" s="404">
        <f t="shared" si="7"/>
        <v>0</v>
      </c>
      <c r="V100" s="404">
        <f t="shared" si="8"/>
        <v>0</v>
      </c>
    </row>
    <row r="101" spans="1:22">
      <c r="A101" s="400">
        <v>99</v>
      </c>
      <c r="B101" s="300" t="str">
        <f>+PERBULAN!B104</f>
        <v>TARMIZI</v>
      </c>
      <c r="C101" s="407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404">
        <f t="shared" si="6"/>
        <v>0</v>
      </c>
      <c r="S101" s="401">
        <v>0</v>
      </c>
      <c r="T101" s="404">
        <f t="shared" ref="T101:T114" si="9">R101-S101</f>
        <v>0</v>
      </c>
      <c r="V101" s="404">
        <f t="shared" ref="V101:V114" si="10">COUNT(D101:Q101)-COUNT(H101)-COUNT(J101)</f>
        <v>0</v>
      </c>
    </row>
    <row r="102" spans="1:22">
      <c r="A102" s="400">
        <v>100</v>
      </c>
      <c r="B102" s="300" t="str">
        <f>+PERBULAN!B105</f>
        <v>ANDREAS</v>
      </c>
      <c r="C102" s="407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404">
        <f t="shared" si="6"/>
        <v>0</v>
      </c>
      <c r="S102" s="401">
        <v>0</v>
      </c>
      <c r="T102" s="404">
        <f t="shared" si="9"/>
        <v>0</v>
      </c>
      <c r="V102" s="404">
        <f t="shared" si="10"/>
        <v>0</v>
      </c>
    </row>
    <row r="103" spans="1:22">
      <c r="A103" s="400">
        <v>101</v>
      </c>
      <c r="B103" s="300">
        <f>+PERBULAN!B106</f>
        <v>0</v>
      </c>
      <c r="C103" s="407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404">
        <f t="shared" si="6"/>
        <v>0</v>
      </c>
      <c r="S103" s="401">
        <v>0</v>
      </c>
      <c r="T103" s="404">
        <f t="shared" si="9"/>
        <v>0</v>
      </c>
      <c r="V103" s="404">
        <f t="shared" si="10"/>
        <v>0</v>
      </c>
    </row>
    <row r="104" spans="1:22">
      <c r="A104" s="400">
        <v>102</v>
      </c>
      <c r="B104" s="300">
        <f>+PERBULAN!B107</f>
        <v>0</v>
      </c>
      <c r="C104" s="407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404">
        <f t="shared" si="6"/>
        <v>0</v>
      </c>
      <c r="S104" s="401">
        <v>0</v>
      </c>
      <c r="T104" s="404">
        <f t="shared" si="9"/>
        <v>0</v>
      </c>
      <c r="V104" s="404">
        <f t="shared" si="10"/>
        <v>0</v>
      </c>
    </row>
    <row r="105" spans="1:22">
      <c r="A105" s="400">
        <v>103</v>
      </c>
      <c r="B105" s="300">
        <f>+PERBULAN!B108</f>
        <v>0</v>
      </c>
      <c r="C105" s="407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404">
        <f t="shared" si="6"/>
        <v>0</v>
      </c>
      <c r="S105" s="401">
        <v>0</v>
      </c>
      <c r="T105" s="404">
        <f t="shared" si="9"/>
        <v>0</v>
      </c>
      <c r="V105" s="404">
        <f t="shared" si="10"/>
        <v>0</v>
      </c>
    </row>
    <row r="106" spans="1:22">
      <c r="A106" s="400">
        <v>104</v>
      </c>
      <c r="B106" s="300">
        <f>+PERBULAN!B109</f>
        <v>0</v>
      </c>
      <c r="C106" s="407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404">
        <f t="shared" si="6"/>
        <v>0</v>
      </c>
      <c r="S106" s="401">
        <v>0</v>
      </c>
      <c r="T106" s="404">
        <f t="shared" si="9"/>
        <v>0</v>
      </c>
      <c r="V106" s="404">
        <f t="shared" si="10"/>
        <v>0</v>
      </c>
    </row>
    <row r="107" spans="1:22">
      <c r="A107" s="400">
        <v>105</v>
      </c>
      <c r="B107" s="300">
        <f>+PERBULAN!B110</f>
        <v>0</v>
      </c>
      <c r="C107" s="407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404">
        <f t="shared" si="6"/>
        <v>0</v>
      </c>
      <c r="S107" s="401">
        <v>0</v>
      </c>
      <c r="T107" s="404">
        <f t="shared" si="9"/>
        <v>0</v>
      </c>
      <c r="V107" s="404">
        <f t="shared" si="10"/>
        <v>0</v>
      </c>
    </row>
    <row r="108" spans="1:22">
      <c r="A108" s="400">
        <v>106</v>
      </c>
      <c r="B108" s="300">
        <f>+PERBULAN!B111</f>
        <v>0</v>
      </c>
      <c r="C108" s="407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404">
        <f t="shared" si="6"/>
        <v>0</v>
      </c>
      <c r="S108" s="401">
        <v>0</v>
      </c>
      <c r="T108" s="404">
        <f t="shared" si="9"/>
        <v>0</v>
      </c>
      <c r="V108" s="404">
        <f t="shared" si="10"/>
        <v>0</v>
      </c>
    </row>
    <row r="109" spans="1:22">
      <c r="A109" s="400">
        <v>107</v>
      </c>
      <c r="B109" s="300">
        <f>+PERBULAN!B112</f>
        <v>0</v>
      </c>
      <c r="C109" s="407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404">
        <f t="shared" si="6"/>
        <v>0</v>
      </c>
      <c r="S109" s="401">
        <v>0</v>
      </c>
      <c r="T109" s="404">
        <f t="shared" si="9"/>
        <v>0</v>
      </c>
      <c r="V109" s="404">
        <f t="shared" si="10"/>
        <v>0</v>
      </c>
    </row>
    <row r="110" spans="1:22">
      <c r="A110" s="400">
        <v>108</v>
      </c>
      <c r="B110" s="300">
        <f>+PERBULAN!B113</f>
        <v>0</v>
      </c>
      <c r="C110" s="407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404">
        <f t="shared" si="6"/>
        <v>0</v>
      </c>
      <c r="S110" s="401">
        <v>0</v>
      </c>
      <c r="T110" s="404">
        <f t="shared" si="9"/>
        <v>0</v>
      </c>
      <c r="V110" s="404">
        <f t="shared" si="10"/>
        <v>0</v>
      </c>
    </row>
    <row r="111" spans="1:22">
      <c r="A111" s="400">
        <v>109</v>
      </c>
      <c r="B111" s="300">
        <f>+PERBULAN!B114</f>
        <v>0</v>
      </c>
      <c r="C111" s="407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404">
        <f t="shared" ref="R111:R114" si="11">SUM(D111:Q111)</f>
        <v>0</v>
      </c>
      <c r="S111" s="401">
        <v>0</v>
      </c>
      <c r="T111" s="404">
        <f t="shared" si="9"/>
        <v>0</v>
      </c>
      <c r="V111" s="404">
        <f t="shared" si="10"/>
        <v>0</v>
      </c>
    </row>
    <row r="112" spans="1:22">
      <c r="A112" s="400">
        <v>110</v>
      </c>
      <c r="B112" s="300">
        <f>+PERBULAN!B115</f>
        <v>0</v>
      </c>
      <c r="C112" s="407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404">
        <f t="shared" si="11"/>
        <v>0</v>
      </c>
      <c r="S112" s="401">
        <v>0</v>
      </c>
      <c r="T112" s="404">
        <f t="shared" si="9"/>
        <v>0</v>
      </c>
      <c r="V112" s="404">
        <f t="shared" si="10"/>
        <v>0</v>
      </c>
    </row>
    <row r="113" spans="1:22">
      <c r="A113" s="400">
        <v>111</v>
      </c>
      <c r="B113" s="300">
        <f>+PERBULAN!B116</f>
        <v>0</v>
      </c>
      <c r="C113" s="407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404">
        <f t="shared" si="11"/>
        <v>0</v>
      </c>
      <c r="S113" s="401">
        <v>0</v>
      </c>
      <c r="T113" s="404">
        <f t="shared" si="9"/>
        <v>0</v>
      </c>
      <c r="V113" s="404">
        <f t="shared" si="10"/>
        <v>0</v>
      </c>
    </row>
    <row r="114" spans="1:22">
      <c r="A114" s="400">
        <v>112</v>
      </c>
      <c r="B114" s="300">
        <f>+PERBULAN!B117</f>
        <v>0</v>
      </c>
      <c r="C114" s="407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404">
        <f t="shared" si="11"/>
        <v>0</v>
      </c>
      <c r="S114" s="401">
        <v>0</v>
      </c>
      <c r="T114" s="404">
        <f t="shared" si="9"/>
        <v>0</v>
      </c>
      <c r="V114" s="404">
        <f t="shared" si="10"/>
        <v>0</v>
      </c>
    </row>
    <row r="115" spans="1:22" ht="20.25" customHeight="1">
      <c r="B115" s="408" t="s">
        <v>461</v>
      </c>
      <c r="C115" s="493"/>
      <c r="D115" s="408">
        <f t="shared" ref="D115:Q115" si="12">SUM(D3:D114)</f>
        <v>289676</v>
      </c>
      <c r="E115" s="408">
        <f t="shared" si="12"/>
        <v>266120</v>
      </c>
      <c r="F115" s="408">
        <f t="shared" si="12"/>
        <v>10350818</v>
      </c>
      <c r="G115" s="408">
        <f t="shared" si="12"/>
        <v>227641</v>
      </c>
      <c r="H115" s="408">
        <f t="shared" si="12"/>
        <v>0</v>
      </c>
      <c r="I115" s="408">
        <f t="shared" si="12"/>
        <v>435621</v>
      </c>
      <c r="J115" s="408">
        <f t="shared" si="12"/>
        <v>0</v>
      </c>
      <c r="K115" s="408">
        <f t="shared" si="12"/>
        <v>106208</v>
      </c>
      <c r="L115" s="408">
        <f t="shared" si="12"/>
        <v>162394</v>
      </c>
      <c r="M115" s="408">
        <f t="shared" si="12"/>
        <v>192422</v>
      </c>
      <c r="N115" s="408">
        <f t="shared" si="12"/>
        <v>126030</v>
      </c>
      <c r="O115" s="408">
        <f t="shared" si="12"/>
        <v>125896</v>
      </c>
      <c r="P115" s="408">
        <f t="shared" si="12"/>
        <v>89620</v>
      </c>
      <c r="Q115" s="408">
        <f t="shared" si="12"/>
        <v>0</v>
      </c>
      <c r="R115" s="404"/>
      <c r="S115" s="401"/>
    </row>
    <row r="116" spans="1:22">
      <c r="R116" s="404">
        <f>SUM(R3:R115)</f>
        <v>12372446</v>
      </c>
      <c r="S116" s="404">
        <f>SUM(S3:S115)</f>
        <v>0</v>
      </c>
      <c r="T116" s="404">
        <f>SUM(T3:T115)</f>
        <v>12372446</v>
      </c>
      <c r="U116" s="404">
        <f>SUM(U3:U115)</f>
        <v>0</v>
      </c>
      <c r="V116" s="404">
        <f>SUM(V3:V115)</f>
        <v>1014</v>
      </c>
    </row>
    <row r="117" spans="1:22">
      <c r="D117" s="400">
        <f>COUNT(D3:D110)</f>
        <v>91</v>
      </c>
      <c r="E117" s="400">
        <f>COUNT(E3:E110)</f>
        <v>94</v>
      </c>
      <c r="F117" s="400">
        <f t="shared" ref="F117:Q117" si="13">COUNT(F3:F110)</f>
        <v>95</v>
      </c>
      <c r="G117" s="400">
        <f t="shared" si="13"/>
        <v>95</v>
      </c>
      <c r="H117" s="400">
        <f t="shared" si="13"/>
        <v>2</v>
      </c>
      <c r="I117" s="400">
        <f t="shared" si="13"/>
        <v>95</v>
      </c>
      <c r="J117" s="400">
        <f t="shared" si="13"/>
        <v>2</v>
      </c>
      <c r="K117" s="400">
        <f t="shared" si="13"/>
        <v>93</v>
      </c>
      <c r="L117" s="400">
        <f t="shared" si="13"/>
        <v>93</v>
      </c>
      <c r="M117" s="400">
        <f t="shared" si="13"/>
        <v>91</v>
      </c>
      <c r="N117" s="400">
        <f>COUNT(N3:N110)</f>
        <v>90</v>
      </c>
      <c r="O117" s="400">
        <f t="shared" si="13"/>
        <v>89</v>
      </c>
      <c r="P117" s="400">
        <f t="shared" si="13"/>
        <v>88</v>
      </c>
      <c r="Q117" s="400">
        <f t="shared" si="13"/>
        <v>0</v>
      </c>
    </row>
    <row r="121" spans="1:22">
      <c r="A121" s="400">
        <v>74</v>
      </c>
      <c r="B121" s="300" t="str">
        <f>+PERBULAN!B121</f>
        <v>HERY</v>
      </c>
      <c r="C121" s="407" t="str">
        <f>+Des!E147</f>
        <v>-</v>
      </c>
      <c r="D121" s="289">
        <v>0</v>
      </c>
      <c r="E121" s="289">
        <v>0</v>
      </c>
      <c r="F121" s="289">
        <v>126139</v>
      </c>
      <c r="G121" s="289">
        <v>0</v>
      </c>
      <c r="H121" s="289"/>
      <c r="I121" s="289">
        <v>0</v>
      </c>
      <c r="J121" s="289"/>
      <c r="K121" s="289">
        <v>0</v>
      </c>
      <c r="L121" s="289">
        <v>0</v>
      </c>
      <c r="M121" s="289">
        <v>0</v>
      </c>
      <c r="N121" s="504"/>
      <c r="O121" s="289"/>
      <c r="P121" s="289"/>
      <c r="Q121" s="289"/>
      <c r="R121" s="404">
        <f>SUM(D121:Q121)</f>
        <v>126139</v>
      </c>
      <c r="S121" s="401">
        <v>0</v>
      </c>
      <c r="T121" s="404">
        <f>R121-S121</f>
        <v>126139</v>
      </c>
      <c r="V121" s="404">
        <f>COUNT(D121:Q121)-COUNT(H121)-COUNT(J121)</f>
        <v>8</v>
      </c>
    </row>
    <row r="122" spans="1:22">
      <c r="A122" s="400">
        <v>2</v>
      </c>
      <c r="B122" s="300" t="str">
        <f>+PERBULAN!B122</f>
        <v>MARETA</v>
      </c>
      <c r="C122" s="402" t="s">
        <v>73</v>
      </c>
      <c r="D122" s="403">
        <v>64750</v>
      </c>
      <c r="E122" s="289">
        <v>44760</v>
      </c>
      <c r="F122" s="289">
        <v>230340</v>
      </c>
      <c r="G122" s="289">
        <v>46209</v>
      </c>
      <c r="H122" s="289"/>
      <c r="I122" s="289">
        <v>113809</v>
      </c>
      <c r="J122" s="289"/>
      <c r="K122" s="289">
        <v>63964</v>
      </c>
      <c r="L122" s="289">
        <v>88067</v>
      </c>
      <c r="M122" s="289">
        <v>92098</v>
      </c>
      <c r="N122" s="289">
        <v>87093</v>
      </c>
      <c r="O122" s="289">
        <v>86107</v>
      </c>
      <c r="P122" s="289"/>
      <c r="Q122" s="289"/>
      <c r="R122" s="404">
        <f>SUM(D122:Q122)</f>
        <v>917197</v>
      </c>
      <c r="S122" s="401">
        <v>0</v>
      </c>
      <c r="T122" s="404">
        <f>R122-S122</f>
        <v>917197</v>
      </c>
      <c r="V122" s="404">
        <f>COUNT(D122:Q122)-COUNT(H122)-COUNT(J122)</f>
        <v>10</v>
      </c>
    </row>
  </sheetData>
  <mergeCells count="3">
    <mergeCell ref="B1:B2"/>
    <mergeCell ref="C1:C2"/>
    <mergeCell ref="D1:Q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3"/>
  <sheetViews>
    <sheetView topLeftCell="A236" workbookViewId="0">
      <pane xSplit="4" topLeftCell="E1" activePane="topRight" state="frozen"/>
      <selection activeCell="R89" sqref="R89"/>
      <selection pane="topRight" activeCell="R89" sqref="R89"/>
    </sheetView>
  </sheetViews>
  <sheetFormatPr defaultRowHeight="21.75" customHeight="1"/>
  <cols>
    <col min="1" max="1" width="5.42578125" style="257" customWidth="1"/>
    <col min="2" max="2" width="25" style="257" customWidth="1"/>
    <col min="3" max="3" width="5.5703125" style="257" hidden="1" customWidth="1"/>
    <col min="4" max="4" width="19.28515625" style="257" hidden="1" customWidth="1"/>
    <col min="5" max="16" width="11.85546875" style="369" customWidth="1"/>
    <col min="17" max="17" width="13.42578125" style="257" customWidth="1"/>
    <col min="18" max="16384" width="9.140625" style="257"/>
  </cols>
  <sheetData>
    <row r="1" spans="1:18" ht="21.75" customHeight="1">
      <c r="B1" s="257" t="s">
        <v>492</v>
      </c>
    </row>
    <row r="2" spans="1:18" ht="21.75" customHeight="1" thickBot="1">
      <c r="B2" s="257" t="s">
        <v>493</v>
      </c>
    </row>
    <row r="3" spans="1:18" ht="21.75" customHeight="1">
      <c r="A3" s="641" t="s">
        <v>494</v>
      </c>
      <c r="B3" s="643" t="s">
        <v>495</v>
      </c>
      <c r="C3" s="370"/>
      <c r="D3" s="370"/>
      <c r="E3" s="645" t="s">
        <v>496</v>
      </c>
      <c r="F3" s="645"/>
      <c r="G3" s="645"/>
      <c r="H3" s="645"/>
      <c r="I3" s="645"/>
      <c r="J3" s="646"/>
      <c r="K3" s="645"/>
      <c r="L3" s="645"/>
      <c r="M3" s="645"/>
      <c r="N3" s="645"/>
      <c r="O3" s="645"/>
      <c r="P3" s="647"/>
      <c r="Q3" s="648" t="s">
        <v>461</v>
      </c>
    </row>
    <row r="4" spans="1:18" ht="21.75" customHeight="1" thickBot="1">
      <c r="A4" s="642"/>
      <c r="B4" s="644"/>
      <c r="C4" s="371"/>
      <c r="D4" s="371"/>
      <c r="E4" s="372" t="s">
        <v>497</v>
      </c>
      <c r="F4" s="372" t="s">
        <v>498</v>
      </c>
      <c r="G4" s="372" t="s">
        <v>499</v>
      </c>
      <c r="H4" s="372" t="s">
        <v>500</v>
      </c>
      <c r="I4" s="372" t="s">
        <v>501</v>
      </c>
      <c r="J4" s="372" t="s">
        <v>502</v>
      </c>
      <c r="K4" s="372" t="s">
        <v>503</v>
      </c>
      <c r="L4" s="372" t="s">
        <v>504</v>
      </c>
      <c r="M4" s="372" t="s">
        <v>505</v>
      </c>
      <c r="N4" s="372" t="s">
        <v>506</v>
      </c>
      <c r="O4" s="372" t="s">
        <v>507</v>
      </c>
      <c r="P4" s="372" t="s">
        <v>31</v>
      </c>
      <c r="Q4" s="649"/>
    </row>
    <row r="5" spans="1:18" ht="21.75" customHeight="1">
      <c r="A5" s="373">
        <v>1</v>
      </c>
      <c r="B5" s="300" t="str">
        <f>+PERBULAN!B6</f>
        <v>ARYADI</v>
      </c>
      <c r="C5" s="374"/>
      <c r="D5" s="374"/>
      <c r="E5" s="375">
        <v>156944</v>
      </c>
      <c r="F5" s="375">
        <v>156944</v>
      </c>
      <c r="G5" s="375">
        <v>156944</v>
      </c>
      <c r="H5" s="301">
        <v>156944</v>
      </c>
      <c r="I5" s="301">
        <v>156944</v>
      </c>
      <c r="J5" s="301">
        <v>156944</v>
      </c>
      <c r="K5" s="301">
        <v>157084</v>
      </c>
      <c r="L5" s="301">
        <v>157084</v>
      </c>
      <c r="M5" s="301">
        <v>157084</v>
      </c>
      <c r="N5" s="301">
        <v>157084</v>
      </c>
      <c r="O5" s="301">
        <v>157084</v>
      </c>
      <c r="P5" s="301"/>
      <c r="Q5" s="376">
        <f t="shared" ref="Q5:Q25" si="0">SUM(E5:P5)</f>
        <v>1727084</v>
      </c>
      <c r="R5" s="257">
        <f t="shared" ref="R5:R21" si="1">COUNT(E5:P5)</f>
        <v>11</v>
      </c>
    </row>
    <row r="6" spans="1:18" ht="21.75" customHeight="1">
      <c r="A6" s="373">
        <v>2</v>
      </c>
      <c r="B6" s="300" t="str">
        <f>+PERBULAN!B7</f>
        <v>SUPRI</v>
      </c>
      <c r="C6" s="374"/>
      <c r="D6" s="374"/>
      <c r="E6" s="375">
        <v>156944</v>
      </c>
      <c r="F6" s="375">
        <v>157084</v>
      </c>
      <c r="G6" s="375">
        <v>157084</v>
      </c>
      <c r="H6" s="301">
        <v>157084</v>
      </c>
      <c r="I6" s="301">
        <v>157084</v>
      </c>
      <c r="J6" s="301">
        <v>157084</v>
      </c>
      <c r="K6" s="301">
        <v>157084</v>
      </c>
      <c r="L6" s="301">
        <v>157084</v>
      </c>
      <c r="M6" s="301">
        <v>157084</v>
      </c>
      <c r="N6" s="301">
        <v>157084</v>
      </c>
      <c r="O6" s="301">
        <v>157084</v>
      </c>
      <c r="P6" s="301"/>
      <c r="Q6" s="376">
        <f t="shared" si="0"/>
        <v>1727784</v>
      </c>
      <c r="R6" s="257">
        <f t="shared" si="1"/>
        <v>11</v>
      </c>
    </row>
    <row r="7" spans="1:18" ht="21.75" customHeight="1">
      <c r="A7" s="373">
        <v>3</v>
      </c>
      <c r="B7" s="300" t="str">
        <f>+PERBULAN!B8</f>
        <v>ROTIA</v>
      </c>
      <c r="C7" s="374"/>
      <c r="D7" s="374"/>
      <c r="E7" s="375">
        <v>157224</v>
      </c>
      <c r="F7" s="375">
        <v>157224</v>
      </c>
      <c r="G7" s="375">
        <v>157224</v>
      </c>
      <c r="H7" s="301">
        <v>157224</v>
      </c>
      <c r="I7" s="301">
        <v>157224</v>
      </c>
      <c r="J7" s="301">
        <v>157224</v>
      </c>
      <c r="K7" s="301">
        <v>157224</v>
      </c>
      <c r="L7" s="301">
        <v>157224</v>
      </c>
      <c r="M7" s="301">
        <v>157224</v>
      </c>
      <c r="N7" s="301">
        <v>157364</v>
      </c>
      <c r="O7" s="301">
        <v>157364</v>
      </c>
      <c r="P7" s="301"/>
      <c r="Q7" s="376">
        <f t="shared" si="0"/>
        <v>1729744</v>
      </c>
      <c r="R7" s="257">
        <f t="shared" si="1"/>
        <v>11</v>
      </c>
    </row>
    <row r="8" spans="1:18" ht="21.75" customHeight="1">
      <c r="A8" s="373">
        <v>4</v>
      </c>
      <c r="B8" s="300" t="str">
        <f>+PERBULAN!B9</f>
        <v>SURYANI</v>
      </c>
      <c r="C8" s="374"/>
      <c r="D8" s="374"/>
      <c r="E8" s="375">
        <v>157084</v>
      </c>
      <c r="F8" s="375">
        <v>157224</v>
      </c>
      <c r="G8" s="375">
        <v>157224</v>
      </c>
      <c r="H8" s="301">
        <v>157224</v>
      </c>
      <c r="I8" s="301">
        <v>157224</v>
      </c>
      <c r="J8" s="301">
        <v>157224</v>
      </c>
      <c r="K8" s="301">
        <v>157224</v>
      </c>
      <c r="L8" s="301">
        <v>157224</v>
      </c>
      <c r="M8" s="301">
        <v>157224</v>
      </c>
      <c r="N8" s="301">
        <v>157224</v>
      </c>
      <c r="O8" s="301">
        <v>157224</v>
      </c>
      <c r="P8" s="301"/>
      <c r="Q8" s="376">
        <f t="shared" si="0"/>
        <v>1729324</v>
      </c>
      <c r="R8" s="257">
        <f t="shared" si="1"/>
        <v>11</v>
      </c>
    </row>
    <row r="9" spans="1:18" ht="21.75" customHeight="1">
      <c r="A9" s="373">
        <v>5</v>
      </c>
      <c r="B9" s="300" t="str">
        <f>+PERBULAN!B10</f>
        <v>SAHINA YUNI</v>
      </c>
      <c r="C9" s="374"/>
      <c r="D9" s="374"/>
      <c r="E9" s="375">
        <v>157084</v>
      </c>
      <c r="F9" s="375">
        <v>157084</v>
      </c>
      <c r="G9" s="375">
        <v>157084</v>
      </c>
      <c r="H9" s="301">
        <v>157084</v>
      </c>
      <c r="I9" s="301">
        <v>157084</v>
      </c>
      <c r="J9" s="301">
        <v>157084</v>
      </c>
      <c r="K9" s="301">
        <v>157084</v>
      </c>
      <c r="L9" s="301">
        <v>157084</v>
      </c>
      <c r="M9" s="301">
        <v>157084</v>
      </c>
      <c r="N9" s="301">
        <v>157084</v>
      </c>
      <c r="O9" s="301">
        <v>157084</v>
      </c>
      <c r="P9" s="301"/>
      <c r="Q9" s="376">
        <f t="shared" si="0"/>
        <v>1727924</v>
      </c>
      <c r="R9" s="257">
        <f t="shared" si="1"/>
        <v>11</v>
      </c>
    </row>
    <row r="10" spans="1:18" ht="21.75" customHeight="1">
      <c r="A10" s="373">
        <v>6</v>
      </c>
      <c r="B10" s="300" t="str">
        <f>+PERBULAN!B11</f>
        <v>NURLELA</v>
      </c>
      <c r="C10" s="374"/>
      <c r="D10" s="377"/>
      <c r="E10" s="301">
        <v>157504</v>
      </c>
      <c r="F10" s="301">
        <v>158624</v>
      </c>
      <c r="G10" s="375">
        <v>158624</v>
      </c>
      <c r="H10" s="301">
        <v>158904</v>
      </c>
      <c r="I10" s="301">
        <v>158904</v>
      </c>
      <c r="J10" s="301">
        <v>158904</v>
      </c>
      <c r="K10" s="301">
        <v>158904</v>
      </c>
      <c r="L10" s="301">
        <v>158904</v>
      </c>
      <c r="M10" s="301">
        <v>158904</v>
      </c>
      <c r="N10" s="301">
        <v>158904</v>
      </c>
      <c r="O10" s="301">
        <v>158904</v>
      </c>
      <c r="P10" s="301"/>
      <c r="Q10" s="376">
        <f t="shared" si="0"/>
        <v>1745984</v>
      </c>
      <c r="R10" s="257">
        <f t="shared" si="1"/>
        <v>11</v>
      </c>
    </row>
    <row r="11" spans="1:18" ht="21.75" customHeight="1">
      <c r="A11" s="373">
        <v>7</v>
      </c>
      <c r="B11" s="300" t="str">
        <f>+PERBULAN!B12</f>
        <v>SUSINARTI</v>
      </c>
      <c r="C11" s="374"/>
      <c r="D11" s="377"/>
      <c r="E11" s="301">
        <v>156944</v>
      </c>
      <c r="F11" s="301">
        <v>156944</v>
      </c>
      <c r="G11" s="375">
        <v>156944</v>
      </c>
      <c r="H11" s="301">
        <v>156944</v>
      </c>
      <c r="I11" s="301">
        <v>156944</v>
      </c>
      <c r="J11" s="301">
        <v>156944</v>
      </c>
      <c r="K11" s="301">
        <v>156944</v>
      </c>
      <c r="L11" s="301">
        <v>156944</v>
      </c>
      <c r="M11" s="301">
        <v>156944</v>
      </c>
      <c r="N11" s="301">
        <v>157084</v>
      </c>
      <c r="O11" s="301">
        <v>157084</v>
      </c>
      <c r="P11" s="301"/>
      <c r="Q11" s="376">
        <f t="shared" si="0"/>
        <v>1726664</v>
      </c>
      <c r="R11" s="257">
        <f t="shared" si="1"/>
        <v>11</v>
      </c>
    </row>
    <row r="12" spans="1:18" ht="21.75" customHeight="1">
      <c r="A12" s="373">
        <v>8</v>
      </c>
      <c r="B12" s="300" t="str">
        <f>+PERBULAN!B13</f>
        <v>JAHIMIN</v>
      </c>
      <c r="C12" s="374"/>
      <c r="D12" s="377"/>
      <c r="E12" s="301">
        <v>157504</v>
      </c>
      <c r="F12" s="301">
        <v>158344</v>
      </c>
      <c r="G12" s="375">
        <v>158344</v>
      </c>
      <c r="H12" s="301">
        <v>158344</v>
      </c>
      <c r="I12" s="301">
        <v>158344</v>
      </c>
      <c r="J12" s="301">
        <v>158344</v>
      </c>
      <c r="K12" s="301">
        <v>158484</v>
      </c>
      <c r="L12" s="301">
        <v>158484</v>
      </c>
      <c r="M12" s="301">
        <v>158484</v>
      </c>
      <c r="N12" s="301">
        <v>158484</v>
      </c>
      <c r="O12" s="301">
        <v>158484</v>
      </c>
      <c r="P12" s="301"/>
      <c r="Q12" s="376">
        <f t="shared" si="0"/>
        <v>1741644</v>
      </c>
      <c r="R12" s="257">
        <f t="shared" si="1"/>
        <v>11</v>
      </c>
    </row>
    <row r="13" spans="1:18" ht="21.75" customHeight="1">
      <c r="A13" s="373">
        <v>9</v>
      </c>
      <c r="B13" s="300" t="str">
        <f>+PERBULAN!B14</f>
        <v>GUSTAMI</v>
      </c>
      <c r="C13" s="374"/>
      <c r="D13" s="374"/>
      <c r="E13" s="301">
        <v>156384</v>
      </c>
      <c r="F13" s="301">
        <v>156384</v>
      </c>
      <c r="G13" s="375">
        <v>156384</v>
      </c>
      <c r="H13" s="301">
        <v>156384</v>
      </c>
      <c r="I13" s="301">
        <v>156384</v>
      </c>
      <c r="J13" s="301">
        <v>156384</v>
      </c>
      <c r="K13" s="301">
        <v>156384</v>
      </c>
      <c r="L13" s="301">
        <v>156384</v>
      </c>
      <c r="M13" s="301">
        <v>156384</v>
      </c>
      <c r="N13" s="301">
        <v>156384</v>
      </c>
      <c r="O13" s="301">
        <v>156384</v>
      </c>
      <c r="P13" s="301"/>
      <c r="Q13" s="376">
        <f t="shared" si="0"/>
        <v>1720224</v>
      </c>
      <c r="R13" s="257">
        <f t="shared" si="1"/>
        <v>11</v>
      </c>
    </row>
    <row r="14" spans="1:18" ht="21.75" customHeight="1">
      <c r="A14" s="373">
        <v>10</v>
      </c>
      <c r="B14" s="300" t="str">
        <f>+PERBULAN!B15</f>
        <v>AGUS TRIANTIKA</v>
      </c>
      <c r="C14" s="374"/>
      <c r="D14" s="374"/>
      <c r="E14" s="301">
        <v>156024</v>
      </c>
      <c r="F14" s="301">
        <v>156024</v>
      </c>
      <c r="G14" s="375">
        <v>156024</v>
      </c>
      <c r="H14" s="301">
        <v>156024</v>
      </c>
      <c r="I14" s="301">
        <v>156024</v>
      </c>
      <c r="J14" s="301">
        <v>156024</v>
      </c>
      <c r="K14" s="301">
        <v>156024</v>
      </c>
      <c r="L14" s="301">
        <v>156144</v>
      </c>
      <c r="M14" s="301">
        <v>156144</v>
      </c>
      <c r="N14" s="301">
        <v>156144</v>
      </c>
      <c r="O14" s="301">
        <v>156144</v>
      </c>
      <c r="P14" s="301"/>
      <c r="Q14" s="376">
        <f t="shared" si="0"/>
        <v>1716744</v>
      </c>
      <c r="R14" s="257">
        <f t="shared" si="1"/>
        <v>11</v>
      </c>
    </row>
    <row r="15" spans="1:18" ht="21.75" customHeight="1">
      <c r="A15" s="373">
        <v>11</v>
      </c>
      <c r="B15" s="300" t="str">
        <f>+PERBULAN!B16</f>
        <v>FIKA HOIRI</v>
      </c>
      <c r="C15" s="374"/>
      <c r="D15" s="374"/>
      <c r="E15" s="301">
        <v>155464</v>
      </c>
      <c r="F15" s="301">
        <v>155464</v>
      </c>
      <c r="G15" s="375">
        <v>155464</v>
      </c>
      <c r="H15" s="301">
        <v>155464</v>
      </c>
      <c r="I15" s="301">
        <v>155464</v>
      </c>
      <c r="J15" s="301">
        <v>155464</v>
      </c>
      <c r="K15" s="301">
        <v>155464</v>
      </c>
      <c r="L15" s="301">
        <v>155464</v>
      </c>
      <c r="M15" s="301">
        <v>155464</v>
      </c>
      <c r="N15" s="301">
        <v>155464</v>
      </c>
      <c r="O15" s="301">
        <v>155564</v>
      </c>
      <c r="P15" s="301"/>
      <c r="Q15" s="376">
        <f t="shared" si="0"/>
        <v>1710204</v>
      </c>
    </row>
    <row r="16" spans="1:18" ht="21.75" customHeight="1">
      <c r="A16" s="373">
        <v>12</v>
      </c>
      <c r="B16" s="300" t="str">
        <f>+PERBULAN!B17</f>
        <v>NOPI HARIKA</v>
      </c>
      <c r="C16" s="374"/>
      <c r="D16" s="374"/>
      <c r="E16" s="301">
        <v>156944</v>
      </c>
      <c r="F16" s="301">
        <v>156944</v>
      </c>
      <c r="G16" s="375">
        <v>156944</v>
      </c>
      <c r="H16" s="301">
        <v>156944</v>
      </c>
      <c r="I16" s="301">
        <v>156944</v>
      </c>
      <c r="J16" s="301">
        <v>156944</v>
      </c>
      <c r="K16" s="301">
        <v>157084</v>
      </c>
      <c r="L16" s="301">
        <v>157084</v>
      </c>
      <c r="M16" s="301">
        <v>157084</v>
      </c>
      <c r="N16" s="301">
        <v>157084</v>
      </c>
      <c r="O16" s="301">
        <v>157084</v>
      </c>
      <c r="P16" s="301"/>
      <c r="Q16" s="376">
        <f t="shared" si="0"/>
        <v>1727084</v>
      </c>
      <c r="R16" s="257">
        <f t="shared" si="1"/>
        <v>11</v>
      </c>
    </row>
    <row r="17" spans="1:18" ht="21.75" customHeight="1">
      <c r="A17" s="373">
        <v>13</v>
      </c>
      <c r="B17" s="300" t="str">
        <f>+PERBULAN!B18</f>
        <v>SARI IRIANTI</v>
      </c>
      <c r="C17" s="374"/>
      <c r="D17" s="374"/>
      <c r="E17" s="301">
        <v>156144</v>
      </c>
      <c r="F17" s="301">
        <v>156144</v>
      </c>
      <c r="G17" s="301">
        <v>156144</v>
      </c>
      <c r="H17" s="301">
        <v>156144</v>
      </c>
      <c r="I17" s="301">
        <v>156144</v>
      </c>
      <c r="J17" s="301">
        <v>156144</v>
      </c>
      <c r="K17" s="301">
        <v>156144</v>
      </c>
      <c r="L17" s="301">
        <v>156264</v>
      </c>
      <c r="M17" s="301">
        <v>156264</v>
      </c>
      <c r="N17" s="301">
        <v>156264</v>
      </c>
      <c r="O17" s="301">
        <v>156264</v>
      </c>
      <c r="P17" s="301"/>
      <c r="Q17" s="376">
        <f t="shared" si="0"/>
        <v>1718064</v>
      </c>
      <c r="R17" s="257">
        <f t="shared" si="1"/>
        <v>11</v>
      </c>
    </row>
    <row r="18" spans="1:18" ht="21.75" customHeight="1">
      <c r="A18" s="373">
        <v>14</v>
      </c>
      <c r="B18" s="300" t="str">
        <f>+PERBULAN!B19</f>
        <v>ROSNANI</v>
      </c>
      <c r="C18" s="374"/>
      <c r="D18" s="374"/>
      <c r="E18" s="301">
        <v>157224</v>
      </c>
      <c r="F18" s="301">
        <v>157224</v>
      </c>
      <c r="G18" s="301">
        <v>157224</v>
      </c>
      <c r="H18" s="301">
        <v>157224</v>
      </c>
      <c r="I18" s="301">
        <v>157224</v>
      </c>
      <c r="J18" s="301">
        <v>157224</v>
      </c>
      <c r="K18" s="301">
        <v>157224</v>
      </c>
      <c r="L18" s="301">
        <v>157224</v>
      </c>
      <c r="M18" s="301">
        <v>157224</v>
      </c>
      <c r="N18" s="378">
        <v>157364</v>
      </c>
      <c r="O18" s="378">
        <v>157364</v>
      </c>
      <c r="P18" s="378"/>
      <c r="Q18" s="376">
        <f t="shared" si="0"/>
        <v>1729744</v>
      </c>
    </row>
    <row r="19" spans="1:18" ht="21.75" customHeight="1">
      <c r="A19" s="373">
        <v>15</v>
      </c>
      <c r="B19" s="300" t="str">
        <f>+PERBULAN!B20</f>
        <v>YESI</v>
      </c>
      <c r="C19" s="374"/>
      <c r="D19" s="374"/>
      <c r="E19" s="301">
        <v>155784</v>
      </c>
      <c r="F19" s="301">
        <v>155784</v>
      </c>
      <c r="G19" s="301">
        <v>155784</v>
      </c>
      <c r="H19" s="301">
        <v>155784</v>
      </c>
      <c r="I19" s="301">
        <v>155784</v>
      </c>
      <c r="J19" s="301">
        <v>155784</v>
      </c>
      <c r="K19" s="301">
        <v>155904</v>
      </c>
      <c r="L19" s="301">
        <v>155904</v>
      </c>
      <c r="M19" s="301">
        <v>155904</v>
      </c>
      <c r="N19" s="301">
        <v>155904</v>
      </c>
      <c r="O19" s="301">
        <v>155904</v>
      </c>
      <c r="P19" s="301"/>
      <c r="Q19" s="376">
        <f t="shared" si="0"/>
        <v>1714224</v>
      </c>
      <c r="R19" s="257">
        <f t="shared" si="1"/>
        <v>11</v>
      </c>
    </row>
    <row r="20" spans="1:18" ht="21.75" customHeight="1">
      <c r="A20" s="373">
        <v>16</v>
      </c>
      <c r="B20" s="300" t="str">
        <f>+PERBULAN!B21</f>
        <v>WAKINI</v>
      </c>
      <c r="C20" s="374"/>
      <c r="D20" s="374"/>
      <c r="E20" s="301">
        <v>155784</v>
      </c>
      <c r="F20" s="301">
        <v>155784</v>
      </c>
      <c r="G20" s="301">
        <v>155784</v>
      </c>
      <c r="H20" s="301">
        <v>155784</v>
      </c>
      <c r="I20" s="301">
        <v>155784</v>
      </c>
      <c r="J20" s="301">
        <v>155784</v>
      </c>
      <c r="K20" s="301">
        <v>155904</v>
      </c>
      <c r="L20" s="301">
        <v>155904</v>
      </c>
      <c r="M20" s="301">
        <v>155904</v>
      </c>
      <c r="N20" s="378">
        <v>155904</v>
      </c>
      <c r="O20" s="378">
        <v>155904</v>
      </c>
      <c r="P20" s="378"/>
      <c r="Q20" s="376">
        <f>SUM(E20:P20)</f>
        <v>1714224</v>
      </c>
      <c r="R20" s="257">
        <f>COUNT(E20:P20)</f>
        <v>11</v>
      </c>
    </row>
    <row r="21" spans="1:18" ht="21.75" customHeight="1">
      <c r="A21" s="373">
        <v>17</v>
      </c>
      <c r="B21" s="300" t="str">
        <f>+PERBULAN!B22</f>
        <v>WITA SARI</v>
      </c>
      <c r="C21" s="374"/>
      <c r="D21" s="374"/>
      <c r="E21" s="301">
        <v>155784</v>
      </c>
      <c r="F21" s="301">
        <v>155784</v>
      </c>
      <c r="G21" s="301">
        <v>155784</v>
      </c>
      <c r="H21" s="301">
        <v>155784</v>
      </c>
      <c r="I21" s="301">
        <v>155784</v>
      </c>
      <c r="J21" s="301">
        <v>155784</v>
      </c>
      <c r="K21" s="301">
        <v>155904</v>
      </c>
      <c r="L21" s="301">
        <v>155904</v>
      </c>
      <c r="M21" s="301">
        <v>155904</v>
      </c>
      <c r="N21" s="378">
        <v>155904</v>
      </c>
      <c r="O21" s="378">
        <v>155904</v>
      </c>
      <c r="P21" s="378"/>
      <c r="Q21" s="376">
        <f t="shared" si="0"/>
        <v>1714224</v>
      </c>
      <c r="R21" s="257">
        <f t="shared" si="1"/>
        <v>11</v>
      </c>
    </row>
    <row r="22" spans="1:18" ht="21.75" customHeight="1">
      <c r="A22" s="373">
        <v>18</v>
      </c>
      <c r="B22" s="300" t="str">
        <f>+PERBULAN!B23</f>
        <v>SARWANDI</v>
      </c>
      <c r="C22" s="374"/>
      <c r="D22" s="374"/>
      <c r="E22" s="301">
        <v>156524</v>
      </c>
      <c r="F22" s="301">
        <v>156524</v>
      </c>
      <c r="G22" s="301">
        <v>156524</v>
      </c>
      <c r="H22" s="301">
        <v>156524</v>
      </c>
      <c r="I22" s="301">
        <v>156524</v>
      </c>
      <c r="J22" s="301">
        <v>156524</v>
      </c>
      <c r="K22" s="301">
        <v>156524</v>
      </c>
      <c r="L22" s="301">
        <v>156524</v>
      </c>
      <c r="M22" s="301">
        <v>156524</v>
      </c>
      <c r="N22" s="301">
        <v>156524</v>
      </c>
      <c r="O22" s="301">
        <v>156664</v>
      </c>
      <c r="P22" s="301"/>
      <c r="Q22" s="376">
        <f t="shared" si="0"/>
        <v>1721904</v>
      </c>
    </row>
    <row r="23" spans="1:18" ht="21.75" customHeight="1">
      <c r="A23" s="373">
        <v>19</v>
      </c>
      <c r="B23" s="300" t="str">
        <f>+PERBULAN!B24</f>
        <v>ANI MARIA</v>
      </c>
      <c r="C23" s="374"/>
      <c r="D23" s="374"/>
      <c r="E23" s="301">
        <v>156944</v>
      </c>
      <c r="F23" s="301">
        <v>156944</v>
      </c>
      <c r="G23" s="301">
        <v>156944</v>
      </c>
      <c r="H23" s="301">
        <v>156944</v>
      </c>
      <c r="I23" s="301">
        <v>156944</v>
      </c>
      <c r="J23" s="301">
        <v>156944</v>
      </c>
      <c r="K23" s="301">
        <v>157084</v>
      </c>
      <c r="L23" s="301">
        <v>157084</v>
      </c>
      <c r="M23" s="301">
        <v>157084</v>
      </c>
      <c r="N23" s="378">
        <v>157084</v>
      </c>
      <c r="O23" s="378">
        <v>157084</v>
      </c>
      <c r="P23" s="378"/>
      <c r="Q23" s="376">
        <f t="shared" si="0"/>
        <v>1727084</v>
      </c>
    </row>
    <row r="24" spans="1:18" ht="21.75" customHeight="1">
      <c r="A24" s="373">
        <v>20</v>
      </c>
      <c r="B24" s="300" t="str">
        <f>+PERBULAN!B25</f>
        <v>YULIARDI</v>
      </c>
      <c r="C24" s="374"/>
      <c r="D24" s="374"/>
      <c r="E24" s="301">
        <v>157084</v>
      </c>
      <c r="F24" s="301">
        <v>157084</v>
      </c>
      <c r="G24" s="301">
        <v>157084</v>
      </c>
      <c r="H24" s="301">
        <v>157084</v>
      </c>
      <c r="I24" s="301">
        <v>157084</v>
      </c>
      <c r="J24" s="301">
        <v>157084</v>
      </c>
      <c r="K24" s="301">
        <v>157084</v>
      </c>
      <c r="L24" s="301">
        <v>157084</v>
      </c>
      <c r="M24" s="301">
        <v>157084</v>
      </c>
      <c r="N24" s="301">
        <v>157084</v>
      </c>
      <c r="O24" s="301">
        <v>157084</v>
      </c>
      <c r="P24" s="301"/>
      <c r="Q24" s="376">
        <f>SUM(E24:P24)</f>
        <v>1727924</v>
      </c>
    </row>
    <row r="25" spans="1:18" ht="21.75" customHeight="1">
      <c r="A25" s="373">
        <v>21</v>
      </c>
      <c r="B25" s="300" t="str">
        <f>+PERBULAN!B26</f>
        <v>YADI</v>
      </c>
      <c r="C25" s="374"/>
      <c r="D25" s="374"/>
      <c r="E25" s="301">
        <v>156024</v>
      </c>
      <c r="F25" s="301">
        <v>156024</v>
      </c>
      <c r="G25" s="301">
        <v>156024</v>
      </c>
      <c r="H25" s="301">
        <v>156024</v>
      </c>
      <c r="I25" s="301">
        <v>156024</v>
      </c>
      <c r="J25" s="301">
        <v>156144</v>
      </c>
      <c r="K25" s="301">
        <v>156144</v>
      </c>
      <c r="L25" s="301">
        <v>156144</v>
      </c>
      <c r="M25" s="301">
        <v>156144</v>
      </c>
      <c r="N25" s="378">
        <v>156144</v>
      </c>
      <c r="O25" s="301">
        <v>156144</v>
      </c>
      <c r="P25" s="301"/>
      <c r="Q25" s="376">
        <f t="shared" si="0"/>
        <v>1716984</v>
      </c>
    </row>
    <row r="26" spans="1:18" ht="21.75" customHeight="1">
      <c r="A26" s="373">
        <v>22</v>
      </c>
      <c r="B26" s="300" t="str">
        <f>+PERBULAN!B27</f>
        <v>YEKILIA</v>
      </c>
      <c r="C26" s="374"/>
      <c r="D26" s="374"/>
      <c r="E26" s="301">
        <v>155784</v>
      </c>
      <c r="F26" s="301">
        <v>155784</v>
      </c>
      <c r="G26" s="301">
        <v>155784</v>
      </c>
      <c r="H26" s="301">
        <v>155784</v>
      </c>
      <c r="I26" s="375">
        <v>155784</v>
      </c>
      <c r="J26" s="375">
        <v>155784</v>
      </c>
      <c r="K26" s="375">
        <v>155904</v>
      </c>
      <c r="L26" s="375">
        <v>155904</v>
      </c>
      <c r="M26" s="375">
        <v>155904</v>
      </c>
      <c r="N26" s="378">
        <v>155904</v>
      </c>
      <c r="O26" s="378">
        <v>155904</v>
      </c>
      <c r="P26" s="378"/>
      <c r="Q26" s="376">
        <f t="shared" ref="Q26:Q115" si="2">SUM(E26:P26)</f>
        <v>1714224</v>
      </c>
    </row>
    <row r="27" spans="1:18" ht="21.75" customHeight="1">
      <c r="A27" s="373">
        <v>23</v>
      </c>
      <c r="B27" s="300" t="str">
        <f>+PERBULAN!B28</f>
        <v>LESMANA GIRI</v>
      </c>
      <c r="C27" s="374"/>
      <c r="D27" s="374"/>
      <c r="E27" s="301">
        <v>155164</v>
      </c>
      <c r="F27" s="301">
        <v>155164</v>
      </c>
      <c r="G27" s="301">
        <v>155164</v>
      </c>
      <c r="H27" s="301">
        <v>155164</v>
      </c>
      <c r="I27" s="301">
        <v>155164</v>
      </c>
      <c r="J27" s="301">
        <v>155164</v>
      </c>
      <c r="K27" s="301">
        <v>155164</v>
      </c>
      <c r="L27" s="301">
        <v>155264</v>
      </c>
      <c r="M27" s="301">
        <v>155264</v>
      </c>
      <c r="N27" s="378">
        <v>155264</v>
      </c>
      <c r="O27" s="378">
        <v>155264</v>
      </c>
      <c r="P27" s="378"/>
      <c r="Q27" s="376">
        <f t="shared" si="2"/>
        <v>1707204</v>
      </c>
    </row>
    <row r="28" spans="1:18" ht="21.75" customHeight="1">
      <c r="A28" s="373">
        <v>24</v>
      </c>
      <c r="B28" s="300" t="str">
        <f>+PERBULAN!B29</f>
        <v>RAFIKA UDIN</v>
      </c>
      <c r="C28" s="379"/>
      <c r="D28" s="379"/>
      <c r="E28" s="392">
        <v>156024</v>
      </c>
      <c r="F28" s="392">
        <v>156024</v>
      </c>
      <c r="G28" s="392">
        <v>156024</v>
      </c>
      <c r="H28" s="393">
        <v>156024</v>
      </c>
      <c r="I28" s="393">
        <v>156144</v>
      </c>
      <c r="J28" s="393">
        <v>156144</v>
      </c>
      <c r="K28" s="393">
        <v>156144</v>
      </c>
      <c r="L28" s="393">
        <v>156144</v>
      </c>
      <c r="M28" s="393">
        <v>156144</v>
      </c>
      <c r="N28" s="393">
        <v>156144</v>
      </c>
      <c r="O28" s="415">
        <v>156144</v>
      </c>
      <c r="P28" s="393"/>
      <c r="Q28" s="394">
        <f>SUM(E28:P28)</f>
        <v>1717104</v>
      </c>
    </row>
    <row r="29" spans="1:18" ht="21.75" customHeight="1">
      <c r="A29" s="373">
        <v>25</v>
      </c>
      <c r="B29" s="300" t="str">
        <f>+PERBULAN!B30</f>
        <v>MARDIANSYAH</v>
      </c>
      <c r="C29" s="374"/>
      <c r="D29" s="374"/>
      <c r="E29" s="396">
        <v>156524</v>
      </c>
      <c r="F29" s="396">
        <v>156524</v>
      </c>
      <c r="G29" s="396">
        <v>156524</v>
      </c>
      <c r="H29" s="396">
        <v>156524</v>
      </c>
      <c r="I29" s="396">
        <v>156524</v>
      </c>
      <c r="J29" s="378">
        <v>156524</v>
      </c>
      <c r="K29" s="378">
        <v>156524</v>
      </c>
      <c r="L29" s="396">
        <v>156524</v>
      </c>
      <c r="M29" s="378">
        <v>156524</v>
      </c>
      <c r="N29" s="378">
        <v>156524</v>
      </c>
      <c r="O29" s="416">
        <v>156664</v>
      </c>
      <c r="P29" s="378"/>
      <c r="Q29" s="397">
        <f>SUM(E29:P29)</f>
        <v>1721904</v>
      </c>
    </row>
    <row r="30" spans="1:18" ht="21.75" customHeight="1">
      <c r="A30" s="373">
        <v>26</v>
      </c>
      <c r="B30" s="300" t="str">
        <f>+PERBULAN!B31</f>
        <v>SUTRISNO</v>
      </c>
      <c r="C30" s="398"/>
      <c r="D30" s="398"/>
      <c r="E30" s="491">
        <v>156944</v>
      </c>
      <c r="F30" s="491">
        <v>156944</v>
      </c>
      <c r="G30" s="491">
        <v>157084</v>
      </c>
      <c r="H30" s="491">
        <v>156944</v>
      </c>
      <c r="I30" s="491">
        <v>156944</v>
      </c>
      <c r="J30" s="491">
        <v>156944</v>
      </c>
      <c r="K30" s="491">
        <v>156944</v>
      </c>
      <c r="L30" s="491">
        <v>156944</v>
      </c>
      <c r="M30" s="491">
        <v>156944</v>
      </c>
      <c r="N30" s="491">
        <v>156944</v>
      </c>
      <c r="O30" s="492">
        <v>157084</v>
      </c>
      <c r="P30" s="398"/>
      <c r="Q30" s="397">
        <f t="shared" ref="Q30:Q31" si="3">SUM(E30:P30)</f>
        <v>1726664</v>
      </c>
    </row>
    <row r="31" spans="1:18" ht="21.75" customHeight="1">
      <c r="A31" s="373">
        <v>27</v>
      </c>
      <c r="B31" s="300" t="str">
        <f>+PERBULAN!B32</f>
        <v>SLAMET UNTUNG</v>
      </c>
      <c r="C31" s="398"/>
      <c r="D31" s="398"/>
      <c r="E31" s="491">
        <v>155784</v>
      </c>
      <c r="F31" s="491">
        <v>155784</v>
      </c>
      <c r="G31" s="491">
        <v>155784</v>
      </c>
      <c r="H31" s="491">
        <v>155784</v>
      </c>
      <c r="I31" s="491">
        <v>155784</v>
      </c>
      <c r="J31" s="491">
        <v>155904</v>
      </c>
      <c r="K31" s="491">
        <v>155904</v>
      </c>
      <c r="L31" s="491">
        <v>155904</v>
      </c>
      <c r="M31" s="491">
        <v>155904</v>
      </c>
      <c r="N31" s="491">
        <v>155904</v>
      </c>
      <c r="O31" s="492">
        <v>155904</v>
      </c>
      <c r="P31" s="398"/>
      <c r="Q31" s="397">
        <f t="shared" si="3"/>
        <v>1714344</v>
      </c>
    </row>
    <row r="32" spans="1:18" ht="21.75" customHeight="1">
      <c r="A32" s="373">
        <v>28</v>
      </c>
      <c r="B32" s="300" t="str">
        <f>+PERBULAN!B33</f>
        <v>WAFIQ AMANDA</v>
      </c>
      <c r="C32" s="379"/>
      <c r="D32" s="379"/>
      <c r="E32" s="375">
        <v>155064</v>
      </c>
      <c r="F32" s="375">
        <v>155064</v>
      </c>
      <c r="G32" s="375">
        <v>155064</v>
      </c>
      <c r="H32" s="375">
        <v>155064</v>
      </c>
      <c r="I32" s="301">
        <v>155064</v>
      </c>
      <c r="J32" s="301">
        <v>155064</v>
      </c>
      <c r="K32" s="375">
        <v>155064</v>
      </c>
      <c r="L32" s="375">
        <v>155164</v>
      </c>
      <c r="M32" s="375">
        <v>155164</v>
      </c>
      <c r="N32" s="301">
        <v>155164</v>
      </c>
      <c r="O32" s="375">
        <v>155164</v>
      </c>
      <c r="P32" s="301"/>
      <c r="Q32" s="395">
        <f t="shared" si="2"/>
        <v>1706104</v>
      </c>
    </row>
    <row r="33" spans="1:17" ht="21.75" customHeight="1">
      <c r="A33" s="373">
        <v>29</v>
      </c>
      <c r="B33" s="300" t="str">
        <f>+PERBULAN!B34</f>
        <v>HERI GUNAWAN</v>
      </c>
      <c r="C33" s="379"/>
      <c r="D33" s="379"/>
      <c r="E33" s="375">
        <v>157084</v>
      </c>
      <c r="F33" s="375">
        <v>157084</v>
      </c>
      <c r="G33" s="375">
        <v>157084</v>
      </c>
      <c r="H33" s="375">
        <v>157084</v>
      </c>
      <c r="I33" s="301">
        <v>157084</v>
      </c>
      <c r="J33" s="375">
        <v>157084</v>
      </c>
      <c r="K33" s="375">
        <v>157084</v>
      </c>
      <c r="L33" s="375">
        <v>157084</v>
      </c>
      <c r="M33" s="375">
        <v>157084</v>
      </c>
      <c r="N33" s="301">
        <v>157084</v>
      </c>
      <c r="O33" s="301">
        <v>157224</v>
      </c>
      <c r="P33" s="301"/>
      <c r="Q33" s="376">
        <f t="shared" si="2"/>
        <v>1728064</v>
      </c>
    </row>
    <row r="34" spans="1:17" ht="21.75" customHeight="1">
      <c r="A34" s="373">
        <v>30</v>
      </c>
      <c r="B34" s="300" t="str">
        <f>+PERBULAN!B35</f>
        <v>BOBI SAPUTRA</v>
      </c>
      <c r="C34" s="379"/>
      <c r="D34" s="379"/>
      <c r="E34" s="378">
        <v>156264</v>
      </c>
      <c r="F34" s="378">
        <v>156264</v>
      </c>
      <c r="G34" s="378">
        <v>156264</v>
      </c>
      <c r="H34" s="378">
        <v>156264</v>
      </c>
      <c r="I34" s="378">
        <v>156264</v>
      </c>
      <c r="J34" s="378">
        <v>156264</v>
      </c>
      <c r="K34" s="378">
        <v>156264</v>
      </c>
      <c r="L34" s="378">
        <v>156264</v>
      </c>
      <c r="M34" s="378">
        <v>156264</v>
      </c>
      <c r="N34" s="378">
        <v>156264</v>
      </c>
      <c r="O34" s="378">
        <v>156384</v>
      </c>
      <c r="P34" s="378"/>
      <c r="Q34" s="376">
        <f t="shared" si="2"/>
        <v>1719024</v>
      </c>
    </row>
    <row r="35" spans="1:17" ht="21.75" customHeight="1">
      <c r="A35" s="373">
        <v>31</v>
      </c>
      <c r="B35" s="300" t="str">
        <f>+PERBULAN!B36</f>
        <v>JULIANSYAH</v>
      </c>
      <c r="C35" s="379"/>
      <c r="D35" s="379"/>
      <c r="E35" s="378">
        <v>157224</v>
      </c>
      <c r="F35" s="378">
        <v>157224</v>
      </c>
      <c r="G35" s="378">
        <v>157224</v>
      </c>
      <c r="H35" s="378">
        <v>157224</v>
      </c>
      <c r="I35" s="378">
        <v>157224</v>
      </c>
      <c r="J35" s="378">
        <v>157224</v>
      </c>
      <c r="K35" s="378">
        <v>157224</v>
      </c>
      <c r="L35" s="378">
        <v>157224</v>
      </c>
      <c r="M35" s="378">
        <v>157224</v>
      </c>
      <c r="N35" s="378">
        <v>157364</v>
      </c>
      <c r="O35" s="378">
        <v>157364</v>
      </c>
      <c r="P35" s="378"/>
      <c r="Q35" s="376">
        <f t="shared" si="2"/>
        <v>1729744</v>
      </c>
    </row>
    <row r="36" spans="1:17" ht="21.75" customHeight="1">
      <c r="A36" s="373">
        <v>32</v>
      </c>
      <c r="B36" s="300" t="str">
        <f>+PERBULAN!B37</f>
        <v>ARDIANTO</v>
      </c>
      <c r="C36" s="379"/>
      <c r="D36" s="379"/>
      <c r="E36" s="301">
        <v>157504</v>
      </c>
      <c r="F36" s="301">
        <v>158624</v>
      </c>
      <c r="G36" s="301">
        <v>158624</v>
      </c>
      <c r="H36" s="301">
        <v>158764</v>
      </c>
      <c r="I36" s="301">
        <v>158764</v>
      </c>
      <c r="J36" s="301">
        <v>158764</v>
      </c>
      <c r="K36" s="301">
        <v>158764</v>
      </c>
      <c r="L36" s="301">
        <v>158764</v>
      </c>
      <c r="M36" s="301">
        <v>158764</v>
      </c>
      <c r="N36" s="101">
        <v>158764</v>
      </c>
      <c r="O36" s="301">
        <v>158764</v>
      </c>
      <c r="P36" s="301"/>
      <c r="Q36" s="376">
        <f t="shared" si="2"/>
        <v>1744864</v>
      </c>
    </row>
    <row r="37" spans="1:17" ht="21.75" customHeight="1">
      <c r="A37" s="373">
        <v>33</v>
      </c>
      <c r="B37" s="300" t="str">
        <f>+PERBULAN!B38</f>
        <v xml:space="preserve">JUNI </v>
      </c>
      <c r="C37" s="379"/>
      <c r="D37" s="379"/>
      <c r="E37" s="301">
        <v>157504</v>
      </c>
      <c r="F37" s="301">
        <v>158484</v>
      </c>
      <c r="G37" s="301">
        <v>158484</v>
      </c>
      <c r="H37" s="301">
        <v>158624</v>
      </c>
      <c r="I37" s="301">
        <v>158624</v>
      </c>
      <c r="J37" s="301">
        <v>158624</v>
      </c>
      <c r="K37" s="301">
        <v>158624</v>
      </c>
      <c r="L37" s="301">
        <v>158624</v>
      </c>
      <c r="M37" s="301">
        <v>158624</v>
      </c>
      <c r="N37" s="101">
        <v>158624</v>
      </c>
      <c r="O37" s="301">
        <v>158624</v>
      </c>
      <c r="P37" s="301"/>
      <c r="Q37" s="376">
        <f t="shared" si="2"/>
        <v>1743464</v>
      </c>
    </row>
    <row r="38" spans="1:17" ht="21.75" customHeight="1">
      <c r="A38" s="373">
        <v>34</v>
      </c>
      <c r="B38" s="300" t="str">
        <f>+PERBULAN!B39</f>
        <v>DARMAWAN</v>
      </c>
      <c r="C38" s="379"/>
      <c r="D38" s="379"/>
      <c r="E38" s="301">
        <v>157504</v>
      </c>
      <c r="F38" s="301">
        <v>158624</v>
      </c>
      <c r="G38" s="301">
        <v>158624</v>
      </c>
      <c r="H38" s="301">
        <v>158624</v>
      </c>
      <c r="I38" s="301">
        <v>158624</v>
      </c>
      <c r="J38" s="301">
        <v>158624</v>
      </c>
      <c r="K38" s="301">
        <v>158624</v>
      </c>
      <c r="L38" s="301">
        <v>158624</v>
      </c>
      <c r="M38" s="301">
        <v>158624</v>
      </c>
      <c r="N38" s="101">
        <v>158764</v>
      </c>
      <c r="O38" s="301">
        <v>158764</v>
      </c>
      <c r="P38" s="301"/>
      <c r="Q38" s="376">
        <f t="shared" si="2"/>
        <v>1744024</v>
      </c>
    </row>
    <row r="39" spans="1:17" ht="21.75" customHeight="1">
      <c r="A39" s="373">
        <v>35</v>
      </c>
      <c r="B39" s="300" t="str">
        <f>+PERBULAN!B40</f>
        <v>DEDI NOPRIADI</v>
      </c>
      <c r="C39" s="379"/>
      <c r="D39" s="379"/>
      <c r="E39" s="301">
        <v>155784</v>
      </c>
      <c r="F39" s="301">
        <v>155784</v>
      </c>
      <c r="G39" s="301">
        <v>155784</v>
      </c>
      <c r="H39" s="301">
        <v>155784</v>
      </c>
      <c r="I39" s="301">
        <v>155784</v>
      </c>
      <c r="J39" s="301">
        <v>155784</v>
      </c>
      <c r="K39" s="301">
        <v>155784</v>
      </c>
      <c r="L39" s="301">
        <v>155784</v>
      </c>
      <c r="M39" s="301">
        <v>155904</v>
      </c>
      <c r="N39" s="101">
        <v>155904</v>
      </c>
      <c r="O39" s="301">
        <v>155904</v>
      </c>
      <c r="P39" s="301"/>
      <c r="Q39" s="376">
        <f t="shared" si="2"/>
        <v>1713984</v>
      </c>
    </row>
    <row r="40" spans="1:17" ht="21.75" customHeight="1">
      <c r="A40" s="373">
        <v>36</v>
      </c>
      <c r="B40" s="300" t="str">
        <f>+PERBULAN!B41</f>
        <v>IRWANTO</v>
      </c>
      <c r="C40" s="379"/>
      <c r="D40" s="379"/>
      <c r="E40" s="301">
        <v>156944</v>
      </c>
      <c r="F40" s="301">
        <v>156944</v>
      </c>
      <c r="G40" s="301">
        <v>157084</v>
      </c>
      <c r="H40" s="301">
        <v>157084</v>
      </c>
      <c r="I40" s="301">
        <v>157084</v>
      </c>
      <c r="J40" s="301">
        <v>157084</v>
      </c>
      <c r="K40" s="301">
        <v>157084</v>
      </c>
      <c r="L40" s="301">
        <v>157084</v>
      </c>
      <c r="M40" s="301">
        <v>157084</v>
      </c>
      <c r="N40" s="301">
        <v>157084</v>
      </c>
      <c r="O40" s="301">
        <v>157084</v>
      </c>
      <c r="P40" s="301"/>
      <c r="Q40" s="376">
        <f t="shared" si="2"/>
        <v>1727644</v>
      </c>
    </row>
    <row r="41" spans="1:17" ht="21.75" customHeight="1">
      <c r="A41" s="373">
        <v>37</v>
      </c>
      <c r="B41" s="300" t="str">
        <f>+PERBULAN!B42</f>
        <v>ISRIN YUNUPITA</v>
      </c>
      <c r="C41" s="379"/>
      <c r="D41" s="379"/>
      <c r="E41" s="301">
        <v>156384</v>
      </c>
      <c r="F41" s="301">
        <v>156384</v>
      </c>
      <c r="G41" s="301">
        <v>156384</v>
      </c>
      <c r="H41" s="301">
        <v>156384</v>
      </c>
      <c r="I41" s="301">
        <v>156384</v>
      </c>
      <c r="J41" s="301">
        <v>156384</v>
      </c>
      <c r="K41" s="301">
        <v>156384</v>
      </c>
      <c r="L41" s="301">
        <v>156524</v>
      </c>
      <c r="M41" s="301">
        <v>156524</v>
      </c>
      <c r="N41" s="301">
        <v>156524</v>
      </c>
      <c r="O41" s="301">
        <v>156524</v>
      </c>
      <c r="P41" s="301"/>
      <c r="Q41" s="376">
        <f t="shared" si="2"/>
        <v>1720784</v>
      </c>
    </row>
    <row r="42" spans="1:17" ht="21.75" customHeight="1">
      <c r="A42" s="373">
        <v>38</v>
      </c>
      <c r="B42" s="300" t="str">
        <f>+PERBULAN!B43</f>
        <v>ARYANI.K</v>
      </c>
      <c r="C42" s="379"/>
      <c r="D42" s="379"/>
      <c r="E42" s="301">
        <v>156144</v>
      </c>
      <c r="F42" s="301">
        <v>156144</v>
      </c>
      <c r="G42" s="301">
        <v>156144</v>
      </c>
      <c r="H42" s="301">
        <v>156144</v>
      </c>
      <c r="I42" s="301">
        <v>156144</v>
      </c>
      <c r="J42" s="301">
        <v>156144</v>
      </c>
      <c r="K42" s="301">
        <v>156144</v>
      </c>
      <c r="L42" s="301">
        <v>156264</v>
      </c>
      <c r="M42" s="301">
        <v>156264</v>
      </c>
      <c r="N42" s="301">
        <v>156264</v>
      </c>
      <c r="O42" s="301">
        <v>156264</v>
      </c>
      <c r="P42" s="301"/>
      <c r="Q42" s="376">
        <f t="shared" si="2"/>
        <v>1718064</v>
      </c>
    </row>
    <row r="43" spans="1:17" ht="21.75" customHeight="1">
      <c r="A43" s="373">
        <v>39</v>
      </c>
      <c r="B43" s="300" t="str">
        <f>+PERBULAN!B44</f>
        <v>HARYANTI ( K )</v>
      </c>
      <c r="C43" s="379"/>
      <c r="D43" s="379"/>
      <c r="E43" s="301">
        <v>156384</v>
      </c>
      <c r="F43" s="301">
        <v>156384</v>
      </c>
      <c r="G43" s="301">
        <v>156384</v>
      </c>
      <c r="H43" s="301">
        <v>156384</v>
      </c>
      <c r="I43" s="301">
        <v>156384</v>
      </c>
      <c r="J43" s="301">
        <v>156384</v>
      </c>
      <c r="K43" s="301">
        <v>156384</v>
      </c>
      <c r="L43" s="301">
        <v>156524</v>
      </c>
      <c r="M43" s="301">
        <v>156524</v>
      </c>
      <c r="N43" s="301">
        <v>156524</v>
      </c>
      <c r="O43" s="301">
        <v>156524</v>
      </c>
      <c r="P43" s="301"/>
      <c r="Q43" s="376">
        <f t="shared" si="2"/>
        <v>1720784</v>
      </c>
    </row>
    <row r="44" spans="1:17" ht="21.75" customHeight="1">
      <c r="A44" s="373">
        <v>40</v>
      </c>
      <c r="B44" s="300" t="str">
        <f>+PERBULAN!B45</f>
        <v>YUNIAR</v>
      </c>
      <c r="C44" s="379"/>
      <c r="D44" s="379"/>
      <c r="E44" s="301">
        <v>157084</v>
      </c>
      <c r="F44" s="301">
        <v>157224</v>
      </c>
      <c r="G44" s="301">
        <v>157224</v>
      </c>
      <c r="H44" s="301">
        <v>157224</v>
      </c>
      <c r="I44" s="301">
        <v>157224</v>
      </c>
      <c r="J44" s="301">
        <v>157224</v>
      </c>
      <c r="K44" s="301">
        <v>157224</v>
      </c>
      <c r="L44" s="301">
        <v>157224</v>
      </c>
      <c r="M44" s="301">
        <v>157224</v>
      </c>
      <c r="N44" s="301">
        <v>157224</v>
      </c>
      <c r="O44" s="301">
        <v>157224</v>
      </c>
      <c r="P44" s="301"/>
      <c r="Q44" s="376">
        <f t="shared" si="2"/>
        <v>1729324</v>
      </c>
    </row>
    <row r="45" spans="1:17" ht="21.75" customHeight="1">
      <c r="A45" s="373">
        <v>41</v>
      </c>
      <c r="B45" s="300" t="str">
        <f>+PERBULAN!B46</f>
        <v>NOVELA SYAKUR</v>
      </c>
      <c r="C45" s="379"/>
      <c r="D45" s="379"/>
      <c r="E45" s="301">
        <v>155904</v>
      </c>
      <c r="F45" s="301">
        <v>155904</v>
      </c>
      <c r="G45" s="301">
        <v>155904</v>
      </c>
      <c r="H45" s="301">
        <v>156024</v>
      </c>
      <c r="I45" s="301">
        <v>156024</v>
      </c>
      <c r="J45" s="301">
        <v>156024</v>
      </c>
      <c r="K45" s="301">
        <v>156024</v>
      </c>
      <c r="L45" s="301">
        <v>156024</v>
      </c>
      <c r="M45" s="301">
        <v>156024</v>
      </c>
      <c r="N45" s="301">
        <v>156024</v>
      </c>
      <c r="O45" s="301">
        <v>156024</v>
      </c>
      <c r="P45" s="301"/>
      <c r="Q45" s="376">
        <f t="shared" si="2"/>
        <v>1715904</v>
      </c>
    </row>
    <row r="46" spans="1:17" ht="21.75" customHeight="1">
      <c r="A46" s="373">
        <v>42</v>
      </c>
      <c r="B46" s="300" t="str">
        <f>+PERBULAN!B47</f>
        <v>KUDIN</v>
      </c>
      <c r="C46" s="379"/>
      <c r="D46" s="379"/>
      <c r="E46" s="301">
        <v>155784</v>
      </c>
      <c r="F46" s="301">
        <v>155784</v>
      </c>
      <c r="G46" s="301">
        <v>155784</v>
      </c>
      <c r="H46" s="301">
        <v>155784</v>
      </c>
      <c r="I46" s="301">
        <v>155784</v>
      </c>
      <c r="J46" s="301">
        <v>155784</v>
      </c>
      <c r="K46" s="301">
        <v>155784</v>
      </c>
      <c r="L46" s="499"/>
      <c r="M46" s="499"/>
      <c r="N46" s="499"/>
      <c r="O46" s="499"/>
      <c r="P46" s="499"/>
      <c r="Q46" s="376">
        <f t="shared" si="2"/>
        <v>1090488</v>
      </c>
    </row>
    <row r="47" spans="1:17" ht="21.75" customHeight="1">
      <c r="A47" s="373">
        <v>43</v>
      </c>
      <c r="B47" s="300" t="str">
        <f>+PERBULAN!B48</f>
        <v>YULIATI</v>
      </c>
      <c r="C47" s="379"/>
      <c r="D47" s="379"/>
      <c r="E47" s="301">
        <v>156264</v>
      </c>
      <c r="F47" s="301">
        <v>156264</v>
      </c>
      <c r="G47" s="301">
        <v>156264</v>
      </c>
      <c r="H47" s="301">
        <v>156264</v>
      </c>
      <c r="I47" s="301">
        <v>156264</v>
      </c>
      <c r="J47" s="301">
        <v>156264</v>
      </c>
      <c r="K47" s="301">
        <v>156264</v>
      </c>
      <c r="L47" s="301">
        <v>156264</v>
      </c>
      <c r="M47" s="301">
        <v>156384</v>
      </c>
      <c r="N47" s="301">
        <v>156384</v>
      </c>
      <c r="O47" s="301">
        <v>156384</v>
      </c>
      <c r="P47" s="301"/>
      <c r="Q47" s="376">
        <f t="shared" si="2"/>
        <v>1719264</v>
      </c>
    </row>
    <row r="48" spans="1:17" ht="21.75" customHeight="1">
      <c r="A48" s="373">
        <v>44</v>
      </c>
      <c r="B48" s="300" t="str">
        <f>+PERBULAN!B49</f>
        <v>ROHAYA</v>
      </c>
      <c r="C48" s="379"/>
      <c r="D48" s="379"/>
      <c r="E48" s="301">
        <v>156024</v>
      </c>
      <c r="F48" s="301">
        <v>156024</v>
      </c>
      <c r="G48" s="301">
        <v>156024</v>
      </c>
      <c r="H48" s="301">
        <v>156024</v>
      </c>
      <c r="I48" s="301">
        <v>156024</v>
      </c>
      <c r="J48" s="301">
        <v>156024</v>
      </c>
      <c r="K48" s="301">
        <v>156024</v>
      </c>
      <c r="L48" s="301">
        <v>156144</v>
      </c>
      <c r="M48" s="301">
        <v>156144</v>
      </c>
      <c r="N48" s="301">
        <v>156144</v>
      </c>
      <c r="O48" s="301">
        <v>156144</v>
      </c>
      <c r="P48" s="301"/>
      <c r="Q48" s="376">
        <f t="shared" si="2"/>
        <v>1716744</v>
      </c>
    </row>
    <row r="49" spans="1:17" ht="21.75" customHeight="1">
      <c r="A49" s="373">
        <v>45</v>
      </c>
      <c r="B49" s="300" t="str">
        <f>+PERBULAN!B50</f>
        <v>ROSMIATI</v>
      </c>
      <c r="C49" s="379"/>
      <c r="D49" s="379"/>
      <c r="E49" s="301">
        <v>156264</v>
      </c>
      <c r="F49" s="301">
        <v>156264</v>
      </c>
      <c r="G49" s="301">
        <v>156264</v>
      </c>
      <c r="H49" s="301">
        <v>156264</v>
      </c>
      <c r="I49" s="301">
        <v>156264</v>
      </c>
      <c r="J49" s="301">
        <v>156264</v>
      </c>
      <c r="K49" s="301">
        <v>156264</v>
      </c>
      <c r="L49" s="301">
        <v>156264</v>
      </c>
      <c r="M49" s="301">
        <v>156264</v>
      </c>
      <c r="N49" s="301">
        <v>156264</v>
      </c>
      <c r="O49" s="301">
        <v>156384</v>
      </c>
      <c r="P49" s="301"/>
      <c r="Q49" s="376">
        <f t="shared" si="2"/>
        <v>1719024</v>
      </c>
    </row>
    <row r="50" spans="1:17" ht="21.75" customHeight="1">
      <c r="A50" s="373">
        <v>46</v>
      </c>
      <c r="B50" s="300" t="str">
        <f>+PERBULAN!B51</f>
        <v>ROSMINI</v>
      </c>
      <c r="C50" s="379"/>
      <c r="D50" s="379"/>
      <c r="E50" s="301">
        <v>156024</v>
      </c>
      <c r="F50" s="301">
        <v>156024</v>
      </c>
      <c r="G50" s="301">
        <v>156024</v>
      </c>
      <c r="H50" s="301">
        <v>156024</v>
      </c>
      <c r="I50" s="301">
        <v>156024</v>
      </c>
      <c r="J50" s="301">
        <v>156024</v>
      </c>
      <c r="K50" s="301">
        <v>156024</v>
      </c>
      <c r="L50" s="301">
        <v>156024</v>
      </c>
      <c r="M50" s="301">
        <v>156024</v>
      </c>
      <c r="N50" s="301">
        <v>156024</v>
      </c>
      <c r="O50" s="301">
        <v>156144</v>
      </c>
      <c r="P50" s="301"/>
      <c r="Q50" s="376">
        <f t="shared" si="2"/>
        <v>1716384</v>
      </c>
    </row>
    <row r="51" spans="1:17" ht="21.75" customHeight="1">
      <c r="A51" s="373">
        <v>47</v>
      </c>
      <c r="B51" s="300" t="str">
        <f>+PERBULAN!B52</f>
        <v>KURI</v>
      </c>
      <c r="C51" s="379"/>
      <c r="D51" s="379"/>
      <c r="E51" s="301">
        <v>157504</v>
      </c>
      <c r="F51" s="301">
        <v>158484</v>
      </c>
      <c r="G51" s="301">
        <v>158484</v>
      </c>
      <c r="H51" s="301">
        <v>158484</v>
      </c>
      <c r="I51" s="301">
        <v>158484</v>
      </c>
      <c r="J51" s="301">
        <v>158484</v>
      </c>
      <c r="K51" s="301">
        <v>158624</v>
      </c>
      <c r="L51" s="301">
        <v>158624</v>
      </c>
      <c r="M51" s="301">
        <v>158624</v>
      </c>
      <c r="N51" s="301">
        <v>158624</v>
      </c>
      <c r="O51" s="301">
        <v>158624</v>
      </c>
      <c r="P51" s="301"/>
      <c r="Q51" s="376">
        <f t="shared" si="2"/>
        <v>1743044</v>
      </c>
    </row>
    <row r="52" spans="1:17" ht="21.75" customHeight="1">
      <c r="A52" s="373">
        <v>48</v>
      </c>
      <c r="B52" s="300" t="str">
        <f>+PERBULAN!B53</f>
        <v>BASTIAR</v>
      </c>
      <c r="C52" s="379"/>
      <c r="D52" s="379"/>
      <c r="E52" s="301">
        <v>156024</v>
      </c>
      <c r="F52" s="301">
        <v>156024</v>
      </c>
      <c r="G52" s="301">
        <v>156024</v>
      </c>
      <c r="H52" s="301">
        <v>156024</v>
      </c>
      <c r="I52" s="301">
        <v>156024</v>
      </c>
      <c r="J52" s="301">
        <v>156024</v>
      </c>
      <c r="K52" s="301">
        <v>156024</v>
      </c>
      <c r="L52" s="301">
        <v>156024</v>
      </c>
      <c r="M52" s="301">
        <v>156024</v>
      </c>
      <c r="N52" s="301">
        <v>156024</v>
      </c>
      <c r="O52" s="301">
        <v>156024</v>
      </c>
      <c r="P52" s="301"/>
      <c r="Q52" s="376">
        <f t="shared" si="2"/>
        <v>1716264</v>
      </c>
    </row>
    <row r="53" spans="1:17" ht="21.75" customHeight="1">
      <c r="A53" s="373">
        <v>49</v>
      </c>
      <c r="B53" s="300" t="str">
        <f>+PERBULAN!B54</f>
        <v>ADIYANSA</v>
      </c>
      <c r="C53" s="379"/>
      <c r="D53" s="379"/>
      <c r="E53" s="301">
        <v>155784</v>
      </c>
      <c r="F53" s="301">
        <v>155784</v>
      </c>
      <c r="G53" s="301">
        <v>155784</v>
      </c>
      <c r="H53" s="301">
        <v>155784</v>
      </c>
      <c r="I53" s="301">
        <v>155784</v>
      </c>
      <c r="J53" s="301">
        <v>155904</v>
      </c>
      <c r="K53" s="301">
        <v>155904</v>
      </c>
      <c r="L53" s="301">
        <v>155904</v>
      </c>
      <c r="M53" s="301">
        <v>155904</v>
      </c>
      <c r="N53" s="301">
        <v>155904</v>
      </c>
      <c r="O53" s="301">
        <v>155904</v>
      </c>
      <c r="P53" s="301"/>
      <c r="Q53" s="376">
        <f t="shared" si="2"/>
        <v>1714344</v>
      </c>
    </row>
    <row r="54" spans="1:17" ht="21.75" customHeight="1">
      <c r="A54" s="373">
        <v>50</v>
      </c>
      <c r="B54" s="300" t="str">
        <f>+PERBULAN!B55</f>
        <v>RUDI SETIAWAN</v>
      </c>
      <c r="C54" s="379"/>
      <c r="D54" s="379"/>
      <c r="E54" s="301">
        <v>155264</v>
      </c>
      <c r="F54" s="301">
        <v>155264</v>
      </c>
      <c r="G54" s="301">
        <v>155264</v>
      </c>
      <c r="H54" s="301">
        <v>155264</v>
      </c>
      <c r="I54" s="301">
        <v>155264</v>
      </c>
      <c r="J54" s="301">
        <v>155264</v>
      </c>
      <c r="K54" s="301">
        <v>155264</v>
      </c>
      <c r="L54" s="301">
        <v>155264</v>
      </c>
      <c r="M54" s="301">
        <v>155264</v>
      </c>
      <c r="N54" s="301">
        <v>155264</v>
      </c>
      <c r="O54" s="301">
        <v>155264</v>
      </c>
      <c r="P54" s="301"/>
      <c r="Q54" s="376">
        <f t="shared" si="2"/>
        <v>1707904</v>
      </c>
    </row>
    <row r="55" spans="1:17" ht="21.75" customHeight="1">
      <c r="A55" s="373">
        <v>51</v>
      </c>
      <c r="B55" s="300" t="str">
        <f>+PERBULAN!B56</f>
        <v>MARYANTO</v>
      </c>
      <c r="C55" s="379"/>
      <c r="D55" s="379"/>
      <c r="E55" s="301">
        <v>156944</v>
      </c>
      <c r="F55" s="301">
        <v>156944</v>
      </c>
      <c r="G55" s="301">
        <v>156944</v>
      </c>
      <c r="H55" s="301">
        <v>156944</v>
      </c>
      <c r="I55" s="301">
        <v>156944</v>
      </c>
      <c r="J55" s="301">
        <v>156944</v>
      </c>
      <c r="K55" s="301">
        <v>156944</v>
      </c>
      <c r="L55" s="301">
        <v>156944</v>
      </c>
      <c r="M55" s="301">
        <v>156944</v>
      </c>
      <c r="N55" s="301">
        <v>157084</v>
      </c>
      <c r="O55" s="301">
        <v>157084</v>
      </c>
      <c r="P55" s="301"/>
      <c r="Q55" s="376">
        <f t="shared" si="2"/>
        <v>1726664</v>
      </c>
    </row>
    <row r="56" spans="1:17" ht="21.75" customHeight="1">
      <c r="A56" s="373">
        <v>52</v>
      </c>
      <c r="B56" s="300" t="str">
        <f>+PERBULAN!B57</f>
        <v>SRI REJEKI</v>
      </c>
      <c r="C56" s="379"/>
      <c r="D56" s="379"/>
      <c r="E56" s="301">
        <v>157224</v>
      </c>
      <c r="F56" s="301">
        <v>157224</v>
      </c>
      <c r="G56" s="301">
        <v>157224</v>
      </c>
      <c r="H56" s="301">
        <v>157224</v>
      </c>
      <c r="I56" s="301">
        <v>157224</v>
      </c>
      <c r="J56" s="301">
        <v>157224</v>
      </c>
      <c r="K56" s="301">
        <v>157224</v>
      </c>
      <c r="L56" s="301">
        <v>157224</v>
      </c>
      <c r="M56" s="301">
        <v>157224</v>
      </c>
      <c r="N56" s="301">
        <v>157364</v>
      </c>
      <c r="O56" s="301">
        <v>157364</v>
      </c>
      <c r="P56" s="301"/>
      <c r="Q56" s="376">
        <f t="shared" si="2"/>
        <v>1729744</v>
      </c>
    </row>
    <row r="57" spans="1:17" ht="21.75" customHeight="1">
      <c r="A57" s="373">
        <v>53</v>
      </c>
      <c r="B57" s="300" t="str">
        <f>+PERBULAN!B58</f>
        <v>SARTIKA</v>
      </c>
      <c r="C57" s="379"/>
      <c r="D57" s="379"/>
      <c r="E57" s="301">
        <v>156944</v>
      </c>
      <c r="F57" s="301">
        <v>156944</v>
      </c>
      <c r="G57" s="301">
        <v>156944</v>
      </c>
      <c r="H57" s="301">
        <v>156944</v>
      </c>
      <c r="I57" s="301">
        <v>156944</v>
      </c>
      <c r="J57" s="301">
        <v>156944</v>
      </c>
      <c r="K57" s="301">
        <v>156944</v>
      </c>
      <c r="L57" s="301">
        <v>156944</v>
      </c>
      <c r="M57" s="301">
        <v>156944</v>
      </c>
      <c r="N57" s="301">
        <v>157084</v>
      </c>
      <c r="O57" s="301">
        <v>157084</v>
      </c>
      <c r="P57" s="301"/>
      <c r="Q57" s="376">
        <f t="shared" si="2"/>
        <v>1726664</v>
      </c>
    </row>
    <row r="58" spans="1:17" ht="21.75" customHeight="1">
      <c r="A58" s="373">
        <v>54</v>
      </c>
      <c r="B58" s="300" t="str">
        <f>+PERBULAN!B59</f>
        <v>MIRNA</v>
      </c>
      <c r="C58" s="379"/>
      <c r="D58" s="379"/>
      <c r="E58" s="301">
        <v>156384</v>
      </c>
      <c r="F58" s="301">
        <v>156384</v>
      </c>
      <c r="G58" s="301">
        <v>156384</v>
      </c>
      <c r="H58" s="301">
        <v>156384</v>
      </c>
      <c r="I58" s="301">
        <v>156384</v>
      </c>
      <c r="J58" s="301">
        <v>156384</v>
      </c>
      <c r="K58" s="301">
        <v>156384</v>
      </c>
      <c r="L58" s="301">
        <v>156524</v>
      </c>
      <c r="M58" s="301">
        <v>156524</v>
      </c>
      <c r="N58" s="301">
        <v>156524</v>
      </c>
      <c r="O58" s="301">
        <v>156524</v>
      </c>
      <c r="P58" s="301"/>
      <c r="Q58" s="376">
        <f t="shared" si="2"/>
        <v>1720784</v>
      </c>
    </row>
    <row r="59" spans="1:17" ht="21.75" customHeight="1">
      <c r="A59" s="373">
        <v>55</v>
      </c>
      <c r="B59" s="300" t="str">
        <f>+PERBULAN!B60</f>
        <v>ROZATI</v>
      </c>
      <c r="C59" s="379"/>
      <c r="D59" s="379"/>
      <c r="E59" s="301">
        <v>155784</v>
      </c>
      <c r="F59" s="301">
        <v>155784</v>
      </c>
      <c r="G59" s="301">
        <v>155784</v>
      </c>
      <c r="H59" s="301">
        <v>155784</v>
      </c>
      <c r="I59" s="301">
        <v>155784</v>
      </c>
      <c r="J59" s="301">
        <v>155784</v>
      </c>
      <c r="K59" s="301">
        <v>155904</v>
      </c>
      <c r="L59" s="301">
        <v>155904</v>
      </c>
      <c r="M59" s="301">
        <v>155904</v>
      </c>
      <c r="N59" s="301">
        <v>155904</v>
      </c>
      <c r="O59" s="301">
        <v>155904</v>
      </c>
      <c r="P59" s="301"/>
      <c r="Q59" s="376">
        <f t="shared" si="2"/>
        <v>1714224</v>
      </c>
    </row>
    <row r="60" spans="1:17" ht="21.75" customHeight="1">
      <c r="A60" s="373">
        <v>56</v>
      </c>
      <c r="B60" s="300" t="str">
        <f>+PERBULAN!B61</f>
        <v>SAHWEDI</v>
      </c>
      <c r="C60" s="379"/>
      <c r="D60" s="379"/>
      <c r="E60" s="301">
        <v>155264</v>
      </c>
      <c r="F60" s="301">
        <v>155264</v>
      </c>
      <c r="G60" s="301">
        <v>155364</v>
      </c>
      <c r="H60" s="301">
        <v>155364</v>
      </c>
      <c r="I60" s="301">
        <v>155364</v>
      </c>
      <c r="J60" s="301">
        <v>155364</v>
      </c>
      <c r="K60" s="301">
        <v>155364</v>
      </c>
      <c r="L60" s="301">
        <v>155364</v>
      </c>
      <c r="M60" s="301">
        <v>155364</v>
      </c>
      <c r="N60" s="301">
        <v>155364</v>
      </c>
      <c r="O60" s="301">
        <v>155364</v>
      </c>
      <c r="P60" s="301"/>
      <c r="Q60" s="376">
        <f t="shared" si="2"/>
        <v>1708804</v>
      </c>
    </row>
    <row r="61" spans="1:17" ht="21.75" customHeight="1">
      <c r="A61" s="373">
        <v>57</v>
      </c>
      <c r="B61" s="300" t="str">
        <f>+PERBULAN!B62</f>
        <v>RUKMAN</v>
      </c>
      <c r="C61" s="379"/>
      <c r="D61" s="379"/>
      <c r="E61" s="301">
        <v>156944</v>
      </c>
      <c r="F61" s="301">
        <v>156944</v>
      </c>
      <c r="G61" s="301">
        <v>156944</v>
      </c>
      <c r="H61" s="301">
        <v>156944</v>
      </c>
      <c r="I61" s="301">
        <v>156944</v>
      </c>
      <c r="J61" s="301">
        <v>156944</v>
      </c>
      <c r="K61" s="301">
        <v>156944</v>
      </c>
      <c r="L61" s="301">
        <v>156944</v>
      </c>
      <c r="M61" s="301">
        <v>156944</v>
      </c>
      <c r="N61" s="301">
        <v>156944</v>
      </c>
      <c r="O61" s="301">
        <v>156944</v>
      </c>
      <c r="P61" s="301"/>
      <c r="Q61" s="376">
        <f t="shared" si="2"/>
        <v>1726384</v>
      </c>
    </row>
    <row r="62" spans="1:17" ht="21.75" customHeight="1">
      <c r="A62" s="373">
        <v>58</v>
      </c>
      <c r="B62" s="300" t="str">
        <f>+PERBULAN!B63</f>
        <v>AGUSTIONO</v>
      </c>
      <c r="C62" s="379"/>
      <c r="D62" s="379"/>
      <c r="E62" s="301">
        <v>157084</v>
      </c>
      <c r="F62" s="301">
        <v>157084</v>
      </c>
      <c r="G62" s="301">
        <v>157084</v>
      </c>
      <c r="H62" s="301">
        <v>157084</v>
      </c>
      <c r="I62" s="301">
        <v>157084</v>
      </c>
      <c r="J62" s="301">
        <v>157084</v>
      </c>
      <c r="K62" s="301">
        <v>157084</v>
      </c>
      <c r="L62" s="301">
        <v>157084</v>
      </c>
      <c r="M62" s="301">
        <v>157084</v>
      </c>
      <c r="N62" s="301">
        <v>157084</v>
      </c>
      <c r="O62" s="301">
        <v>157084</v>
      </c>
      <c r="P62" s="301"/>
      <c r="Q62" s="376">
        <f t="shared" si="2"/>
        <v>1727924</v>
      </c>
    </row>
    <row r="63" spans="1:17" ht="21.75" customHeight="1">
      <c r="A63" s="373">
        <v>59</v>
      </c>
      <c r="B63" s="300" t="str">
        <f>+PERBULAN!B64</f>
        <v>TONGAM PARNINGTON SAMOSIR</v>
      </c>
      <c r="C63" s="379"/>
      <c r="D63" s="379"/>
      <c r="E63" s="301">
        <v>156664</v>
      </c>
      <c r="F63" s="301">
        <v>156664</v>
      </c>
      <c r="G63" s="301">
        <v>156664</v>
      </c>
      <c r="H63" s="301">
        <v>156664</v>
      </c>
      <c r="I63" s="301">
        <v>156664</v>
      </c>
      <c r="J63" s="301">
        <v>156664</v>
      </c>
      <c r="K63" s="301">
        <v>156664</v>
      </c>
      <c r="L63" s="301">
        <v>156664</v>
      </c>
      <c r="M63" s="301">
        <v>156664</v>
      </c>
      <c r="N63" s="301">
        <v>156664</v>
      </c>
      <c r="O63" s="301">
        <v>156804</v>
      </c>
      <c r="P63" s="301"/>
      <c r="Q63" s="376">
        <f t="shared" si="2"/>
        <v>1723444</v>
      </c>
    </row>
    <row r="64" spans="1:17" ht="21.75" customHeight="1">
      <c r="A64" s="373">
        <v>60</v>
      </c>
      <c r="B64" s="300" t="str">
        <f>+PERBULAN!B65</f>
        <v>ANUAR</v>
      </c>
      <c r="C64" s="379"/>
      <c r="D64" s="379"/>
      <c r="E64" s="301">
        <v>157084</v>
      </c>
      <c r="F64" s="301">
        <v>157084</v>
      </c>
      <c r="G64" s="301">
        <v>157084</v>
      </c>
      <c r="H64" s="301">
        <v>157084</v>
      </c>
      <c r="I64" s="301">
        <v>157084</v>
      </c>
      <c r="J64" s="301">
        <v>157084</v>
      </c>
      <c r="K64" s="301">
        <v>157084</v>
      </c>
      <c r="L64" s="301">
        <v>157084</v>
      </c>
      <c r="M64" s="301">
        <v>157084</v>
      </c>
      <c r="N64" s="301">
        <v>157084</v>
      </c>
      <c r="O64" s="301">
        <v>157084</v>
      </c>
      <c r="P64" s="301"/>
      <c r="Q64" s="376">
        <f t="shared" si="2"/>
        <v>1727924</v>
      </c>
    </row>
    <row r="65" spans="1:17" ht="21.75" customHeight="1">
      <c r="A65" s="373">
        <v>61</v>
      </c>
      <c r="B65" s="300" t="str">
        <f>+PERBULAN!B66</f>
        <v>YUNIAR ANDRIANTI</v>
      </c>
      <c r="C65" s="379"/>
      <c r="D65" s="379"/>
      <c r="E65" s="301">
        <v>156944</v>
      </c>
      <c r="F65" s="301">
        <v>156944</v>
      </c>
      <c r="G65" s="301">
        <v>156944</v>
      </c>
      <c r="H65" s="301">
        <v>156944</v>
      </c>
      <c r="I65" s="301">
        <v>156944</v>
      </c>
      <c r="J65" s="301">
        <v>156944</v>
      </c>
      <c r="K65" s="301">
        <v>156944</v>
      </c>
      <c r="L65" s="301">
        <v>156944</v>
      </c>
      <c r="M65" s="301">
        <v>156944</v>
      </c>
      <c r="N65" s="301">
        <v>157084</v>
      </c>
      <c r="O65" s="301">
        <v>157084</v>
      </c>
      <c r="P65" s="301"/>
      <c r="Q65" s="376">
        <f t="shared" si="2"/>
        <v>1726664</v>
      </c>
    </row>
    <row r="66" spans="1:17" ht="21.75" customHeight="1">
      <c r="A66" s="373">
        <v>62</v>
      </c>
      <c r="B66" s="300" t="str">
        <f>+PERBULAN!B67</f>
        <v>LISA JAYANTI</v>
      </c>
      <c r="C66" s="379"/>
      <c r="D66" s="379"/>
      <c r="E66" s="301">
        <v>156524</v>
      </c>
      <c r="F66" s="301">
        <v>156524</v>
      </c>
      <c r="G66" s="301">
        <v>156524</v>
      </c>
      <c r="H66" s="301">
        <v>156524</v>
      </c>
      <c r="I66" s="301">
        <v>156524</v>
      </c>
      <c r="J66" s="301">
        <v>156524</v>
      </c>
      <c r="K66" s="301">
        <v>156524</v>
      </c>
      <c r="L66" s="301">
        <v>156524</v>
      </c>
      <c r="M66" s="301">
        <v>156524</v>
      </c>
      <c r="N66" s="301">
        <v>156524</v>
      </c>
      <c r="O66" s="301">
        <v>156664</v>
      </c>
      <c r="P66" s="301"/>
      <c r="Q66" s="376">
        <f t="shared" si="2"/>
        <v>1721904</v>
      </c>
    </row>
    <row r="67" spans="1:17" ht="21.75" customHeight="1">
      <c r="A67" s="373">
        <v>63</v>
      </c>
      <c r="B67" s="300" t="str">
        <f>+PERBULAN!B68</f>
        <v>RUSDIN</v>
      </c>
      <c r="C67" s="379"/>
      <c r="D67" s="379"/>
      <c r="E67" s="301">
        <v>157084</v>
      </c>
      <c r="F67" s="301">
        <v>157084</v>
      </c>
      <c r="G67" s="301">
        <v>157084</v>
      </c>
      <c r="H67" s="301">
        <v>157084</v>
      </c>
      <c r="I67" s="301">
        <v>157084</v>
      </c>
      <c r="J67" s="301">
        <v>157084</v>
      </c>
      <c r="K67" s="301">
        <v>157084</v>
      </c>
      <c r="L67" s="301">
        <v>157084</v>
      </c>
      <c r="M67" s="301">
        <v>157084</v>
      </c>
      <c r="N67" s="301">
        <v>157084</v>
      </c>
      <c r="O67" s="301">
        <v>157084</v>
      </c>
      <c r="P67" s="301"/>
      <c r="Q67" s="376">
        <f t="shared" si="2"/>
        <v>1727924</v>
      </c>
    </row>
    <row r="68" spans="1:17" ht="21.75" customHeight="1">
      <c r="A68" s="373">
        <v>64</v>
      </c>
      <c r="B68" s="300" t="str">
        <f>+PERBULAN!B69</f>
        <v>FREDI S</v>
      </c>
      <c r="C68" s="379"/>
      <c r="D68" s="379"/>
      <c r="E68" s="301">
        <v>155164</v>
      </c>
      <c r="F68" s="301">
        <v>155164</v>
      </c>
      <c r="G68" s="301">
        <v>155164</v>
      </c>
      <c r="H68" s="301">
        <v>155264</v>
      </c>
      <c r="I68" s="301">
        <v>155264</v>
      </c>
      <c r="J68" s="301">
        <v>155264</v>
      </c>
      <c r="K68" s="301">
        <v>155264</v>
      </c>
      <c r="L68" s="301">
        <v>155264</v>
      </c>
      <c r="M68" s="499"/>
      <c r="N68" s="499"/>
      <c r="O68" s="499"/>
      <c r="P68" s="499"/>
      <c r="Q68" s="376">
        <f t="shared" si="2"/>
        <v>1241812</v>
      </c>
    </row>
    <row r="69" spans="1:17" ht="21.75" customHeight="1">
      <c r="A69" s="373">
        <v>65</v>
      </c>
      <c r="B69" s="300" t="str">
        <f>+PERBULAN!B70</f>
        <v>ARIPDAN</v>
      </c>
      <c r="C69" s="379"/>
      <c r="D69" s="379"/>
      <c r="E69" s="301">
        <v>156944</v>
      </c>
      <c r="F69" s="301">
        <v>156944</v>
      </c>
      <c r="G69" s="301">
        <v>156944</v>
      </c>
      <c r="H69" s="301">
        <v>156944</v>
      </c>
      <c r="I69" s="301">
        <v>156944</v>
      </c>
      <c r="J69" s="301">
        <v>157084</v>
      </c>
      <c r="K69" s="301">
        <v>157084</v>
      </c>
      <c r="L69" s="301">
        <v>157084</v>
      </c>
      <c r="M69" s="301">
        <v>157084</v>
      </c>
      <c r="N69" s="301">
        <v>157084</v>
      </c>
      <c r="O69" s="301">
        <v>157084</v>
      </c>
      <c r="P69" s="301"/>
      <c r="Q69" s="376">
        <f t="shared" si="2"/>
        <v>1727224</v>
      </c>
    </row>
    <row r="70" spans="1:17" ht="21.75" customHeight="1">
      <c r="A70" s="373">
        <v>66</v>
      </c>
      <c r="B70" s="300" t="str">
        <f>+PERBULAN!B71</f>
        <v>DEDI PURWANTO</v>
      </c>
      <c r="C70" s="379"/>
      <c r="D70" s="379"/>
      <c r="E70" s="301">
        <v>157084</v>
      </c>
      <c r="F70" s="301">
        <v>157084</v>
      </c>
      <c r="G70" s="301">
        <v>157084</v>
      </c>
      <c r="H70" s="301">
        <v>157084</v>
      </c>
      <c r="I70" s="301">
        <v>157084</v>
      </c>
      <c r="J70" s="301">
        <v>157084</v>
      </c>
      <c r="K70" s="301">
        <v>157084</v>
      </c>
      <c r="L70" s="301">
        <v>157084</v>
      </c>
      <c r="M70" s="301">
        <v>157084</v>
      </c>
      <c r="N70" s="301">
        <v>157084</v>
      </c>
      <c r="O70" s="301">
        <v>157084</v>
      </c>
      <c r="P70" s="301"/>
      <c r="Q70" s="376">
        <f t="shared" si="2"/>
        <v>1727924</v>
      </c>
    </row>
    <row r="71" spans="1:17" ht="21.75" customHeight="1">
      <c r="A71" s="373">
        <v>67</v>
      </c>
      <c r="B71" s="300" t="str">
        <f>+PERBULAN!B72</f>
        <v>HARSONO</v>
      </c>
      <c r="C71" s="379"/>
      <c r="D71" s="379"/>
      <c r="E71" s="301">
        <v>157084</v>
      </c>
      <c r="F71" s="301">
        <v>157084</v>
      </c>
      <c r="G71" s="301">
        <v>157084</v>
      </c>
      <c r="H71" s="301">
        <v>157084</v>
      </c>
      <c r="I71" s="301">
        <v>157084</v>
      </c>
      <c r="J71" s="301">
        <v>157084</v>
      </c>
      <c r="K71" s="301">
        <v>157084</v>
      </c>
      <c r="L71" s="301">
        <v>157084</v>
      </c>
      <c r="M71" s="301">
        <v>157084</v>
      </c>
      <c r="N71" s="301">
        <v>157084</v>
      </c>
      <c r="O71" s="301">
        <v>157084</v>
      </c>
      <c r="P71" s="301"/>
      <c r="Q71" s="376">
        <f t="shared" si="2"/>
        <v>1727924</v>
      </c>
    </row>
    <row r="72" spans="1:17" ht="21.75" customHeight="1">
      <c r="A72" s="373">
        <v>68</v>
      </c>
      <c r="B72" s="300" t="str">
        <f>+PERBULAN!B73</f>
        <v>MIKO AGNESTA</v>
      </c>
      <c r="C72" s="379"/>
      <c r="D72" s="379"/>
      <c r="E72" s="301">
        <v>155064</v>
      </c>
      <c r="F72" s="301">
        <v>155064</v>
      </c>
      <c r="G72" s="301">
        <v>155064</v>
      </c>
      <c r="H72" s="301">
        <v>155064</v>
      </c>
      <c r="I72" s="301">
        <v>155064</v>
      </c>
      <c r="J72" s="301">
        <v>155064</v>
      </c>
      <c r="K72" s="301">
        <v>155064</v>
      </c>
      <c r="L72" s="301">
        <v>155064</v>
      </c>
      <c r="M72" s="301">
        <v>155164</v>
      </c>
      <c r="N72" s="301">
        <v>155164</v>
      </c>
      <c r="O72" s="301">
        <v>155164</v>
      </c>
      <c r="P72" s="301"/>
      <c r="Q72" s="376">
        <f t="shared" si="2"/>
        <v>1706004</v>
      </c>
    </row>
    <row r="73" spans="1:17" ht="21.75" customHeight="1">
      <c r="A73" s="373">
        <v>69</v>
      </c>
      <c r="B73" s="300" t="str">
        <f>+PERBULAN!B74</f>
        <v>HERI GUNAWAN</v>
      </c>
      <c r="C73" s="379"/>
      <c r="D73" s="379"/>
      <c r="E73" s="301">
        <v>155904</v>
      </c>
      <c r="F73" s="301">
        <v>155904</v>
      </c>
      <c r="G73" s="301">
        <v>156024</v>
      </c>
      <c r="H73" s="301">
        <v>156024</v>
      </c>
      <c r="I73" s="301">
        <v>156024</v>
      </c>
      <c r="J73" s="301">
        <v>156024</v>
      </c>
      <c r="K73" s="301">
        <v>156024</v>
      </c>
      <c r="L73" s="301">
        <v>156024</v>
      </c>
      <c r="M73" s="301">
        <v>156024</v>
      </c>
      <c r="N73" s="301">
        <v>156024</v>
      </c>
      <c r="O73" s="301">
        <v>156024</v>
      </c>
      <c r="P73" s="301"/>
      <c r="Q73" s="376">
        <f t="shared" si="2"/>
        <v>1716024</v>
      </c>
    </row>
    <row r="74" spans="1:17" ht="21.75" customHeight="1">
      <c r="A74" s="373">
        <v>70</v>
      </c>
      <c r="B74" s="300" t="str">
        <f>+PERBULAN!B75</f>
        <v>LEPI ERWANSYAH</v>
      </c>
      <c r="C74" s="379"/>
      <c r="D74" s="379"/>
      <c r="E74" s="301">
        <v>156024</v>
      </c>
      <c r="F74" s="301">
        <v>156024</v>
      </c>
      <c r="G74" s="301">
        <v>156024</v>
      </c>
      <c r="H74" s="301">
        <v>156024</v>
      </c>
      <c r="I74" s="301">
        <v>156024</v>
      </c>
      <c r="J74" s="301">
        <v>156024</v>
      </c>
      <c r="K74" s="301">
        <v>156024</v>
      </c>
      <c r="L74" s="301">
        <v>156024</v>
      </c>
      <c r="M74" s="301">
        <v>156024</v>
      </c>
      <c r="N74" s="301">
        <v>156024</v>
      </c>
      <c r="O74" s="301">
        <v>156144</v>
      </c>
      <c r="P74" s="301"/>
      <c r="Q74" s="376">
        <f t="shared" si="2"/>
        <v>1716384</v>
      </c>
    </row>
    <row r="75" spans="1:17" ht="21.75" customHeight="1">
      <c r="A75" s="373">
        <v>71</v>
      </c>
      <c r="B75" s="300" t="str">
        <f>+PERBULAN!B76</f>
        <v>NOVA RIZAL</v>
      </c>
      <c r="C75" s="379"/>
      <c r="D75" s="379"/>
      <c r="E75" s="301">
        <v>156024</v>
      </c>
      <c r="F75" s="301">
        <v>156024</v>
      </c>
      <c r="G75" s="301">
        <v>156024</v>
      </c>
      <c r="H75" s="301">
        <v>156024</v>
      </c>
      <c r="I75" s="301">
        <v>156024</v>
      </c>
      <c r="J75" s="301">
        <v>156024</v>
      </c>
      <c r="K75" s="301">
        <v>156024</v>
      </c>
      <c r="L75" s="499"/>
      <c r="M75" s="499"/>
      <c r="N75" s="499"/>
      <c r="O75" s="499"/>
      <c r="P75" s="499"/>
      <c r="Q75" s="376">
        <f t="shared" si="2"/>
        <v>1092168</v>
      </c>
    </row>
    <row r="76" spans="1:17" ht="21.75" customHeight="1">
      <c r="A76" s="373">
        <v>72</v>
      </c>
      <c r="B76" s="300" t="str">
        <f>+PERBULAN!B77</f>
        <v>MASKUR</v>
      </c>
      <c r="C76" s="379"/>
      <c r="D76" s="379"/>
      <c r="E76" s="301">
        <v>155904</v>
      </c>
      <c r="F76" s="301">
        <v>155904</v>
      </c>
      <c r="G76" s="301">
        <v>156024</v>
      </c>
      <c r="H76" s="301">
        <v>156024</v>
      </c>
      <c r="I76" s="301">
        <v>156024</v>
      </c>
      <c r="J76" s="301">
        <v>156024</v>
      </c>
      <c r="K76" s="301">
        <v>156024</v>
      </c>
      <c r="L76" s="301">
        <v>156024</v>
      </c>
      <c r="M76" s="301">
        <v>156024</v>
      </c>
      <c r="N76" s="301">
        <v>156024</v>
      </c>
      <c r="O76" s="301">
        <v>156024</v>
      </c>
      <c r="P76" s="301"/>
      <c r="Q76" s="376">
        <f t="shared" si="2"/>
        <v>1716024</v>
      </c>
    </row>
    <row r="77" spans="1:17" ht="21.75" customHeight="1">
      <c r="A77" s="373">
        <v>73</v>
      </c>
      <c r="B77" s="300" t="str">
        <f>+PERBULAN!B78</f>
        <v>SUTRISNO</v>
      </c>
      <c r="C77" s="379"/>
      <c r="D77" s="379"/>
      <c r="E77" s="301">
        <v>157084</v>
      </c>
      <c r="F77" s="301">
        <v>157084</v>
      </c>
      <c r="G77" s="301">
        <v>157084</v>
      </c>
      <c r="H77" s="301">
        <v>157084</v>
      </c>
      <c r="I77" s="301">
        <v>157084</v>
      </c>
      <c r="J77" s="301">
        <v>157084</v>
      </c>
      <c r="K77" s="301">
        <v>157224</v>
      </c>
      <c r="L77" s="301">
        <v>157224</v>
      </c>
      <c r="M77" s="301">
        <v>157224</v>
      </c>
      <c r="N77" s="301">
        <v>157224</v>
      </c>
      <c r="O77" s="301">
        <v>157224</v>
      </c>
      <c r="P77" s="301"/>
      <c r="Q77" s="376">
        <f t="shared" si="2"/>
        <v>1728624</v>
      </c>
    </row>
    <row r="78" spans="1:17" ht="21.75" customHeight="1">
      <c r="A78" s="373">
        <v>74</v>
      </c>
      <c r="B78" s="300" t="str">
        <f>+PERBULAN!B79</f>
        <v>SUHARDI</v>
      </c>
      <c r="C78" s="379"/>
      <c r="D78" s="379"/>
      <c r="E78" s="301">
        <v>156264</v>
      </c>
      <c r="F78" s="301">
        <v>156384</v>
      </c>
      <c r="G78" s="301">
        <v>156384</v>
      </c>
      <c r="H78" s="301">
        <v>156384</v>
      </c>
      <c r="I78" s="301">
        <v>156384</v>
      </c>
      <c r="J78" s="301">
        <v>156384</v>
      </c>
      <c r="K78" s="301">
        <v>156384</v>
      </c>
      <c r="L78" s="301">
        <v>156384</v>
      </c>
      <c r="M78" s="301">
        <v>156384</v>
      </c>
      <c r="N78" s="301">
        <v>156384</v>
      </c>
      <c r="O78" s="301">
        <v>156384</v>
      </c>
      <c r="P78" s="499"/>
      <c r="Q78" s="376">
        <f t="shared" si="2"/>
        <v>1720104</v>
      </c>
    </row>
    <row r="79" spans="1:17" ht="21.75" customHeight="1">
      <c r="A79" s="373">
        <v>75</v>
      </c>
      <c r="B79" s="300" t="str">
        <f>+PERBULAN!B80</f>
        <v>RUSDI</v>
      </c>
      <c r="C79" s="379"/>
      <c r="D79" s="379"/>
      <c r="E79" s="301">
        <v>157084</v>
      </c>
      <c r="F79" s="301">
        <v>157084</v>
      </c>
      <c r="G79" s="301">
        <v>157084</v>
      </c>
      <c r="H79" s="301">
        <v>157084</v>
      </c>
      <c r="I79" s="301">
        <v>157084</v>
      </c>
      <c r="J79" s="301">
        <v>157084</v>
      </c>
      <c r="K79" s="301">
        <v>157224</v>
      </c>
      <c r="L79" s="301">
        <v>157224</v>
      </c>
      <c r="M79" s="301">
        <v>157224</v>
      </c>
      <c r="N79" s="301">
        <v>157224</v>
      </c>
      <c r="O79" s="301">
        <v>157224</v>
      </c>
      <c r="P79" s="301"/>
      <c r="Q79" s="376">
        <f t="shared" si="2"/>
        <v>1728624</v>
      </c>
    </row>
    <row r="80" spans="1:17" ht="21.75" customHeight="1">
      <c r="A80" s="373">
        <v>76</v>
      </c>
      <c r="B80" s="300" t="str">
        <f>+PERBULAN!B81</f>
        <v>MASJONI</v>
      </c>
      <c r="C80" s="379"/>
      <c r="D80" s="379"/>
      <c r="E80" s="301">
        <v>157504</v>
      </c>
      <c r="F80" s="301">
        <v>158484</v>
      </c>
      <c r="G80" s="301">
        <v>158484</v>
      </c>
      <c r="H80" s="301">
        <v>158484</v>
      </c>
      <c r="I80" s="301">
        <v>158484</v>
      </c>
      <c r="J80" s="301">
        <v>158484</v>
      </c>
      <c r="K80" s="301">
        <v>158484</v>
      </c>
      <c r="L80" s="301">
        <v>158484</v>
      </c>
      <c r="M80" s="301">
        <v>158484</v>
      </c>
      <c r="N80" s="301">
        <v>158484</v>
      </c>
      <c r="O80" s="301">
        <v>158484</v>
      </c>
      <c r="P80" s="301"/>
      <c r="Q80" s="376">
        <f t="shared" si="2"/>
        <v>1742344</v>
      </c>
    </row>
    <row r="81" spans="1:17" ht="21.75" customHeight="1">
      <c r="A81" s="373">
        <v>77</v>
      </c>
      <c r="B81" s="300" t="str">
        <f>+PERBULAN!B82</f>
        <v>ROSMAN</v>
      </c>
      <c r="C81" s="379"/>
      <c r="D81" s="379"/>
      <c r="E81" s="301">
        <v>156944</v>
      </c>
      <c r="F81" s="301">
        <v>156944</v>
      </c>
      <c r="G81" s="301">
        <v>156944</v>
      </c>
      <c r="H81" s="301">
        <v>156944</v>
      </c>
      <c r="I81" s="301">
        <v>156944</v>
      </c>
      <c r="J81" s="301">
        <v>156944</v>
      </c>
      <c r="K81" s="301">
        <v>157084</v>
      </c>
      <c r="L81" s="301">
        <v>157084</v>
      </c>
      <c r="M81" s="301">
        <v>157084</v>
      </c>
      <c r="N81" s="301">
        <v>157084</v>
      </c>
      <c r="O81" s="301">
        <v>157084</v>
      </c>
      <c r="P81" s="301"/>
      <c r="Q81" s="376">
        <f t="shared" si="2"/>
        <v>1727084</v>
      </c>
    </row>
    <row r="82" spans="1:17" ht="21.75" customHeight="1">
      <c r="A82" s="373">
        <v>78</v>
      </c>
      <c r="B82" s="300" t="str">
        <f>+PERBULAN!B83</f>
        <v>SUMARTO EVENDI</v>
      </c>
      <c r="C82" s="379"/>
      <c r="D82" s="379"/>
      <c r="E82" s="301">
        <v>156024</v>
      </c>
      <c r="F82" s="301">
        <v>156024</v>
      </c>
      <c r="G82" s="301">
        <v>156024</v>
      </c>
      <c r="H82" s="301">
        <v>156144</v>
      </c>
      <c r="I82" s="301">
        <v>156144</v>
      </c>
      <c r="J82" s="301">
        <v>156144</v>
      </c>
      <c r="K82" s="301">
        <v>156144</v>
      </c>
      <c r="L82" s="301">
        <v>156144</v>
      </c>
      <c r="M82" s="301">
        <v>156144</v>
      </c>
      <c r="N82" s="301">
        <v>156144</v>
      </c>
      <c r="O82" s="499"/>
      <c r="P82" s="499"/>
      <c r="Q82" s="376">
        <f t="shared" si="2"/>
        <v>1561080</v>
      </c>
    </row>
    <row r="83" spans="1:17" ht="21.75" customHeight="1">
      <c r="A83" s="373">
        <v>79</v>
      </c>
      <c r="B83" s="300" t="str">
        <f>+PERBULAN!B84</f>
        <v>HERMAN</v>
      </c>
      <c r="C83" s="379"/>
      <c r="D83" s="379"/>
      <c r="E83" s="301">
        <v>155904</v>
      </c>
      <c r="F83" s="301">
        <v>155904</v>
      </c>
      <c r="G83" s="301">
        <v>155904</v>
      </c>
      <c r="H83" s="301">
        <v>155904</v>
      </c>
      <c r="I83" s="301">
        <v>155904</v>
      </c>
      <c r="J83" s="301">
        <v>155904</v>
      </c>
      <c r="K83" s="301">
        <v>155904</v>
      </c>
      <c r="L83" s="301">
        <v>156024</v>
      </c>
      <c r="M83" s="301">
        <v>156024</v>
      </c>
      <c r="N83" s="301">
        <v>156024</v>
      </c>
      <c r="O83" s="301">
        <v>156024</v>
      </c>
      <c r="P83" s="301"/>
      <c r="Q83" s="376">
        <f t="shared" si="2"/>
        <v>1715424</v>
      </c>
    </row>
    <row r="84" spans="1:17" ht="21.75" customHeight="1">
      <c r="A84" s="373">
        <v>80</v>
      </c>
      <c r="B84" s="300" t="str">
        <f>+PERBULAN!B85</f>
        <v>ANDRES CAHYADI</v>
      </c>
      <c r="C84" s="379"/>
      <c r="D84" s="379"/>
      <c r="E84" s="301">
        <v>155904</v>
      </c>
      <c r="F84" s="301">
        <v>155904</v>
      </c>
      <c r="G84" s="301">
        <v>155904</v>
      </c>
      <c r="H84" s="301">
        <v>155904</v>
      </c>
      <c r="I84" s="301">
        <v>155904</v>
      </c>
      <c r="J84" s="301">
        <v>155904</v>
      </c>
      <c r="K84" s="301">
        <v>155904</v>
      </c>
      <c r="L84" s="301">
        <v>155904</v>
      </c>
      <c r="M84" s="301">
        <v>155904</v>
      </c>
      <c r="N84" s="301">
        <v>155904</v>
      </c>
      <c r="O84" s="301">
        <v>155904</v>
      </c>
      <c r="P84" s="301"/>
      <c r="Q84" s="376">
        <f t="shared" si="2"/>
        <v>1714944</v>
      </c>
    </row>
    <row r="85" spans="1:17" ht="21.75" customHeight="1">
      <c r="A85" s="373">
        <v>81</v>
      </c>
      <c r="B85" s="300" t="str">
        <f>+PERBULAN!B86</f>
        <v>SAMSIR</v>
      </c>
      <c r="C85" s="379"/>
      <c r="D85" s="379"/>
      <c r="E85" s="301">
        <v>156024</v>
      </c>
      <c r="F85" s="301">
        <v>156024</v>
      </c>
      <c r="G85" s="301">
        <v>156144</v>
      </c>
      <c r="H85" s="301">
        <v>156144</v>
      </c>
      <c r="I85" s="301">
        <v>156144</v>
      </c>
      <c r="J85" s="301">
        <v>156144</v>
      </c>
      <c r="K85" s="301">
        <v>156144</v>
      </c>
      <c r="L85" s="301">
        <v>156144</v>
      </c>
      <c r="M85" s="301">
        <v>156144</v>
      </c>
      <c r="N85" s="301">
        <v>156144</v>
      </c>
      <c r="O85" s="301">
        <v>156144</v>
      </c>
      <c r="P85" s="301"/>
      <c r="Q85" s="376">
        <f t="shared" si="2"/>
        <v>1717344</v>
      </c>
    </row>
    <row r="86" spans="1:17" ht="21.75" customHeight="1">
      <c r="A86" s="373">
        <v>82</v>
      </c>
      <c r="B86" s="300" t="str">
        <f>+PERBULAN!B87</f>
        <v>FEBRIANSYAH</v>
      </c>
      <c r="C86" s="379"/>
      <c r="D86" s="379"/>
      <c r="E86" s="301">
        <v>155784</v>
      </c>
      <c r="F86" s="301">
        <v>155784</v>
      </c>
      <c r="G86" s="301">
        <v>155784</v>
      </c>
      <c r="H86" s="301">
        <v>155784</v>
      </c>
      <c r="I86" s="301">
        <v>155784</v>
      </c>
      <c r="J86" s="499"/>
      <c r="K86" s="499"/>
      <c r="L86" s="499"/>
      <c r="M86" s="499"/>
      <c r="N86" s="499"/>
      <c r="O86" s="499"/>
      <c r="P86" s="499"/>
      <c r="Q86" s="376">
        <f t="shared" si="2"/>
        <v>778920</v>
      </c>
    </row>
    <row r="87" spans="1:17" ht="21.75" customHeight="1">
      <c r="A87" s="373">
        <v>83</v>
      </c>
      <c r="B87" s="300" t="str">
        <f>+PERBULAN!B88</f>
        <v>WIDI JULIANSYAH</v>
      </c>
      <c r="C87" s="379"/>
      <c r="D87" s="379"/>
      <c r="E87" s="301">
        <v>155164</v>
      </c>
      <c r="F87" s="301">
        <v>155164</v>
      </c>
      <c r="G87" s="301">
        <v>155164</v>
      </c>
      <c r="H87" s="301">
        <v>155164</v>
      </c>
      <c r="I87" s="301">
        <v>155164</v>
      </c>
      <c r="J87" s="301">
        <v>155164</v>
      </c>
      <c r="K87" s="301">
        <v>155164</v>
      </c>
      <c r="L87" s="301">
        <v>155264</v>
      </c>
      <c r="M87" s="301">
        <v>155264</v>
      </c>
      <c r="N87" s="301">
        <v>155264</v>
      </c>
      <c r="O87" s="301">
        <v>155264</v>
      </c>
      <c r="P87" s="301"/>
      <c r="Q87" s="376">
        <f t="shared" si="2"/>
        <v>1707204</v>
      </c>
    </row>
    <row r="88" spans="1:17" ht="21.75" customHeight="1">
      <c r="A88" s="373">
        <v>84</v>
      </c>
      <c r="B88" s="300" t="str">
        <f>+PERBULAN!B89</f>
        <v>ANGGA NURDIANSYAH</v>
      </c>
      <c r="C88" s="379"/>
      <c r="D88" s="379"/>
      <c r="E88" s="301">
        <v>155564</v>
      </c>
      <c r="F88" s="301">
        <v>155564</v>
      </c>
      <c r="G88" s="301">
        <v>155564</v>
      </c>
      <c r="H88" s="301">
        <v>155564</v>
      </c>
      <c r="I88" s="301">
        <v>155564</v>
      </c>
      <c r="J88" s="301">
        <v>155564</v>
      </c>
      <c r="K88" s="301">
        <v>155564</v>
      </c>
      <c r="L88" s="301">
        <v>155564</v>
      </c>
      <c r="M88" s="301">
        <v>155564</v>
      </c>
      <c r="N88" s="301">
        <v>155564</v>
      </c>
      <c r="O88" s="301">
        <v>155664</v>
      </c>
      <c r="P88" s="499"/>
      <c r="Q88" s="376">
        <f t="shared" si="2"/>
        <v>1711304</v>
      </c>
    </row>
    <row r="89" spans="1:17" ht="21.75" customHeight="1">
      <c r="A89" s="373">
        <v>85</v>
      </c>
      <c r="B89" s="300" t="str">
        <f>+PERBULAN!B90</f>
        <v>ISMAIL</v>
      </c>
      <c r="C89" s="379"/>
      <c r="D89" s="379"/>
      <c r="E89" s="301">
        <v>155164</v>
      </c>
      <c r="F89" s="301">
        <v>155164</v>
      </c>
      <c r="G89" s="301">
        <v>155164</v>
      </c>
      <c r="H89" s="301">
        <v>155164</v>
      </c>
      <c r="I89" s="301">
        <v>155164</v>
      </c>
      <c r="J89" s="301">
        <v>155164</v>
      </c>
      <c r="K89" s="301">
        <v>155264</v>
      </c>
      <c r="L89" s="301">
        <v>155264</v>
      </c>
      <c r="M89" s="301">
        <v>155264</v>
      </c>
      <c r="N89" s="301">
        <v>155264</v>
      </c>
      <c r="O89" s="301">
        <v>155264</v>
      </c>
      <c r="P89" s="301"/>
      <c r="Q89" s="376">
        <f t="shared" si="2"/>
        <v>1707304</v>
      </c>
    </row>
    <row r="90" spans="1:17" ht="21.75" customHeight="1">
      <c r="A90" s="373">
        <v>86</v>
      </c>
      <c r="B90" s="300" t="str">
        <f>+PERBULAN!B91</f>
        <v>JOPI APRIAN HIDAYAT</v>
      </c>
      <c r="C90" s="379"/>
      <c r="D90" s="379"/>
      <c r="E90" s="301">
        <v>155164</v>
      </c>
      <c r="F90" s="301">
        <v>155164</v>
      </c>
      <c r="G90" s="301">
        <v>155164</v>
      </c>
      <c r="H90" s="301">
        <v>155164</v>
      </c>
      <c r="I90" s="301">
        <v>155164</v>
      </c>
      <c r="J90" s="301">
        <v>155264</v>
      </c>
      <c r="K90" s="301">
        <v>155264</v>
      </c>
      <c r="L90" s="301">
        <v>155264</v>
      </c>
      <c r="M90" s="301">
        <v>155264</v>
      </c>
      <c r="N90" s="301">
        <v>155264</v>
      </c>
      <c r="O90" s="301">
        <v>155264</v>
      </c>
      <c r="P90" s="301"/>
      <c r="Q90" s="376">
        <f t="shared" si="2"/>
        <v>1707404</v>
      </c>
    </row>
    <row r="91" spans="1:17" ht="21.75" customHeight="1">
      <c r="A91" s="373">
        <v>87</v>
      </c>
      <c r="B91" s="300" t="str">
        <f>+PERBULAN!B92</f>
        <v>BINTANG ADITYA REVALDO</v>
      </c>
      <c r="C91" s="379"/>
      <c r="D91" s="379"/>
      <c r="E91" s="499"/>
      <c r="F91" s="301">
        <v>155064</v>
      </c>
      <c r="G91" s="301">
        <v>155064</v>
      </c>
      <c r="H91" s="301">
        <v>155064</v>
      </c>
      <c r="I91" s="301">
        <v>155064</v>
      </c>
      <c r="J91" s="499"/>
      <c r="K91" s="499"/>
      <c r="L91" s="499"/>
      <c r="M91" s="499"/>
      <c r="N91" s="499"/>
      <c r="O91" s="499"/>
      <c r="P91" s="499"/>
      <c r="Q91" s="376">
        <f t="shared" si="2"/>
        <v>620256</v>
      </c>
    </row>
    <row r="92" spans="1:17" ht="21.75" customHeight="1">
      <c r="A92" s="373">
        <v>88</v>
      </c>
      <c r="B92" s="300" t="str">
        <f>+PERBULAN!B93</f>
        <v>SOLEHAN</v>
      </c>
      <c r="C92" s="379"/>
      <c r="D92" s="379"/>
      <c r="E92" s="301">
        <v>155464</v>
      </c>
      <c r="F92" s="301">
        <v>155464</v>
      </c>
      <c r="G92" s="301">
        <v>155464</v>
      </c>
      <c r="H92" s="301">
        <v>155464</v>
      </c>
      <c r="I92" s="301">
        <v>155464</v>
      </c>
      <c r="J92" s="301">
        <v>155464</v>
      </c>
      <c r="K92" s="301">
        <v>155564</v>
      </c>
      <c r="L92" s="301">
        <v>155564</v>
      </c>
      <c r="M92" s="301">
        <v>155564</v>
      </c>
      <c r="N92" s="301">
        <v>155564</v>
      </c>
      <c r="O92" s="301">
        <v>155564</v>
      </c>
      <c r="P92" s="301"/>
      <c r="Q92" s="376">
        <f t="shared" si="2"/>
        <v>1710604</v>
      </c>
    </row>
    <row r="93" spans="1:17" ht="21.75" customHeight="1">
      <c r="A93" s="373">
        <v>89</v>
      </c>
      <c r="B93" s="300" t="str">
        <f>+PERBULAN!B94</f>
        <v>WIRANTO</v>
      </c>
      <c r="C93" s="379"/>
      <c r="D93" s="379"/>
      <c r="E93" s="301">
        <v>155564</v>
      </c>
      <c r="F93" s="301">
        <v>155564</v>
      </c>
      <c r="G93" s="301">
        <v>155564</v>
      </c>
      <c r="H93" s="301">
        <v>155564</v>
      </c>
      <c r="I93" s="301">
        <v>155564</v>
      </c>
      <c r="J93" s="301">
        <v>155564</v>
      </c>
      <c r="K93" s="301">
        <v>155664</v>
      </c>
      <c r="L93" s="301">
        <v>155664</v>
      </c>
      <c r="M93" s="301">
        <v>155664</v>
      </c>
      <c r="N93" s="301">
        <v>155664</v>
      </c>
      <c r="O93" s="301">
        <v>155664</v>
      </c>
      <c r="P93" s="301"/>
      <c r="Q93" s="376">
        <f t="shared" si="2"/>
        <v>1711704</v>
      </c>
    </row>
    <row r="94" spans="1:17" ht="21.75" customHeight="1">
      <c r="A94" s="373">
        <v>90</v>
      </c>
      <c r="B94" s="300" t="str">
        <f>+PERBULAN!B95</f>
        <v>RUSDIANA</v>
      </c>
      <c r="C94" s="379"/>
      <c r="D94" s="379"/>
      <c r="E94" s="301">
        <v>156024</v>
      </c>
      <c r="F94" s="301">
        <v>156024</v>
      </c>
      <c r="G94" s="301">
        <v>156024</v>
      </c>
      <c r="H94" s="301">
        <v>156024</v>
      </c>
      <c r="I94" s="301">
        <v>156024</v>
      </c>
      <c r="J94" s="301">
        <v>156024</v>
      </c>
      <c r="K94" s="301">
        <v>156024</v>
      </c>
      <c r="L94" s="301">
        <v>156024</v>
      </c>
      <c r="M94" s="301">
        <v>156024</v>
      </c>
      <c r="N94" s="499"/>
      <c r="O94" s="499"/>
      <c r="P94" s="499"/>
      <c r="Q94" s="376">
        <f t="shared" si="2"/>
        <v>1404216</v>
      </c>
    </row>
    <row r="95" spans="1:17" ht="21.75" customHeight="1">
      <c r="A95" s="373">
        <v>91</v>
      </c>
      <c r="B95" s="300" t="str">
        <f>+PERBULAN!B96</f>
        <v>EDI ZULKARNADI</v>
      </c>
      <c r="C95" s="379"/>
      <c r="D95" s="379"/>
      <c r="E95" s="301">
        <v>156024</v>
      </c>
      <c r="F95" s="301">
        <v>156024</v>
      </c>
      <c r="G95" s="301">
        <v>156024</v>
      </c>
      <c r="H95" s="301">
        <v>156024</v>
      </c>
      <c r="I95" s="301">
        <v>156144</v>
      </c>
      <c r="J95" s="301">
        <v>156144</v>
      </c>
      <c r="K95" s="301">
        <v>156144</v>
      </c>
      <c r="L95" s="301">
        <v>156144</v>
      </c>
      <c r="M95" s="301">
        <v>156144</v>
      </c>
      <c r="N95" s="301">
        <v>156144</v>
      </c>
      <c r="O95" s="301">
        <v>156144</v>
      </c>
      <c r="P95" s="301"/>
      <c r="Q95" s="376">
        <f t="shared" si="2"/>
        <v>1717104</v>
      </c>
    </row>
    <row r="96" spans="1:17" ht="21.75" customHeight="1">
      <c r="A96" s="373">
        <v>92</v>
      </c>
      <c r="B96" s="300" t="str">
        <f>+PERBULAN!B97</f>
        <v>ERLANDA</v>
      </c>
      <c r="C96" s="379"/>
      <c r="D96" s="379"/>
      <c r="E96" s="301">
        <v>155164</v>
      </c>
      <c r="F96" s="301">
        <v>155164</v>
      </c>
      <c r="G96" s="301">
        <v>155264</v>
      </c>
      <c r="H96" s="301">
        <v>155264</v>
      </c>
      <c r="I96" s="301">
        <v>155264</v>
      </c>
      <c r="J96" s="301">
        <v>155264</v>
      </c>
      <c r="K96" s="301">
        <v>155264</v>
      </c>
      <c r="L96" s="301">
        <v>155264</v>
      </c>
      <c r="M96" s="301">
        <v>155264</v>
      </c>
      <c r="N96" s="301">
        <v>155264</v>
      </c>
      <c r="O96" s="301">
        <v>155364</v>
      </c>
      <c r="P96" s="301"/>
      <c r="Q96" s="376">
        <f t="shared" si="2"/>
        <v>1707804</v>
      </c>
    </row>
    <row r="97" spans="1:17" ht="21.75" customHeight="1">
      <c r="A97" s="373">
        <v>93</v>
      </c>
      <c r="B97" s="300" t="str">
        <f>+PERBULAN!B98</f>
        <v>SUNARDI</v>
      </c>
      <c r="C97" s="379"/>
      <c r="D97" s="379"/>
      <c r="E97" s="301">
        <v>155364</v>
      </c>
      <c r="F97" s="301">
        <v>155364</v>
      </c>
      <c r="G97" s="301">
        <v>155464</v>
      </c>
      <c r="H97" s="301">
        <v>155464</v>
      </c>
      <c r="I97" s="301">
        <v>155464</v>
      </c>
      <c r="J97" s="301">
        <v>155464</v>
      </c>
      <c r="K97" s="301">
        <v>155464</v>
      </c>
      <c r="L97" s="301">
        <v>155464</v>
      </c>
      <c r="M97" s="301">
        <v>155464</v>
      </c>
      <c r="N97" s="301">
        <v>155464</v>
      </c>
      <c r="O97" s="301">
        <v>155464</v>
      </c>
      <c r="P97" s="301"/>
      <c r="Q97" s="376">
        <f t="shared" si="2"/>
        <v>1709904</v>
      </c>
    </row>
    <row r="98" spans="1:17" ht="21.75" customHeight="1">
      <c r="A98" s="373">
        <v>94</v>
      </c>
      <c r="B98" s="300" t="str">
        <f>+PERBULAN!B99</f>
        <v>ANDRI GUNAWAN</v>
      </c>
      <c r="C98" s="379"/>
      <c r="D98" s="379"/>
      <c r="E98" s="499"/>
      <c r="F98" s="499"/>
      <c r="G98" s="301">
        <v>155064</v>
      </c>
      <c r="H98" s="301">
        <v>155064</v>
      </c>
      <c r="I98" s="301">
        <v>155064</v>
      </c>
      <c r="J98" s="301">
        <v>155064</v>
      </c>
      <c r="K98" s="301">
        <v>155064</v>
      </c>
      <c r="L98" s="301">
        <v>155064</v>
      </c>
      <c r="M98" s="301">
        <v>155064</v>
      </c>
      <c r="N98" s="301">
        <v>155064</v>
      </c>
      <c r="O98" s="301">
        <v>155064</v>
      </c>
      <c r="P98" s="301"/>
      <c r="Q98" s="376">
        <f t="shared" si="2"/>
        <v>1395576</v>
      </c>
    </row>
    <row r="99" spans="1:17" ht="21.75" customHeight="1">
      <c r="A99" s="373">
        <v>95</v>
      </c>
      <c r="B99" s="300" t="str">
        <f>+PERBULAN!B100</f>
        <v>JUPRI</v>
      </c>
      <c r="C99" s="379"/>
      <c r="D99" s="379"/>
      <c r="E99" s="301">
        <v>155364</v>
      </c>
      <c r="F99" s="301">
        <v>155364</v>
      </c>
      <c r="G99" s="301">
        <v>155364</v>
      </c>
      <c r="H99" s="301">
        <v>155364</v>
      </c>
      <c r="I99" s="301">
        <v>155364</v>
      </c>
      <c r="J99" s="301">
        <v>155464</v>
      </c>
      <c r="K99" s="301">
        <v>155464</v>
      </c>
      <c r="L99" s="301">
        <v>155464</v>
      </c>
      <c r="M99" s="301">
        <v>155464</v>
      </c>
      <c r="N99" s="301">
        <v>155464</v>
      </c>
      <c r="O99" s="301">
        <v>155464</v>
      </c>
      <c r="P99" s="301"/>
      <c r="Q99" s="376">
        <f t="shared" si="2"/>
        <v>1709604</v>
      </c>
    </row>
    <row r="100" spans="1:17" ht="21.75" customHeight="1">
      <c r="A100" s="373">
        <v>96</v>
      </c>
      <c r="B100" s="300" t="str">
        <f>+PERBULAN!B101</f>
        <v>RAMADHAN</v>
      </c>
      <c r="C100" s="379"/>
      <c r="D100" s="379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76">
        <f t="shared" si="2"/>
        <v>0</v>
      </c>
    </row>
    <row r="101" spans="1:17" ht="21.75" customHeight="1">
      <c r="A101" s="373">
        <v>97</v>
      </c>
      <c r="B101" s="300" t="str">
        <f>+PERBULAN!B102</f>
        <v>RAFIANSYAH</v>
      </c>
      <c r="C101" s="379"/>
      <c r="D101" s="379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76">
        <f t="shared" si="2"/>
        <v>0</v>
      </c>
    </row>
    <row r="102" spans="1:17" ht="21.75" customHeight="1">
      <c r="A102" s="373">
        <v>98</v>
      </c>
      <c r="B102" s="300" t="str">
        <f>+PERBULAN!B103</f>
        <v>VIRGA</v>
      </c>
      <c r="C102" s="379"/>
      <c r="D102" s="379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76">
        <f t="shared" si="2"/>
        <v>0</v>
      </c>
    </row>
    <row r="103" spans="1:17" ht="21.75" customHeight="1">
      <c r="A103" s="373">
        <v>99</v>
      </c>
      <c r="B103" s="300" t="str">
        <f>+PERBULAN!B104</f>
        <v>TARMIZI</v>
      </c>
      <c r="C103" s="379"/>
      <c r="D103" s="379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76">
        <f t="shared" si="2"/>
        <v>0</v>
      </c>
    </row>
    <row r="104" spans="1:17" ht="21.75" customHeight="1">
      <c r="A104" s="373">
        <v>100</v>
      </c>
      <c r="B104" s="300" t="str">
        <f>+PERBULAN!B105</f>
        <v>ANDREAS</v>
      </c>
      <c r="C104" s="379"/>
      <c r="D104" s="379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76">
        <f t="shared" si="2"/>
        <v>0</v>
      </c>
    </row>
    <row r="105" spans="1:17" ht="21.75" customHeight="1">
      <c r="A105" s="373">
        <v>101</v>
      </c>
      <c r="B105" s="300">
        <f>+PERBULAN!B106</f>
        <v>0</v>
      </c>
      <c r="C105" s="379"/>
      <c r="D105" s="379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76">
        <f t="shared" si="2"/>
        <v>0</v>
      </c>
    </row>
    <row r="106" spans="1:17" ht="21.75" customHeight="1">
      <c r="A106" s="373">
        <v>102</v>
      </c>
      <c r="B106" s="300">
        <f>+PERBULAN!B107</f>
        <v>0</v>
      </c>
      <c r="C106" s="379"/>
      <c r="D106" s="379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76">
        <f t="shared" si="2"/>
        <v>0</v>
      </c>
    </row>
    <row r="107" spans="1:17" ht="21.75" customHeight="1">
      <c r="A107" s="373">
        <v>103</v>
      </c>
      <c r="B107" s="300">
        <f>+PERBULAN!B108</f>
        <v>0</v>
      </c>
      <c r="C107" s="379"/>
      <c r="D107" s="379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76">
        <f t="shared" si="2"/>
        <v>0</v>
      </c>
    </row>
    <row r="108" spans="1:17" ht="21.75" customHeight="1">
      <c r="A108" s="373">
        <v>104</v>
      </c>
      <c r="B108" s="300">
        <f>+PERBULAN!B109</f>
        <v>0</v>
      </c>
      <c r="C108" s="379"/>
      <c r="D108" s="379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76">
        <f t="shared" si="2"/>
        <v>0</v>
      </c>
    </row>
    <row r="109" spans="1:17" ht="21.75" customHeight="1">
      <c r="A109" s="373">
        <v>105</v>
      </c>
      <c r="B109" s="300">
        <f>+PERBULAN!B110</f>
        <v>0</v>
      </c>
      <c r="C109" s="379"/>
      <c r="D109" s="379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76">
        <f t="shared" si="2"/>
        <v>0</v>
      </c>
    </row>
    <row r="110" spans="1:17" ht="21.75" customHeight="1">
      <c r="A110" s="373">
        <v>106</v>
      </c>
      <c r="B110" s="300">
        <f>+PERBULAN!B111</f>
        <v>0</v>
      </c>
      <c r="C110" s="379"/>
      <c r="D110" s="379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76">
        <f t="shared" si="2"/>
        <v>0</v>
      </c>
    </row>
    <row r="111" spans="1:17" ht="21.75" customHeight="1">
      <c r="A111" s="373">
        <v>107</v>
      </c>
      <c r="B111" s="300">
        <f>+PERBULAN!B112</f>
        <v>0</v>
      </c>
      <c r="C111" s="379"/>
      <c r="D111" s="379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76">
        <f t="shared" si="2"/>
        <v>0</v>
      </c>
    </row>
    <row r="112" spans="1:17" ht="21.75" customHeight="1">
      <c r="A112" s="373">
        <v>108</v>
      </c>
      <c r="B112" s="300">
        <f>+PERBULAN!B113</f>
        <v>0</v>
      </c>
      <c r="C112" s="379"/>
      <c r="D112" s="379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76">
        <f t="shared" si="2"/>
        <v>0</v>
      </c>
    </row>
    <row r="113" spans="1:18" ht="21.75" customHeight="1">
      <c r="A113" s="373">
        <v>109</v>
      </c>
      <c r="B113" s="300">
        <f>+PERBULAN!B114</f>
        <v>0</v>
      </c>
      <c r="C113" s="379"/>
      <c r="D113" s="379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76">
        <f t="shared" si="2"/>
        <v>0</v>
      </c>
    </row>
    <row r="114" spans="1:18" ht="21.75" customHeight="1">
      <c r="A114" s="373">
        <v>110</v>
      </c>
      <c r="B114" s="300">
        <f>+PERBULAN!B115</f>
        <v>0</v>
      </c>
      <c r="C114" s="379"/>
      <c r="D114" s="379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76">
        <f t="shared" si="2"/>
        <v>0</v>
      </c>
    </row>
    <row r="115" spans="1:18" ht="21.75" customHeight="1">
      <c r="A115" s="373">
        <v>111</v>
      </c>
      <c r="B115" s="300">
        <f>+PERBULAN!B116</f>
        <v>0</v>
      </c>
      <c r="C115" s="379"/>
      <c r="D115" s="379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76">
        <f t="shared" si="2"/>
        <v>0</v>
      </c>
    </row>
    <row r="116" spans="1:18" ht="21.75" customHeight="1" thickBot="1">
      <c r="A116" s="373">
        <v>112</v>
      </c>
      <c r="B116" s="496"/>
      <c r="C116" s="379"/>
      <c r="D116" s="379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76"/>
    </row>
    <row r="117" spans="1:18" ht="21.75" customHeight="1" thickBot="1">
      <c r="A117" s="650" t="s">
        <v>461</v>
      </c>
      <c r="B117" s="651"/>
      <c r="C117" s="381"/>
      <c r="D117" s="381"/>
      <c r="E117" s="382">
        <f t="shared" ref="E117:P117" si="4">SUM(E5:E115)</f>
        <v>14539892</v>
      </c>
      <c r="F117" s="382">
        <f t="shared" si="4"/>
        <v>14702636</v>
      </c>
      <c r="G117" s="382">
        <f t="shared" si="4"/>
        <v>14858640</v>
      </c>
      <c r="H117" s="382">
        <f t="shared" si="4"/>
        <v>14859400</v>
      </c>
      <c r="I117" s="382">
        <f t="shared" si="4"/>
        <v>14859640</v>
      </c>
      <c r="J117" s="382">
        <f t="shared" si="4"/>
        <v>14549492</v>
      </c>
      <c r="K117" s="382">
        <f t="shared" si="4"/>
        <v>14551512</v>
      </c>
      <c r="L117" s="382">
        <f t="shared" si="4"/>
        <v>14241024</v>
      </c>
      <c r="M117" s="382">
        <f t="shared" si="4"/>
        <v>14086100</v>
      </c>
      <c r="N117" s="382">
        <f t="shared" si="4"/>
        <v>13931336</v>
      </c>
      <c r="O117" s="382">
        <f t="shared" si="4"/>
        <v>13776812</v>
      </c>
      <c r="P117" s="382">
        <f t="shared" si="4"/>
        <v>0</v>
      </c>
      <c r="Q117" s="376">
        <f t="shared" ref="Q117" si="5">SUM(E117:P117)</f>
        <v>158956484</v>
      </c>
    </row>
    <row r="120" spans="1:18" ht="21.75" customHeight="1">
      <c r="A120" s="373">
        <v>74</v>
      </c>
      <c r="B120" s="300" t="str">
        <f>+PERBULAN!B121</f>
        <v>HERY</v>
      </c>
      <c r="C120" s="379"/>
      <c r="D120" s="379"/>
      <c r="E120" s="301">
        <v>155364</v>
      </c>
      <c r="F120" s="301">
        <v>155364</v>
      </c>
      <c r="G120" s="301">
        <v>155364</v>
      </c>
      <c r="H120" s="301">
        <v>155364</v>
      </c>
      <c r="I120" s="301">
        <v>155364</v>
      </c>
      <c r="J120" s="301">
        <v>155364</v>
      </c>
      <c r="K120" s="301">
        <v>155364</v>
      </c>
      <c r="L120" s="301">
        <v>155364</v>
      </c>
      <c r="M120" s="301"/>
      <c r="N120" s="301"/>
      <c r="O120" s="301"/>
      <c r="P120" s="301"/>
      <c r="Q120" s="376">
        <f>SUM(E120:P120)</f>
        <v>1242912</v>
      </c>
    </row>
    <row r="121" spans="1:18" ht="21.75" customHeight="1">
      <c r="A121" s="373">
        <v>2</v>
      </c>
      <c r="B121" s="300" t="str">
        <f>+PERBULAN!B122</f>
        <v>MARETA</v>
      </c>
      <c r="C121" s="374"/>
      <c r="D121" s="374"/>
      <c r="E121" s="375">
        <v>155784</v>
      </c>
      <c r="F121" s="375">
        <v>155784</v>
      </c>
      <c r="G121" s="375">
        <v>155784</v>
      </c>
      <c r="H121" s="301">
        <v>155784</v>
      </c>
      <c r="I121" s="301">
        <v>155784</v>
      </c>
      <c r="J121" s="301">
        <v>155784</v>
      </c>
      <c r="K121" s="301">
        <v>155904</v>
      </c>
      <c r="L121" s="301">
        <v>155904</v>
      </c>
      <c r="M121" s="301">
        <v>155904</v>
      </c>
      <c r="N121" s="301">
        <v>155904</v>
      </c>
      <c r="O121" s="301"/>
      <c r="P121" s="301"/>
      <c r="Q121" s="376">
        <f>SUM(E121:P121)</f>
        <v>1558320</v>
      </c>
      <c r="R121" s="257">
        <f>COUNT(E121:P121)</f>
        <v>10</v>
      </c>
    </row>
    <row r="123" spans="1:18" ht="21.75" customHeight="1">
      <c r="B123" s="257" t="s">
        <v>492</v>
      </c>
    </row>
    <row r="124" spans="1:18" ht="21.75" customHeight="1" thickBot="1">
      <c r="B124" s="257" t="s">
        <v>493</v>
      </c>
    </row>
    <row r="125" spans="1:18" ht="21.75" customHeight="1">
      <c r="A125" s="641" t="s">
        <v>494</v>
      </c>
      <c r="B125" s="643" t="s">
        <v>495</v>
      </c>
      <c r="C125" s="508"/>
      <c r="D125" s="508"/>
      <c r="E125" s="645" t="s">
        <v>719</v>
      </c>
      <c r="F125" s="645"/>
      <c r="G125" s="645"/>
      <c r="H125" s="645"/>
      <c r="I125" s="645"/>
      <c r="J125" s="646"/>
      <c r="K125" s="645"/>
      <c r="L125" s="645"/>
      <c r="M125" s="645"/>
      <c r="N125" s="645"/>
      <c r="O125" s="645"/>
      <c r="P125" s="647"/>
      <c r="Q125" s="648" t="s">
        <v>461</v>
      </c>
    </row>
    <row r="126" spans="1:18" ht="21.75" customHeight="1" thickBot="1">
      <c r="A126" s="642"/>
      <c r="B126" s="644"/>
      <c r="C126" s="371"/>
      <c r="D126" s="371"/>
      <c r="E126" s="372" t="s">
        <v>497</v>
      </c>
      <c r="F126" s="372" t="s">
        <v>498</v>
      </c>
      <c r="G126" s="372" t="s">
        <v>499</v>
      </c>
      <c r="H126" s="372" t="s">
        <v>500</v>
      </c>
      <c r="I126" s="372" t="s">
        <v>501</v>
      </c>
      <c r="J126" s="372" t="s">
        <v>502</v>
      </c>
      <c r="K126" s="372" t="s">
        <v>503</v>
      </c>
      <c r="L126" s="372" t="s">
        <v>504</v>
      </c>
      <c r="M126" s="372" t="s">
        <v>505</v>
      </c>
      <c r="N126" s="372" t="s">
        <v>506</v>
      </c>
      <c r="O126" s="372" t="s">
        <v>507</v>
      </c>
      <c r="P126" s="372" t="s">
        <v>31</v>
      </c>
      <c r="Q126" s="649"/>
    </row>
    <row r="127" spans="1:18" ht="21.75" customHeight="1">
      <c r="A127" s="373">
        <v>1</v>
      </c>
      <c r="B127" s="300" t="str">
        <f t="shared" ref="B127:B158" si="6">+B5</f>
        <v>ARYADI</v>
      </c>
      <c r="C127" s="374"/>
      <c r="D127" s="374"/>
      <c r="E127" s="375">
        <v>32563.439999999999</v>
      </c>
      <c r="F127" s="375">
        <v>32563.439999999999</v>
      </c>
      <c r="G127" s="375">
        <v>32563.439999999999</v>
      </c>
      <c r="H127" s="301">
        <v>32563.439999999999</v>
      </c>
      <c r="I127" s="301">
        <v>32563.439999999999</v>
      </c>
      <c r="J127" s="301">
        <v>32563.439999999999</v>
      </c>
      <c r="K127" s="301">
        <v>32987.64</v>
      </c>
      <c r="L127" s="301">
        <v>32987.64</v>
      </c>
      <c r="M127" s="301">
        <v>32987.64</v>
      </c>
      <c r="N127" s="301">
        <v>32987.64</v>
      </c>
      <c r="O127" s="301">
        <v>32987.64</v>
      </c>
      <c r="P127" s="301"/>
      <c r="Q127" s="376">
        <f t="shared" ref="Q127:Q141" si="7">SUM(E127:P127)</f>
        <v>360318.84</v>
      </c>
      <c r="R127" s="257">
        <f t="shared" ref="R127:R136" si="8">COUNT(E127:P127)</f>
        <v>11</v>
      </c>
    </row>
    <row r="128" spans="1:18" ht="21.75" customHeight="1">
      <c r="A128" s="373">
        <v>2</v>
      </c>
      <c r="B128" s="300" t="str">
        <f t="shared" si="6"/>
        <v>SUPRI</v>
      </c>
      <c r="C128" s="374"/>
      <c r="D128" s="374"/>
      <c r="E128" s="375">
        <v>32563.439999999999</v>
      </c>
      <c r="F128" s="375">
        <v>32563.439999999999</v>
      </c>
      <c r="G128" s="375">
        <v>32563.439999999999</v>
      </c>
      <c r="H128" s="301">
        <v>32563.439999999999</v>
      </c>
      <c r="I128" s="301">
        <v>32563.439999999999</v>
      </c>
      <c r="J128" s="301">
        <v>32563.439999999999</v>
      </c>
      <c r="K128" s="301">
        <v>32987.64</v>
      </c>
      <c r="L128" s="301">
        <v>32987.64</v>
      </c>
      <c r="M128" s="301">
        <v>32987.64</v>
      </c>
      <c r="N128" s="301">
        <v>32987.64</v>
      </c>
      <c r="O128" s="301">
        <v>32987.64</v>
      </c>
      <c r="P128" s="301"/>
      <c r="Q128" s="376">
        <f t="shared" si="7"/>
        <v>360318.84</v>
      </c>
      <c r="R128" s="257">
        <f t="shared" si="8"/>
        <v>11</v>
      </c>
    </row>
    <row r="129" spans="1:18" ht="21.75" customHeight="1">
      <c r="A129" s="373">
        <v>3</v>
      </c>
      <c r="B129" s="300" t="str">
        <f t="shared" si="6"/>
        <v>ROTIA</v>
      </c>
      <c r="C129" s="374"/>
      <c r="D129" s="374"/>
      <c r="E129" s="375">
        <v>32563.439999999999</v>
      </c>
      <c r="F129" s="375">
        <v>32563.439999999999</v>
      </c>
      <c r="G129" s="375">
        <v>32563.439999999999</v>
      </c>
      <c r="H129" s="301">
        <v>32563.439999999999</v>
      </c>
      <c r="I129" s="301">
        <v>32563.439999999999</v>
      </c>
      <c r="J129" s="301">
        <v>32563.439999999999</v>
      </c>
      <c r="K129" s="301">
        <v>33017.040000000001</v>
      </c>
      <c r="L129" s="301">
        <v>33017.040000000001</v>
      </c>
      <c r="M129" s="301">
        <v>33017.040000000001</v>
      </c>
      <c r="N129" s="301">
        <v>33046.439999999995</v>
      </c>
      <c r="O129" s="301">
        <v>33046.439999999995</v>
      </c>
      <c r="P129" s="301"/>
      <c r="Q129" s="376">
        <f t="shared" si="7"/>
        <v>360524.64</v>
      </c>
      <c r="R129" s="257">
        <f t="shared" si="8"/>
        <v>11</v>
      </c>
    </row>
    <row r="130" spans="1:18" ht="21.75" customHeight="1">
      <c r="A130" s="373">
        <v>4</v>
      </c>
      <c r="B130" s="300" t="str">
        <f t="shared" si="6"/>
        <v>SURYANI</v>
      </c>
      <c r="C130" s="374"/>
      <c r="D130" s="374"/>
      <c r="E130" s="375">
        <v>32563.439999999999</v>
      </c>
      <c r="F130" s="375">
        <v>32563.439999999999</v>
      </c>
      <c r="G130" s="375">
        <v>32563.439999999999</v>
      </c>
      <c r="H130" s="301">
        <v>32563.439999999999</v>
      </c>
      <c r="I130" s="301">
        <v>32563.439999999999</v>
      </c>
      <c r="J130" s="301">
        <v>32563.439999999999</v>
      </c>
      <c r="K130" s="301">
        <v>33017.040000000001</v>
      </c>
      <c r="L130" s="301">
        <v>33017.040000000001</v>
      </c>
      <c r="M130" s="301">
        <v>33017.040000000001</v>
      </c>
      <c r="N130" s="301">
        <v>33017.040000000001</v>
      </c>
      <c r="O130" s="301">
        <v>33017.040000000001</v>
      </c>
      <c r="P130" s="301"/>
      <c r="Q130" s="376">
        <f t="shared" si="7"/>
        <v>360465.83999999997</v>
      </c>
      <c r="R130" s="257">
        <f t="shared" si="8"/>
        <v>11</v>
      </c>
    </row>
    <row r="131" spans="1:18" ht="21.75" customHeight="1">
      <c r="A131" s="373">
        <v>5</v>
      </c>
      <c r="B131" s="300" t="str">
        <f t="shared" si="6"/>
        <v>SAHINA YUNI</v>
      </c>
      <c r="C131" s="374"/>
      <c r="D131" s="374"/>
      <c r="E131" s="375">
        <v>32563.439999999999</v>
      </c>
      <c r="F131" s="375">
        <v>32563.439999999999</v>
      </c>
      <c r="G131" s="375">
        <v>32563.439999999999</v>
      </c>
      <c r="H131" s="301">
        <v>32563.439999999999</v>
      </c>
      <c r="I131" s="301">
        <v>32563.439999999999</v>
      </c>
      <c r="J131" s="301">
        <v>32563.439999999999</v>
      </c>
      <c r="K131" s="301">
        <v>32987.64</v>
      </c>
      <c r="L131" s="301">
        <v>32987.64</v>
      </c>
      <c r="M131" s="301">
        <v>32987.64</v>
      </c>
      <c r="N131" s="301">
        <v>32987.64</v>
      </c>
      <c r="O131" s="301">
        <v>32987.64</v>
      </c>
      <c r="P131" s="301"/>
      <c r="Q131" s="376">
        <f t="shared" si="7"/>
        <v>360318.84</v>
      </c>
      <c r="R131" s="257">
        <f t="shared" si="8"/>
        <v>11</v>
      </c>
    </row>
    <row r="132" spans="1:18" ht="21.75" customHeight="1">
      <c r="A132" s="373">
        <v>6</v>
      </c>
      <c r="B132" s="300" t="str">
        <f t="shared" si="6"/>
        <v>NURLELA</v>
      </c>
      <c r="C132" s="374"/>
      <c r="D132" s="377"/>
      <c r="E132" s="301">
        <v>32563.439999999999</v>
      </c>
      <c r="F132" s="301">
        <v>32563.439999999999</v>
      </c>
      <c r="G132" s="375">
        <v>32563.439999999999</v>
      </c>
      <c r="H132" s="301">
        <v>32563.439999999999</v>
      </c>
      <c r="I132" s="301">
        <v>32563.439999999999</v>
      </c>
      <c r="J132" s="301">
        <v>32563.439999999999</v>
      </c>
      <c r="K132" s="301">
        <v>33369.839999999997</v>
      </c>
      <c r="L132" s="301">
        <v>33369.839999999997</v>
      </c>
      <c r="M132" s="301">
        <v>33369.839999999997</v>
      </c>
      <c r="N132" s="301">
        <v>33369.839999999997</v>
      </c>
      <c r="O132" s="301">
        <v>33369.839999999997</v>
      </c>
      <c r="P132" s="301"/>
      <c r="Q132" s="376">
        <f t="shared" si="7"/>
        <v>362229.83999999997</v>
      </c>
      <c r="R132" s="257">
        <f t="shared" si="8"/>
        <v>11</v>
      </c>
    </row>
    <row r="133" spans="1:18" ht="21.75" customHeight="1">
      <c r="A133" s="373">
        <v>7</v>
      </c>
      <c r="B133" s="300" t="str">
        <f t="shared" si="6"/>
        <v>SUSINARTI</v>
      </c>
      <c r="C133" s="374"/>
      <c r="D133" s="377"/>
      <c r="E133" s="301">
        <v>32563.439999999999</v>
      </c>
      <c r="F133" s="301">
        <v>32563.439999999999</v>
      </c>
      <c r="G133" s="375">
        <v>32563.439999999999</v>
      </c>
      <c r="H133" s="301">
        <v>32563.439999999999</v>
      </c>
      <c r="I133" s="301">
        <v>32563.439999999999</v>
      </c>
      <c r="J133" s="301">
        <v>32563.439999999999</v>
      </c>
      <c r="K133" s="301">
        <v>32958.239999999998</v>
      </c>
      <c r="L133" s="301">
        <v>32958.239999999998</v>
      </c>
      <c r="M133" s="301">
        <v>32958.239999999998</v>
      </c>
      <c r="N133" s="301">
        <v>32987.64</v>
      </c>
      <c r="O133" s="301">
        <v>32987.64</v>
      </c>
      <c r="P133" s="301"/>
      <c r="Q133" s="376">
        <f t="shared" si="7"/>
        <v>360230.64</v>
      </c>
      <c r="R133" s="257">
        <f t="shared" si="8"/>
        <v>11</v>
      </c>
    </row>
    <row r="134" spans="1:18" ht="21.75" customHeight="1">
      <c r="A134" s="373">
        <v>8</v>
      </c>
      <c r="B134" s="300" t="str">
        <f t="shared" si="6"/>
        <v>JAHIMIN</v>
      </c>
      <c r="C134" s="374"/>
      <c r="D134" s="377"/>
      <c r="E134" s="301">
        <v>32563.439999999999</v>
      </c>
      <c r="F134" s="301">
        <v>32563.439999999999</v>
      </c>
      <c r="G134" s="375">
        <v>32563.439999999999</v>
      </c>
      <c r="H134" s="301">
        <v>32563.439999999999</v>
      </c>
      <c r="I134" s="301">
        <v>32563.439999999999</v>
      </c>
      <c r="J134" s="301">
        <v>32563.439999999999</v>
      </c>
      <c r="K134" s="301">
        <v>33281.64</v>
      </c>
      <c r="L134" s="301">
        <v>33281.64</v>
      </c>
      <c r="M134" s="301">
        <v>33281.64</v>
      </c>
      <c r="N134" s="301">
        <v>33281.64</v>
      </c>
      <c r="O134" s="301">
        <v>33281.64</v>
      </c>
      <c r="P134" s="301"/>
      <c r="Q134" s="376">
        <f t="shared" si="7"/>
        <v>361788.84</v>
      </c>
      <c r="R134" s="257">
        <f t="shared" si="8"/>
        <v>11</v>
      </c>
    </row>
    <row r="135" spans="1:18" ht="21.75" customHeight="1">
      <c r="A135" s="373">
        <v>9</v>
      </c>
      <c r="B135" s="300" t="str">
        <f t="shared" si="6"/>
        <v>GUSTAMI</v>
      </c>
      <c r="C135" s="374"/>
      <c r="D135" s="374"/>
      <c r="E135" s="301">
        <v>32563.439999999999</v>
      </c>
      <c r="F135" s="301">
        <v>32563.439999999999</v>
      </c>
      <c r="G135" s="375">
        <v>32563.439999999999</v>
      </c>
      <c r="H135" s="301">
        <v>32563.439999999999</v>
      </c>
      <c r="I135" s="301">
        <v>32563.439999999999</v>
      </c>
      <c r="J135" s="301">
        <v>32563.439999999999</v>
      </c>
      <c r="K135" s="301">
        <v>32840.639999999999</v>
      </c>
      <c r="L135" s="301">
        <v>32840.639999999999</v>
      </c>
      <c r="M135" s="301">
        <v>32840.639999999999</v>
      </c>
      <c r="N135" s="301">
        <v>32840.639999999999</v>
      </c>
      <c r="O135" s="301">
        <v>32840.639999999999</v>
      </c>
      <c r="P135" s="301"/>
      <c r="Q135" s="376">
        <f t="shared" si="7"/>
        <v>359583.84</v>
      </c>
      <c r="R135" s="257">
        <f t="shared" si="8"/>
        <v>11</v>
      </c>
    </row>
    <row r="136" spans="1:18" ht="21.75" customHeight="1">
      <c r="A136" s="373">
        <v>10</v>
      </c>
      <c r="B136" s="300" t="str">
        <f t="shared" si="6"/>
        <v>AGUS TRIANTIKA</v>
      </c>
      <c r="C136" s="374"/>
      <c r="D136" s="374"/>
      <c r="E136" s="301">
        <v>32563.439999999999</v>
      </c>
      <c r="F136" s="301">
        <v>32563.439999999999</v>
      </c>
      <c r="G136" s="375">
        <v>32563.439999999999</v>
      </c>
      <c r="H136" s="301">
        <v>32563.439999999999</v>
      </c>
      <c r="I136" s="301">
        <v>32563.439999999999</v>
      </c>
      <c r="J136" s="301">
        <v>32563.439999999999</v>
      </c>
      <c r="K136" s="301">
        <v>32765.039999999997</v>
      </c>
      <c r="L136" s="301">
        <v>32790.239999999998</v>
      </c>
      <c r="M136" s="301">
        <v>32790.239999999998</v>
      </c>
      <c r="N136" s="301">
        <v>32790.239999999998</v>
      </c>
      <c r="O136" s="301">
        <v>32790.239999999998</v>
      </c>
      <c r="P136" s="301"/>
      <c r="Q136" s="376">
        <f t="shared" si="7"/>
        <v>359306.63999999996</v>
      </c>
      <c r="R136" s="257">
        <f t="shared" si="8"/>
        <v>11</v>
      </c>
    </row>
    <row r="137" spans="1:18" ht="21.75" customHeight="1">
      <c r="A137" s="373">
        <v>11</v>
      </c>
      <c r="B137" s="300" t="str">
        <f t="shared" si="6"/>
        <v>FIKA HOIRI</v>
      </c>
      <c r="C137" s="374"/>
      <c r="D137" s="374"/>
      <c r="E137" s="301">
        <v>32563.439999999999</v>
      </c>
      <c r="F137" s="301">
        <v>32563.439999999999</v>
      </c>
      <c r="G137" s="375">
        <v>32563.439999999999</v>
      </c>
      <c r="H137" s="301">
        <v>32563.439999999999</v>
      </c>
      <c r="I137" s="301">
        <v>32563.439999999999</v>
      </c>
      <c r="J137" s="301">
        <v>32563.439999999999</v>
      </c>
      <c r="K137" s="301">
        <v>32647.439999999999</v>
      </c>
      <c r="L137" s="301">
        <v>32647.439999999999</v>
      </c>
      <c r="M137" s="301">
        <v>32647.439999999999</v>
      </c>
      <c r="N137" s="301">
        <v>32647.439999999999</v>
      </c>
      <c r="O137" s="301">
        <v>32668.44</v>
      </c>
      <c r="P137" s="301"/>
      <c r="Q137" s="376">
        <f t="shared" si="7"/>
        <v>358638.83999999997</v>
      </c>
    </row>
    <row r="138" spans="1:18" ht="21.75" customHeight="1">
      <c r="A138" s="373">
        <v>12</v>
      </c>
      <c r="B138" s="300" t="str">
        <f t="shared" si="6"/>
        <v>NOPI HARIKA</v>
      </c>
      <c r="C138" s="374"/>
      <c r="D138" s="374"/>
      <c r="E138" s="301">
        <v>32563.439999999999</v>
      </c>
      <c r="F138" s="301">
        <v>32563.439999999999</v>
      </c>
      <c r="G138" s="375">
        <v>32563.439999999999</v>
      </c>
      <c r="H138" s="301">
        <v>32563.439999999999</v>
      </c>
      <c r="I138" s="301">
        <v>32563.439999999999</v>
      </c>
      <c r="J138" s="301">
        <v>32563.439999999999</v>
      </c>
      <c r="K138" s="301">
        <v>32987.64</v>
      </c>
      <c r="L138" s="301">
        <v>32987.64</v>
      </c>
      <c r="M138" s="301">
        <v>32987.64</v>
      </c>
      <c r="N138" s="301">
        <v>32987.64</v>
      </c>
      <c r="O138" s="301">
        <v>32987.64</v>
      </c>
      <c r="P138" s="301"/>
      <c r="Q138" s="376">
        <f t="shared" si="7"/>
        <v>360318.84</v>
      </c>
      <c r="R138" s="257">
        <f t="shared" ref="R138:R139" si="9">COUNT(E138:P138)</f>
        <v>11</v>
      </c>
    </row>
    <row r="139" spans="1:18" ht="21.75" customHeight="1">
      <c r="A139" s="373">
        <v>13</v>
      </c>
      <c r="B139" s="300" t="str">
        <f t="shared" si="6"/>
        <v>SARI IRIANTI</v>
      </c>
      <c r="C139" s="374"/>
      <c r="D139" s="374"/>
      <c r="E139" s="301">
        <v>32563.439999999999</v>
      </c>
      <c r="F139" s="301">
        <v>32563.439999999999</v>
      </c>
      <c r="G139" s="301">
        <v>32563.439999999999</v>
      </c>
      <c r="H139" s="301">
        <v>32563.439999999999</v>
      </c>
      <c r="I139" s="301">
        <v>32563.439999999999</v>
      </c>
      <c r="J139" s="301">
        <v>32563.439999999999</v>
      </c>
      <c r="K139" s="301">
        <v>32790.239999999998</v>
      </c>
      <c r="L139" s="301">
        <v>32815.439999999995</v>
      </c>
      <c r="M139" s="301">
        <v>32815.439999999995</v>
      </c>
      <c r="N139" s="301">
        <v>32815.439999999995</v>
      </c>
      <c r="O139" s="301">
        <v>32815.439999999995</v>
      </c>
      <c r="P139" s="301"/>
      <c r="Q139" s="376">
        <f t="shared" si="7"/>
        <v>359432.63999999996</v>
      </c>
      <c r="R139" s="257">
        <f t="shared" si="9"/>
        <v>11</v>
      </c>
    </row>
    <row r="140" spans="1:18" ht="21.75" customHeight="1">
      <c r="A140" s="373">
        <v>14</v>
      </c>
      <c r="B140" s="300" t="str">
        <f t="shared" si="6"/>
        <v>ROSNANI</v>
      </c>
      <c r="C140" s="374"/>
      <c r="D140" s="374"/>
      <c r="E140" s="301">
        <v>32563.439999999999</v>
      </c>
      <c r="F140" s="301">
        <v>32563.439999999999</v>
      </c>
      <c r="G140" s="301">
        <v>32563.439999999999</v>
      </c>
      <c r="H140" s="301">
        <v>32563.439999999999</v>
      </c>
      <c r="I140" s="301">
        <v>32563.439999999999</v>
      </c>
      <c r="J140" s="301">
        <v>32563.439999999999</v>
      </c>
      <c r="K140" s="301">
        <v>33017.040000000001</v>
      </c>
      <c r="L140" s="301">
        <v>33017.040000000001</v>
      </c>
      <c r="M140" s="301">
        <v>33017.040000000001</v>
      </c>
      <c r="N140" s="378">
        <v>33046.439999999995</v>
      </c>
      <c r="O140" s="378">
        <v>33046.439999999995</v>
      </c>
      <c r="P140" s="378"/>
      <c r="Q140" s="376">
        <f t="shared" si="7"/>
        <v>360524.64</v>
      </c>
    </row>
    <row r="141" spans="1:18" ht="21.75" customHeight="1">
      <c r="A141" s="373">
        <v>15</v>
      </c>
      <c r="B141" s="300" t="str">
        <f t="shared" si="6"/>
        <v>YESI</v>
      </c>
      <c r="C141" s="374"/>
      <c r="D141" s="374"/>
      <c r="E141" s="301">
        <v>32563.439999999999</v>
      </c>
      <c r="F141" s="301">
        <v>32563.439999999999</v>
      </c>
      <c r="G141" s="301">
        <v>32563.439999999999</v>
      </c>
      <c r="H141" s="301">
        <v>32563.439999999999</v>
      </c>
      <c r="I141" s="301">
        <v>32563.439999999999</v>
      </c>
      <c r="J141" s="301">
        <v>32563.439999999999</v>
      </c>
      <c r="K141" s="301">
        <v>32739.839999999997</v>
      </c>
      <c r="L141" s="301">
        <v>32739.839999999997</v>
      </c>
      <c r="M141" s="301">
        <v>32739.839999999997</v>
      </c>
      <c r="N141" s="301">
        <v>32739.839999999997</v>
      </c>
      <c r="O141" s="301">
        <v>32739.839999999997</v>
      </c>
      <c r="P141" s="301"/>
      <c r="Q141" s="376">
        <f t="shared" si="7"/>
        <v>359079.83999999997</v>
      </c>
      <c r="R141" s="257">
        <f t="shared" ref="R141" si="10">COUNT(E141:P141)</f>
        <v>11</v>
      </c>
    </row>
    <row r="142" spans="1:18" ht="21.75" customHeight="1">
      <c r="A142" s="373">
        <v>16</v>
      </c>
      <c r="B142" s="300" t="str">
        <f t="shared" si="6"/>
        <v>WAKINI</v>
      </c>
      <c r="C142" s="374"/>
      <c r="D142" s="374"/>
      <c r="E142" s="301">
        <v>32563.439999999999</v>
      </c>
      <c r="F142" s="301">
        <v>32563.439999999999</v>
      </c>
      <c r="G142" s="301">
        <v>32563.439999999999</v>
      </c>
      <c r="H142" s="301">
        <v>32563.439999999999</v>
      </c>
      <c r="I142" s="301">
        <v>32563.439999999999</v>
      </c>
      <c r="J142" s="301">
        <v>32563.439999999999</v>
      </c>
      <c r="K142" s="301">
        <v>32739.839999999997</v>
      </c>
      <c r="L142" s="301">
        <v>32739.839999999997</v>
      </c>
      <c r="M142" s="301">
        <v>32739.839999999997</v>
      </c>
      <c r="N142" s="378">
        <v>32739.839999999997</v>
      </c>
      <c r="O142" s="378">
        <v>32739.839999999997</v>
      </c>
      <c r="P142" s="378"/>
      <c r="Q142" s="376">
        <f>SUM(E142:P142)</f>
        <v>359079.83999999997</v>
      </c>
      <c r="R142" s="257">
        <f>COUNT(E142:P142)</f>
        <v>11</v>
      </c>
    </row>
    <row r="143" spans="1:18" ht="21.75" customHeight="1">
      <c r="A143" s="373">
        <v>17</v>
      </c>
      <c r="B143" s="300" t="str">
        <f t="shared" si="6"/>
        <v>WITA SARI</v>
      </c>
      <c r="C143" s="374"/>
      <c r="D143" s="374"/>
      <c r="E143" s="301">
        <v>32563.439999999999</v>
      </c>
      <c r="F143" s="301">
        <v>32563.439999999999</v>
      </c>
      <c r="G143" s="301">
        <v>32563.439999999999</v>
      </c>
      <c r="H143" s="301">
        <v>32563.439999999999</v>
      </c>
      <c r="I143" s="301">
        <v>32563.439999999999</v>
      </c>
      <c r="J143" s="301">
        <v>32563.439999999999</v>
      </c>
      <c r="K143" s="301">
        <v>32739.839999999997</v>
      </c>
      <c r="L143" s="301">
        <v>32739.839999999997</v>
      </c>
      <c r="M143" s="301">
        <v>32739.839999999997</v>
      </c>
      <c r="N143" s="378">
        <v>32739.839999999997</v>
      </c>
      <c r="O143" s="378">
        <v>32739.839999999997</v>
      </c>
      <c r="P143" s="378"/>
      <c r="Q143" s="376">
        <f t="shared" ref="Q143:Q145" si="11">SUM(E143:P143)</f>
        <v>359079.83999999997</v>
      </c>
      <c r="R143" s="257">
        <f t="shared" ref="R143" si="12">COUNT(E143:P143)</f>
        <v>11</v>
      </c>
    </row>
    <row r="144" spans="1:18" ht="21.75" customHeight="1">
      <c r="A144" s="373">
        <v>18</v>
      </c>
      <c r="B144" s="300" t="str">
        <f t="shared" si="6"/>
        <v>SARWANDI</v>
      </c>
      <c r="C144" s="374"/>
      <c r="D144" s="374"/>
      <c r="E144" s="301">
        <v>32563.439999999999</v>
      </c>
      <c r="F144" s="301">
        <v>32563.439999999999</v>
      </c>
      <c r="G144" s="301">
        <v>32563.439999999999</v>
      </c>
      <c r="H144" s="301">
        <v>32563.439999999999</v>
      </c>
      <c r="I144" s="301">
        <v>32563.439999999999</v>
      </c>
      <c r="J144" s="301">
        <v>32563.439999999999</v>
      </c>
      <c r="K144" s="301">
        <v>32870.04</v>
      </c>
      <c r="L144" s="301">
        <v>32870.04</v>
      </c>
      <c r="M144" s="301">
        <v>32870.04</v>
      </c>
      <c r="N144" s="301">
        <v>32870.04</v>
      </c>
      <c r="O144" s="301">
        <v>32899.439999999995</v>
      </c>
      <c r="P144" s="301"/>
      <c r="Q144" s="376">
        <f t="shared" si="11"/>
        <v>359760.24</v>
      </c>
    </row>
    <row r="145" spans="1:17" ht="21.75" customHeight="1">
      <c r="A145" s="373">
        <v>19</v>
      </c>
      <c r="B145" s="300" t="str">
        <f t="shared" si="6"/>
        <v>ANI MARIA</v>
      </c>
      <c r="C145" s="374"/>
      <c r="D145" s="374"/>
      <c r="E145" s="301">
        <v>32563.439999999999</v>
      </c>
      <c r="F145" s="301">
        <v>32563.439999999999</v>
      </c>
      <c r="G145" s="301">
        <v>32563.439999999999</v>
      </c>
      <c r="H145" s="301">
        <v>32563.439999999999</v>
      </c>
      <c r="I145" s="301">
        <v>32563.439999999999</v>
      </c>
      <c r="J145" s="301">
        <v>32563.439999999999</v>
      </c>
      <c r="K145" s="301">
        <v>32987.64</v>
      </c>
      <c r="L145" s="301">
        <v>32987.64</v>
      </c>
      <c r="M145" s="301">
        <v>32987.64</v>
      </c>
      <c r="N145" s="378">
        <v>32987.64</v>
      </c>
      <c r="O145" s="378">
        <v>32987.64</v>
      </c>
      <c r="P145" s="378"/>
      <c r="Q145" s="376">
        <f t="shared" si="11"/>
        <v>360318.84</v>
      </c>
    </row>
    <row r="146" spans="1:17" ht="21.75" customHeight="1">
      <c r="A146" s="373">
        <v>20</v>
      </c>
      <c r="B146" s="300" t="str">
        <f t="shared" si="6"/>
        <v>YULIARDI</v>
      </c>
      <c r="C146" s="374"/>
      <c r="D146" s="374"/>
      <c r="E146" s="301">
        <v>32563.439999999999</v>
      </c>
      <c r="F146" s="301">
        <v>32563.439999999999</v>
      </c>
      <c r="G146" s="301">
        <v>32563.439999999999</v>
      </c>
      <c r="H146" s="301">
        <v>32563.439999999999</v>
      </c>
      <c r="I146" s="301">
        <v>32563.439999999999</v>
      </c>
      <c r="J146" s="301">
        <v>32563.439999999999</v>
      </c>
      <c r="K146" s="301">
        <v>32987.64</v>
      </c>
      <c r="L146" s="301">
        <v>32987.64</v>
      </c>
      <c r="M146" s="301">
        <v>32987.64</v>
      </c>
      <c r="N146" s="301">
        <v>32987.64</v>
      </c>
      <c r="O146" s="301">
        <v>32987.64</v>
      </c>
      <c r="P146" s="301"/>
      <c r="Q146" s="376">
        <f>SUM(E146:P146)</f>
        <v>360318.84</v>
      </c>
    </row>
    <row r="147" spans="1:17" ht="21.75" customHeight="1">
      <c r="A147" s="373">
        <v>21</v>
      </c>
      <c r="B147" s="300" t="str">
        <f t="shared" si="6"/>
        <v>YADI</v>
      </c>
      <c r="C147" s="374"/>
      <c r="D147" s="374"/>
      <c r="E147" s="301">
        <v>32563.439999999999</v>
      </c>
      <c r="F147" s="301">
        <v>32563.439999999999</v>
      </c>
      <c r="G147" s="301">
        <v>32563.439999999999</v>
      </c>
      <c r="H147" s="301">
        <v>32563.439999999999</v>
      </c>
      <c r="I147" s="301">
        <v>32563.439999999999</v>
      </c>
      <c r="J147" s="301">
        <v>32563.439999999999</v>
      </c>
      <c r="K147" s="301">
        <v>32790.239999999998</v>
      </c>
      <c r="L147" s="301">
        <v>32790.239999999998</v>
      </c>
      <c r="M147" s="301">
        <v>32790.239999999998</v>
      </c>
      <c r="N147" s="378">
        <v>32790.239999999998</v>
      </c>
      <c r="O147" s="301">
        <v>32790.239999999998</v>
      </c>
      <c r="P147" s="301"/>
      <c r="Q147" s="376">
        <f t="shared" ref="Q147" si="13">SUM(E147:P147)</f>
        <v>359331.83999999997</v>
      </c>
    </row>
    <row r="148" spans="1:17" ht="21.75" customHeight="1">
      <c r="A148" s="373">
        <v>22</v>
      </c>
      <c r="B148" s="300" t="str">
        <f t="shared" si="6"/>
        <v>YEKILIA</v>
      </c>
      <c r="C148" s="374"/>
      <c r="D148" s="374"/>
      <c r="E148" s="301">
        <v>32563.439999999999</v>
      </c>
      <c r="F148" s="301">
        <v>32563.439999999999</v>
      </c>
      <c r="G148" s="301">
        <v>32563.439999999999</v>
      </c>
      <c r="H148" s="301">
        <v>32563.439999999999</v>
      </c>
      <c r="I148" s="375">
        <v>32563.439999999999</v>
      </c>
      <c r="J148" s="375">
        <v>32563.439999999999</v>
      </c>
      <c r="K148" s="375">
        <v>32739.839999999997</v>
      </c>
      <c r="L148" s="375">
        <v>32739.839999999997</v>
      </c>
      <c r="M148" s="375">
        <v>32739.839999999997</v>
      </c>
      <c r="N148" s="378">
        <v>32739.839999999997</v>
      </c>
      <c r="O148" s="378">
        <v>32739.839999999997</v>
      </c>
      <c r="P148" s="378"/>
      <c r="Q148" s="376">
        <f t="shared" ref="Q148:Q149" si="14">SUM(E148:P148)</f>
        <v>359079.83999999997</v>
      </c>
    </row>
    <row r="149" spans="1:17" ht="21.75" customHeight="1">
      <c r="A149" s="373">
        <v>23</v>
      </c>
      <c r="B149" s="300" t="str">
        <f t="shared" si="6"/>
        <v>LESMANA GIRI</v>
      </c>
      <c r="C149" s="374"/>
      <c r="D149" s="374"/>
      <c r="E149" s="301">
        <v>32563.439999999999</v>
      </c>
      <c r="F149" s="301">
        <v>32563.439999999999</v>
      </c>
      <c r="G149" s="301">
        <v>32563.439999999999</v>
      </c>
      <c r="H149" s="301">
        <v>32563.439999999999</v>
      </c>
      <c r="I149" s="301">
        <v>32563.439999999999</v>
      </c>
      <c r="J149" s="301">
        <v>32563.439999999999</v>
      </c>
      <c r="K149" s="301">
        <v>32584.44</v>
      </c>
      <c r="L149" s="301">
        <v>32605.439999999999</v>
      </c>
      <c r="M149" s="301">
        <v>32605.439999999999</v>
      </c>
      <c r="N149" s="378">
        <v>32605.439999999999</v>
      </c>
      <c r="O149" s="378">
        <v>32605.439999999999</v>
      </c>
      <c r="P149" s="378"/>
      <c r="Q149" s="376">
        <f t="shared" si="14"/>
        <v>358386.83999999997</v>
      </c>
    </row>
    <row r="150" spans="1:17" ht="21.75" customHeight="1">
      <c r="A150" s="373">
        <v>24</v>
      </c>
      <c r="B150" s="300" t="str">
        <f t="shared" si="6"/>
        <v>RAFIKA UDIN</v>
      </c>
      <c r="C150" s="379"/>
      <c r="D150" s="379"/>
      <c r="E150" s="392">
        <v>32563.439999999999</v>
      </c>
      <c r="F150" s="392">
        <v>32563.439999999999</v>
      </c>
      <c r="G150" s="392">
        <v>32563.439999999999</v>
      </c>
      <c r="H150" s="393">
        <v>32563.439999999999</v>
      </c>
      <c r="I150" s="393">
        <v>32563.439999999999</v>
      </c>
      <c r="J150" s="393">
        <v>32563.439999999999</v>
      </c>
      <c r="K150" s="393">
        <v>32790.239999999998</v>
      </c>
      <c r="L150" s="393">
        <v>32790.239999999998</v>
      </c>
      <c r="M150" s="393">
        <v>32790.239999999998</v>
      </c>
      <c r="N150" s="393">
        <v>32790.239999999998</v>
      </c>
      <c r="O150" s="415">
        <v>32790.239999999998</v>
      </c>
      <c r="P150" s="393"/>
      <c r="Q150" s="394">
        <f>SUM(E150:P150)</f>
        <v>359331.83999999997</v>
      </c>
    </row>
    <row r="151" spans="1:17" ht="21.75" customHeight="1">
      <c r="A151" s="373">
        <v>25</v>
      </c>
      <c r="B151" s="300" t="str">
        <f t="shared" si="6"/>
        <v>MARDIANSYAH</v>
      </c>
      <c r="C151" s="374"/>
      <c r="D151" s="374"/>
      <c r="E151" s="396">
        <v>32563.439999999999</v>
      </c>
      <c r="F151" s="396">
        <v>32563.439999999999</v>
      </c>
      <c r="G151" s="396">
        <v>32563.439999999999</v>
      </c>
      <c r="H151" s="396">
        <v>32563.439999999999</v>
      </c>
      <c r="I151" s="396">
        <v>32563.439999999999</v>
      </c>
      <c r="J151" s="378">
        <v>32563.439999999999</v>
      </c>
      <c r="K151" s="378">
        <v>32870.04</v>
      </c>
      <c r="L151" s="396">
        <v>32870.04</v>
      </c>
      <c r="M151" s="378">
        <v>32870.04</v>
      </c>
      <c r="N151" s="378">
        <v>32870.04</v>
      </c>
      <c r="O151" s="416">
        <v>32899.439999999995</v>
      </c>
      <c r="P151" s="378"/>
      <c r="Q151" s="397">
        <f>SUM(E151:P151)</f>
        <v>359760.24</v>
      </c>
    </row>
    <row r="152" spans="1:17" ht="21.75" customHeight="1">
      <c r="A152" s="373">
        <v>26</v>
      </c>
      <c r="B152" s="300" t="str">
        <f t="shared" si="6"/>
        <v>SUTRISNO</v>
      </c>
      <c r="C152" s="398"/>
      <c r="D152" s="398"/>
      <c r="E152" s="491">
        <v>32563.439999999999</v>
      </c>
      <c r="F152" s="491">
        <v>32563.439999999999</v>
      </c>
      <c r="G152" s="491">
        <v>32563.439999999999</v>
      </c>
      <c r="H152" s="491">
        <v>32563.439999999999</v>
      </c>
      <c r="I152" s="491">
        <v>32563.439999999999</v>
      </c>
      <c r="J152" s="491">
        <v>32563.439999999999</v>
      </c>
      <c r="K152" s="491">
        <v>32958.239999999998</v>
      </c>
      <c r="L152" s="491">
        <v>32958.239999999998</v>
      </c>
      <c r="M152" s="491">
        <v>32958.239999999998</v>
      </c>
      <c r="N152" s="491">
        <v>32958.239999999998</v>
      </c>
      <c r="O152" s="492">
        <v>32987.64</v>
      </c>
      <c r="P152" s="398"/>
      <c r="Q152" s="397">
        <f t="shared" ref="Q152:Q214" si="15">SUM(E152:P152)</f>
        <v>360201.24</v>
      </c>
    </row>
    <row r="153" spans="1:17" ht="21.75" customHeight="1">
      <c r="A153" s="373">
        <v>27</v>
      </c>
      <c r="B153" s="300" t="str">
        <f t="shared" si="6"/>
        <v>SLAMET UNTUNG</v>
      </c>
      <c r="C153" s="398"/>
      <c r="D153" s="398"/>
      <c r="E153" s="491">
        <v>32563.439999999999</v>
      </c>
      <c r="F153" s="491">
        <v>32563.439999999999</v>
      </c>
      <c r="G153" s="491">
        <v>32563.439999999999</v>
      </c>
      <c r="H153" s="491">
        <v>32563.439999999999</v>
      </c>
      <c r="I153" s="491">
        <v>32563.439999999999</v>
      </c>
      <c r="J153" s="491">
        <v>32563.439999999999</v>
      </c>
      <c r="K153" s="491">
        <v>32739.839999999997</v>
      </c>
      <c r="L153" s="491">
        <v>32739.839999999997</v>
      </c>
      <c r="M153" s="491">
        <v>32739.839999999997</v>
      </c>
      <c r="N153" s="491">
        <v>32739.839999999997</v>
      </c>
      <c r="O153" s="492">
        <v>32739.839999999997</v>
      </c>
      <c r="P153" s="398"/>
      <c r="Q153" s="397">
        <f t="shared" si="15"/>
        <v>359079.83999999997</v>
      </c>
    </row>
    <row r="154" spans="1:17" ht="21.75" customHeight="1">
      <c r="A154" s="373">
        <v>28</v>
      </c>
      <c r="B154" s="300" t="str">
        <f t="shared" si="6"/>
        <v>WAFIQ AMANDA</v>
      </c>
      <c r="C154" s="379"/>
      <c r="D154" s="379"/>
      <c r="E154" s="375">
        <v>32563.439999999999</v>
      </c>
      <c r="F154" s="375">
        <v>32563.439999999999</v>
      </c>
      <c r="G154" s="375">
        <v>32563.439999999999</v>
      </c>
      <c r="H154" s="375">
        <v>32563.439999999999</v>
      </c>
      <c r="I154" s="301">
        <v>32563.439999999999</v>
      </c>
      <c r="J154" s="301">
        <v>32563.439999999999</v>
      </c>
      <c r="K154" s="375">
        <v>32563.439999999999</v>
      </c>
      <c r="L154" s="375">
        <v>32584.44</v>
      </c>
      <c r="M154" s="375">
        <v>32584.44</v>
      </c>
      <c r="N154" s="301">
        <v>32584.44</v>
      </c>
      <c r="O154" s="375">
        <v>32584.44</v>
      </c>
      <c r="P154" s="301"/>
      <c r="Q154" s="395">
        <f t="shared" si="15"/>
        <v>358281.83999999997</v>
      </c>
    </row>
    <row r="155" spans="1:17" ht="21.75" customHeight="1">
      <c r="A155" s="373">
        <v>29</v>
      </c>
      <c r="B155" s="300" t="str">
        <f t="shared" si="6"/>
        <v>HERI GUNAWAN</v>
      </c>
      <c r="C155" s="379"/>
      <c r="D155" s="379"/>
      <c r="E155" s="375">
        <v>32563.439999999999</v>
      </c>
      <c r="F155" s="375">
        <v>32563.439999999999</v>
      </c>
      <c r="G155" s="375">
        <v>32563.439999999999</v>
      </c>
      <c r="H155" s="375">
        <v>32563.439999999999</v>
      </c>
      <c r="I155" s="301">
        <v>32563.439999999999</v>
      </c>
      <c r="J155" s="375">
        <v>32563.439999999999</v>
      </c>
      <c r="K155" s="375">
        <v>32987.64</v>
      </c>
      <c r="L155" s="375">
        <v>32987.64</v>
      </c>
      <c r="M155" s="375">
        <v>32987.64</v>
      </c>
      <c r="N155" s="301">
        <v>32987.64</v>
      </c>
      <c r="O155" s="301">
        <v>33017.040000000001</v>
      </c>
      <c r="P155" s="301"/>
      <c r="Q155" s="376">
        <f t="shared" si="15"/>
        <v>360348.24</v>
      </c>
    </row>
    <row r="156" spans="1:17" ht="21.75" customHeight="1">
      <c r="A156" s="373">
        <v>30</v>
      </c>
      <c r="B156" s="300" t="str">
        <f t="shared" si="6"/>
        <v>BOBI SAPUTRA</v>
      </c>
      <c r="C156" s="379"/>
      <c r="D156" s="379"/>
      <c r="E156" s="378">
        <v>32563.439999999999</v>
      </c>
      <c r="F156" s="378">
        <v>32563.439999999999</v>
      </c>
      <c r="G156" s="378">
        <v>32563.439999999999</v>
      </c>
      <c r="H156" s="378">
        <v>32563.439999999999</v>
      </c>
      <c r="I156" s="378">
        <v>32563.439999999999</v>
      </c>
      <c r="J156" s="378">
        <v>32563.439999999999</v>
      </c>
      <c r="K156" s="378">
        <v>32815.439999999995</v>
      </c>
      <c r="L156" s="378">
        <v>32815.439999999995</v>
      </c>
      <c r="M156" s="378">
        <v>32815.439999999995</v>
      </c>
      <c r="N156" s="378">
        <v>32815.439999999995</v>
      </c>
      <c r="O156" s="378">
        <v>32840.639999999999</v>
      </c>
      <c r="P156" s="378"/>
      <c r="Q156" s="376">
        <f t="shared" si="15"/>
        <v>359483.04</v>
      </c>
    </row>
    <row r="157" spans="1:17" ht="21.75" customHeight="1">
      <c r="A157" s="373">
        <v>31</v>
      </c>
      <c r="B157" s="300" t="str">
        <f t="shared" si="6"/>
        <v>JULIANSYAH</v>
      </c>
      <c r="C157" s="379"/>
      <c r="D157" s="379"/>
      <c r="E157" s="378">
        <v>32563.439999999999</v>
      </c>
      <c r="F157" s="378">
        <v>32563.439999999999</v>
      </c>
      <c r="G157" s="378">
        <v>32563.439999999999</v>
      </c>
      <c r="H157" s="378">
        <v>32563.439999999999</v>
      </c>
      <c r="I157" s="378">
        <v>32563.439999999999</v>
      </c>
      <c r="J157" s="378">
        <v>32563.439999999999</v>
      </c>
      <c r="K157" s="378">
        <v>33017.040000000001</v>
      </c>
      <c r="L157" s="378">
        <v>33017.040000000001</v>
      </c>
      <c r="M157" s="378">
        <v>33017.040000000001</v>
      </c>
      <c r="N157" s="378">
        <v>33046.439999999995</v>
      </c>
      <c r="O157" s="378">
        <v>33046.439999999995</v>
      </c>
      <c r="P157" s="378"/>
      <c r="Q157" s="376">
        <f t="shared" si="15"/>
        <v>360524.64</v>
      </c>
    </row>
    <row r="158" spans="1:17" ht="21.75" customHeight="1">
      <c r="A158" s="373">
        <v>32</v>
      </c>
      <c r="B158" s="300" t="str">
        <f t="shared" si="6"/>
        <v>ARDIANTO</v>
      </c>
      <c r="C158" s="379"/>
      <c r="D158" s="379"/>
      <c r="E158" s="301">
        <v>32563.439999999999</v>
      </c>
      <c r="F158" s="301">
        <v>32563.439999999999</v>
      </c>
      <c r="G158" s="301">
        <v>32563.439999999999</v>
      </c>
      <c r="H158" s="301">
        <v>32563.439999999999</v>
      </c>
      <c r="I158" s="301">
        <v>32563.439999999999</v>
      </c>
      <c r="J158" s="301">
        <v>32563.439999999999</v>
      </c>
      <c r="K158" s="301">
        <v>33340.439999999995</v>
      </c>
      <c r="L158" s="301">
        <v>33340.439999999995</v>
      </c>
      <c r="M158" s="301">
        <v>33340.439999999995</v>
      </c>
      <c r="N158" s="301">
        <v>33340.439999999995</v>
      </c>
      <c r="O158" s="301">
        <v>33340.439999999995</v>
      </c>
      <c r="P158" s="301"/>
      <c r="Q158" s="376">
        <f t="shared" si="15"/>
        <v>362082.83999999997</v>
      </c>
    </row>
    <row r="159" spans="1:17" ht="21.75" customHeight="1">
      <c r="A159" s="373">
        <v>33</v>
      </c>
      <c r="B159" s="300" t="str">
        <f t="shared" ref="B159:B190" si="16">+B37</f>
        <v xml:space="preserve">JUNI </v>
      </c>
      <c r="C159" s="379"/>
      <c r="D159" s="379"/>
      <c r="E159" s="301">
        <v>32563.439999999999</v>
      </c>
      <c r="F159" s="301">
        <v>32563.439999999999</v>
      </c>
      <c r="G159" s="301">
        <v>32563.439999999999</v>
      </c>
      <c r="H159" s="301">
        <v>32563.439999999999</v>
      </c>
      <c r="I159" s="301">
        <v>32563.439999999999</v>
      </c>
      <c r="J159" s="301">
        <v>32563.439999999999</v>
      </c>
      <c r="K159" s="301">
        <v>33311.040000000001</v>
      </c>
      <c r="L159" s="301">
        <v>33311.040000000001</v>
      </c>
      <c r="M159" s="301">
        <v>33311.040000000001</v>
      </c>
      <c r="N159" s="301">
        <v>33311.040000000001</v>
      </c>
      <c r="O159" s="301">
        <v>33311.040000000001</v>
      </c>
      <c r="P159" s="301"/>
      <c r="Q159" s="376">
        <f t="shared" si="15"/>
        <v>361935.83999999997</v>
      </c>
    </row>
    <row r="160" spans="1:17" ht="21.75" customHeight="1">
      <c r="A160" s="373">
        <v>34</v>
      </c>
      <c r="B160" s="300" t="str">
        <f t="shared" si="16"/>
        <v>DARMAWAN</v>
      </c>
      <c r="C160" s="379"/>
      <c r="D160" s="379"/>
      <c r="E160" s="301">
        <v>32563.439999999999</v>
      </c>
      <c r="F160" s="301">
        <v>32563.439999999999</v>
      </c>
      <c r="G160" s="301">
        <v>32563.439999999999</v>
      </c>
      <c r="H160" s="301">
        <v>32563.439999999999</v>
      </c>
      <c r="I160" s="301">
        <v>32563.439999999999</v>
      </c>
      <c r="J160" s="301">
        <v>32563.439999999999</v>
      </c>
      <c r="K160" s="301">
        <v>33311.040000000001</v>
      </c>
      <c r="L160" s="301">
        <v>33311.040000000001</v>
      </c>
      <c r="M160" s="301">
        <v>33311.040000000001</v>
      </c>
      <c r="N160" s="301">
        <v>33340.439999999995</v>
      </c>
      <c r="O160" s="301">
        <v>33340.439999999995</v>
      </c>
      <c r="P160" s="301"/>
      <c r="Q160" s="376">
        <f t="shared" si="15"/>
        <v>361994.64</v>
      </c>
    </row>
    <row r="161" spans="1:17" ht="21.75" customHeight="1">
      <c r="A161" s="373">
        <v>35</v>
      </c>
      <c r="B161" s="300" t="str">
        <f t="shared" si="16"/>
        <v>DEDI NOPRIADI</v>
      </c>
      <c r="C161" s="379"/>
      <c r="D161" s="379"/>
      <c r="E161" s="301">
        <v>32563.439999999999</v>
      </c>
      <c r="F161" s="301">
        <v>32563.439999999999</v>
      </c>
      <c r="G161" s="301">
        <v>32563.439999999999</v>
      </c>
      <c r="H161" s="301">
        <v>32563.439999999999</v>
      </c>
      <c r="I161" s="301">
        <v>32563.439999999999</v>
      </c>
      <c r="J161" s="301">
        <v>32563.439999999999</v>
      </c>
      <c r="K161" s="301">
        <v>32714.639999999999</v>
      </c>
      <c r="L161" s="301">
        <v>32714.639999999999</v>
      </c>
      <c r="M161" s="301">
        <v>32739.839999999997</v>
      </c>
      <c r="N161" s="301">
        <v>32739.839999999997</v>
      </c>
      <c r="O161" s="301">
        <v>32739.839999999997</v>
      </c>
      <c r="P161" s="301"/>
      <c r="Q161" s="376">
        <f t="shared" si="15"/>
        <v>359029.43999999994</v>
      </c>
    </row>
    <row r="162" spans="1:17" ht="21.75" customHeight="1">
      <c r="A162" s="373">
        <v>36</v>
      </c>
      <c r="B162" s="300" t="str">
        <f t="shared" si="16"/>
        <v>IRWANTO</v>
      </c>
      <c r="C162" s="379"/>
      <c r="D162" s="379"/>
      <c r="E162" s="301">
        <v>32563.439999999999</v>
      </c>
      <c r="F162" s="301">
        <v>32563.439999999999</v>
      </c>
      <c r="G162" s="301">
        <v>32563.439999999999</v>
      </c>
      <c r="H162" s="301">
        <v>32563.439999999999</v>
      </c>
      <c r="I162" s="301">
        <v>32563.439999999999</v>
      </c>
      <c r="J162" s="301">
        <v>32563.439999999999</v>
      </c>
      <c r="K162" s="301">
        <v>32987.64</v>
      </c>
      <c r="L162" s="301">
        <v>32987.64</v>
      </c>
      <c r="M162" s="301">
        <v>32987.64</v>
      </c>
      <c r="N162" s="301">
        <v>32987.64</v>
      </c>
      <c r="O162" s="301">
        <v>32987.64</v>
      </c>
      <c r="P162" s="301"/>
      <c r="Q162" s="376">
        <f t="shared" si="15"/>
        <v>360318.84</v>
      </c>
    </row>
    <row r="163" spans="1:17" ht="21.75" customHeight="1">
      <c r="A163" s="373">
        <v>37</v>
      </c>
      <c r="B163" s="300" t="str">
        <f t="shared" si="16"/>
        <v>ISRIN YUNUPITA</v>
      </c>
      <c r="C163" s="379"/>
      <c r="D163" s="379"/>
      <c r="E163" s="301">
        <v>32563.439999999999</v>
      </c>
      <c r="F163" s="301">
        <v>32563.439999999999</v>
      </c>
      <c r="G163" s="301">
        <v>32563.439999999999</v>
      </c>
      <c r="H163" s="301">
        <v>32563.439999999999</v>
      </c>
      <c r="I163" s="301">
        <v>32563.439999999999</v>
      </c>
      <c r="J163" s="301">
        <v>32563.439999999999</v>
      </c>
      <c r="K163" s="301">
        <v>32840.639999999999</v>
      </c>
      <c r="L163" s="301">
        <v>32870.04</v>
      </c>
      <c r="M163" s="301">
        <v>32870.04</v>
      </c>
      <c r="N163" s="301">
        <v>32870.04</v>
      </c>
      <c r="O163" s="301">
        <v>32870.04</v>
      </c>
      <c r="P163" s="301"/>
      <c r="Q163" s="376">
        <f t="shared" si="15"/>
        <v>359701.43999999994</v>
      </c>
    </row>
    <row r="164" spans="1:17" ht="21.75" customHeight="1">
      <c r="A164" s="373">
        <v>38</v>
      </c>
      <c r="B164" s="300" t="str">
        <f t="shared" si="16"/>
        <v>ARYANI.K</v>
      </c>
      <c r="C164" s="379"/>
      <c r="D164" s="379"/>
      <c r="E164" s="301">
        <v>32563.439999999999</v>
      </c>
      <c r="F164" s="301">
        <v>32563.439999999999</v>
      </c>
      <c r="G164" s="301">
        <v>32563.439999999999</v>
      </c>
      <c r="H164" s="301">
        <v>32563.439999999999</v>
      </c>
      <c r="I164" s="301">
        <v>32563.439999999999</v>
      </c>
      <c r="J164" s="301">
        <v>32563.439999999999</v>
      </c>
      <c r="K164" s="301">
        <v>32790.239999999998</v>
      </c>
      <c r="L164" s="301">
        <v>32815.439999999995</v>
      </c>
      <c r="M164" s="301">
        <v>32815.439999999995</v>
      </c>
      <c r="N164" s="301">
        <v>32815.439999999995</v>
      </c>
      <c r="O164" s="301">
        <v>32815.439999999995</v>
      </c>
      <c r="P164" s="301"/>
      <c r="Q164" s="376">
        <f t="shared" si="15"/>
        <v>359432.63999999996</v>
      </c>
    </row>
    <row r="165" spans="1:17" ht="21.75" customHeight="1">
      <c r="A165" s="373">
        <v>39</v>
      </c>
      <c r="B165" s="300" t="str">
        <f t="shared" si="16"/>
        <v>HARYANTI ( K )</v>
      </c>
      <c r="C165" s="379"/>
      <c r="D165" s="379"/>
      <c r="E165" s="301">
        <v>32563.439999999999</v>
      </c>
      <c r="F165" s="301">
        <v>32563.439999999999</v>
      </c>
      <c r="G165" s="301">
        <v>32563.439999999999</v>
      </c>
      <c r="H165" s="301">
        <v>32563.439999999999</v>
      </c>
      <c r="I165" s="301">
        <v>32563.439999999999</v>
      </c>
      <c r="J165" s="301">
        <v>32563.439999999999</v>
      </c>
      <c r="K165" s="301">
        <v>32840.639999999999</v>
      </c>
      <c r="L165" s="301">
        <v>32870.04</v>
      </c>
      <c r="M165" s="301">
        <v>32870.04</v>
      </c>
      <c r="N165" s="301">
        <v>32870.04</v>
      </c>
      <c r="O165" s="301">
        <v>32870.04</v>
      </c>
      <c r="P165" s="301"/>
      <c r="Q165" s="376">
        <f t="shared" si="15"/>
        <v>359701.43999999994</v>
      </c>
    </row>
    <row r="166" spans="1:17" ht="21.75" customHeight="1">
      <c r="A166" s="373">
        <v>40</v>
      </c>
      <c r="B166" s="300" t="str">
        <f t="shared" si="16"/>
        <v>YUNIAR</v>
      </c>
      <c r="C166" s="379"/>
      <c r="D166" s="379"/>
      <c r="E166" s="301">
        <v>32563.439999999999</v>
      </c>
      <c r="F166" s="301">
        <v>32563.439999999999</v>
      </c>
      <c r="G166" s="301">
        <v>32563.439999999999</v>
      </c>
      <c r="H166" s="301">
        <v>32563.439999999999</v>
      </c>
      <c r="I166" s="301">
        <v>32563.439999999999</v>
      </c>
      <c r="J166" s="301">
        <v>32563.439999999999</v>
      </c>
      <c r="K166" s="301">
        <v>33017.040000000001</v>
      </c>
      <c r="L166" s="301">
        <v>33017.040000000001</v>
      </c>
      <c r="M166" s="301">
        <v>33017.040000000001</v>
      </c>
      <c r="N166" s="301">
        <v>33017.040000000001</v>
      </c>
      <c r="O166" s="301">
        <v>33017.040000000001</v>
      </c>
      <c r="P166" s="301"/>
      <c r="Q166" s="376">
        <f t="shared" si="15"/>
        <v>360465.83999999997</v>
      </c>
    </row>
    <row r="167" spans="1:17" ht="21.75" customHeight="1">
      <c r="A167" s="373">
        <v>41</v>
      </c>
      <c r="B167" s="300" t="str">
        <f t="shared" si="16"/>
        <v>NOVELA SYAKUR</v>
      </c>
      <c r="C167" s="379"/>
      <c r="D167" s="379"/>
      <c r="E167" s="301">
        <v>32563.439999999999</v>
      </c>
      <c r="F167" s="301">
        <v>32563.439999999999</v>
      </c>
      <c r="G167" s="301">
        <v>32563.439999999999</v>
      </c>
      <c r="H167" s="301">
        <v>32563.439999999999</v>
      </c>
      <c r="I167" s="301">
        <v>32563.439999999999</v>
      </c>
      <c r="J167" s="301">
        <v>32563.439999999999</v>
      </c>
      <c r="K167" s="301">
        <v>32765.039999999997</v>
      </c>
      <c r="L167" s="301">
        <v>32765.039999999997</v>
      </c>
      <c r="M167" s="301">
        <v>32765.039999999997</v>
      </c>
      <c r="N167" s="301">
        <v>32765.039999999997</v>
      </c>
      <c r="O167" s="301">
        <v>32765.039999999997</v>
      </c>
      <c r="P167" s="301"/>
      <c r="Q167" s="376">
        <f t="shared" si="15"/>
        <v>359205.83999999997</v>
      </c>
    </row>
    <row r="168" spans="1:17" ht="21.75" customHeight="1">
      <c r="A168" s="373">
        <v>42</v>
      </c>
      <c r="B168" s="300" t="str">
        <f t="shared" si="16"/>
        <v>KUDIN</v>
      </c>
      <c r="C168" s="379"/>
      <c r="D168" s="379"/>
      <c r="E168" s="301">
        <v>32563.439999999999</v>
      </c>
      <c r="F168" s="301">
        <v>32563.439999999999</v>
      </c>
      <c r="G168" s="301">
        <v>32563.439999999999</v>
      </c>
      <c r="H168" s="301">
        <v>32563.439999999999</v>
      </c>
      <c r="I168" s="301">
        <v>32563.439999999999</v>
      </c>
      <c r="J168" s="301">
        <v>32563.439999999999</v>
      </c>
      <c r="K168" s="301">
        <v>32714.639999999999</v>
      </c>
      <c r="L168" s="499"/>
      <c r="M168" s="499"/>
      <c r="N168" s="499"/>
      <c r="O168" s="499"/>
      <c r="P168" s="499"/>
      <c r="Q168" s="376">
        <f t="shared" si="15"/>
        <v>228095.27999999997</v>
      </c>
    </row>
    <row r="169" spans="1:17" ht="21.75" customHeight="1">
      <c r="A169" s="373">
        <v>43</v>
      </c>
      <c r="B169" s="300" t="str">
        <f t="shared" si="16"/>
        <v>YULIATI</v>
      </c>
      <c r="C169" s="379"/>
      <c r="D169" s="379"/>
      <c r="E169" s="301">
        <v>32563.439999999999</v>
      </c>
      <c r="F169" s="301">
        <v>32563.439999999999</v>
      </c>
      <c r="G169" s="301">
        <v>32563.439999999999</v>
      </c>
      <c r="H169" s="301">
        <v>32563.439999999999</v>
      </c>
      <c r="I169" s="301">
        <v>32563.439999999999</v>
      </c>
      <c r="J169" s="301">
        <v>32563.439999999999</v>
      </c>
      <c r="K169" s="301">
        <v>32815.439999999995</v>
      </c>
      <c r="L169" s="301">
        <v>32815.439999999995</v>
      </c>
      <c r="M169" s="301">
        <v>32840.639999999999</v>
      </c>
      <c r="N169" s="301">
        <v>32840.639999999999</v>
      </c>
      <c r="O169" s="301">
        <v>32840.639999999999</v>
      </c>
      <c r="P169" s="301"/>
      <c r="Q169" s="376">
        <f t="shared" si="15"/>
        <v>359533.44</v>
      </c>
    </row>
    <row r="170" spans="1:17" ht="21.75" customHeight="1">
      <c r="A170" s="373">
        <v>44</v>
      </c>
      <c r="B170" s="300" t="str">
        <f t="shared" si="16"/>
        <v>ROHAYA</v>
      </c>
      <c r="C170" s="379"/>
      <c r="D170" s="379"/>
      <c r="E170" s="301">
        <v>32563.439999999999</v>
      </c>
      <c r="F170" s="301">
        <v>32563.439999999999</v>
      </c>
      <c r="G170" s="301">
        <v>32563.439999999999</v>
      </c>
      <c r="H170" s="301">
        <v>32563.439999999999</v>
      </c>
      <c r="I170" s="301">
        <v>32563.439999999999</v>
      </c>
      <c r="J170" s="301">
        <v>32563.439999999999</v>
      </c>
      <c r="K170" s="301">
        <v>32765.039999999997</v>
      </c>
      <c r="L170" s="301">
        <v>32790.239999999998</v>
      </c>
      <c r="M170" s="301">
        <v>32790.239999999998</v>
      </c>
      <c r="N170" s="301">
        <v>32790.239999999998</v>
      </c>
      <c r="O170" s="301">
        <v>32790.239999999998</v>
      </c>
      <c r="P170" s="301"/>
      <c r="Q170" s="376">
        <f t="shared" si="15"/>
        <v>359306.63999999996</v>
      </c>
    </row>
    <row r="171" spans="1:17" ht="21.75" customHeight="1">
      <c r="A171" s="373">
        <v>45</v>
      </c>
      <c r="B171" s="300" t="str">
        <f t="shared" si="16"/>
        <v>ROSMIATI</v>
      </c>
      <c r="C171" s="379"/>
      <c r="D171" s="379"/>
      <c r="E171" s="301">
        <v>32563.439999999999</v>
      </c>
      <c r="F171" s="301">
        <v>32563.439999999999</v>
      </c>
      <c r="G171" s="301">
        <v>32563.439999999999</v>
      </c>
      <c r="H171" s="301">
        <v>32563.439999999999</v>
      </c>
      <c r="I171" s="301">
        <v>32563.439999999999</v>
      </c>
      <c r="J171" s="301">
        <v>32563.439999999999</v>
      </c>
      <c r="K171" s="301">
        <v>32815.439999999995</v>
      </c>
      <c r="L171" s="301">
        <v>32815.439999999995</v>
      </c>
      <c r="M171" s="301">
        <v>32815.439999999995</v>
      </c>
      <c r="N171" s="301">
        <v>32815.439999999995</v>
      </c>
      <c r="O171" s="301">
        <v>32840.639999999999</v>
      </c>
      <c r="P171" s="301"/>
      <c r="Q171" s="376">
        <f t="shared" si="15"/>
        <v>359483.04</v>
      </c>
    </row>
    <row r="172" spans="1:17" ht="21.75" customHeight="1">
      <c r="A172" s="373">
        <v>46</v>
      </c>
      <c r="B172" s="300" t="str">
        <f t="shared" si="16"/>
        <v>ROSMINI</v>
      </c>
      <c r="C172" s="379"/>
      <c r="D172" s="379"/>
      <c r="E172" s="301">
        <v>32563.439999999999</v>
      </c>
      <c r="F172" s="301">
        <v>32563.439999999999</v>
      </c>
      <c r="G172" s="301">
        <v>32563.439999999999</v>
      </c>
      <c r="H172" s="301">
        <v>32563.439999999999</v>
      </c>
      <c r="I172" s="301">
        <v>32563.439999999999</v>
      </c>
      <c r="J172" s="301">
        <v>32563.439999999999</v>
      </c>
      <c r="K172" s="301">
        <v>32765.039999999997</v>
      </c>
      <c r="L172" s="301">
        <v>32765.039999999997</v>
      </c>
      <c r="M172" s="301">
        <v>32765.039999999997</v>
      </c>
      <c r="N172" s="301">
        <v>32765.039999999997</v>
      </c>
      <c r="O172" s="301">
        <v>32790.239999999998</v>
      </c>
      <c r="P172" s="301"/>
      <c r="Q172" s="376">
        <f t="shared" si="15"/>
        <v>359231.04</v>
      </c>
    </row>
    <row r="173" spans="1:17" ht="21.75" customHeight="1">
      <c r="A173" s="373">
        <v>47</v>
      </c>
      <c r="B173" s="300" t="str">
        <f t="shared" si="16"/>
        <v>KURI</v>
      </c>
      <c r="C173" s="379"/>
      <c r="D173" s="379"/>
      <c r="E173" s="301">
        <v>32563.439999999999</v>
      </c>
      <c r="F173" s="301">
        <v>32563.439999999999</v>
      </c>
      <c r="G173" s="301">
        <v>32563.439999999999</v>
      </c>
      <c r="H173" s="301">
        <v>32563.439999999999</v>
      </c>
      <c r="I173" s="301">
        <v>32563.439999999999</v>
      </c>
      <c r="J173" s="301">
        <v>32563.439999999999</v>
      </c>
      <c r="K173" s="301">
        <v>33311.040000000001</v>
      </c>
      <c r="L173" s="301">
        <v>33311.040000000001</v>
      </c>
      <c r="M173" s="301">
        <v>33311.040000000001</v>
      </c>
      <c r="N173" s="301">
        <v>33311.040000000001</v>
      </c>
      <c r="O173" s="301">
        <v>33311.040000000001</v>
      </c>
      <c r="P173" s="301"/>
      <c r="Q173" s="376">
        <f t="shared" si="15"/>
        <v>361935.83999999997</v>
      </c>
    </row>
    <row r="174" spans="1:17" ht="21.75" customHeight="1">
      <c r="A174" s="373">
        <v>48</v>
      </c>
      <c r="B174" s="300" t="str">
        <f t="shared" si="16"/>
        <v>BASTIAR</v>
      </c>
      <c r="C174" s="379"/>
      <c r="D174" s="379"/>
      <c r="E174" s="301">
        <v>32563.439999999999</v>
      </c>
      <c r="F174" s="301">
        <v>32563.439999999999</v>
      </c>
      <c r="G174" s="301">
        <v>32563.439999999999</v>
      </c>
      <c r="H174" s="301">
        <v>32563.439999999999</v>
      </c>
      <c r="I174" s="301">
        <v>32563.439999999999</v>
      </c>
      <c r="J174" s="301">
        <v>32563.439999999999</v>
      </c>
      <c r="K174" s="301">
        <v>32765.039999999997</v>
      </c>
      <c r="L174" s="301">
        <v>32765.039999999997</v>
      </c>
      <c r="M174" s="301">
        <v>32765.039999999997</v>
      </c>
      <c r="N174" s="301">
        <v>32765.039999999997</v>
      </c>
      <c r="O174" s="301">
        <v>32765.039999999997</v>
      </c>
      <c r="P174" s="301"/>
      <c r="Q174" s="376">
        <f t="shared" si="15"/>
        <v>359205.83999999997</v>
      </c>
    </row>
    <row r="175" spans="1:17" ht="21.75" customHeight="1">
      <c r="A175" s="373">
        <v>49</v>
      </c>
      <c r="B175" s="300" t="str">
        <f t="shared" si="16"/>
        <v>ADIYANSA</v>
      </c>
      <c r="C175" s="379"/>
      <c r="D175" s="379"/>
      <c r="E175" s="301">
        <v>32563.439999999999</v>
      </c>
      <c r="F175" s="301">
        <v>32563.439999999999</v>
      </c>
      <c r="G175" s="301">
        <v>32563.439999999999</v>
      </c>
      <c r="H175" s="301">
        <v>32563.439999999999</v>
      </c>
      <c r="I175" s="301">
        <v>32563.439999999999</v>
      </c>
      <c r="J175" s="301">
        <v>32563.439999999999</v>
      </c>
      <c r="K175" s="301">
        <v>32739.839999999997</v>
      </c>
      <c r="L175" s="301">
        <v>32739.839999999997</v>
      </c>
      <c r="M175" s="301">
        <v>32739.839999999997</v>
      </c>
      <c r="N175" s="301">
        <v>32739.839999999997</v>
      </c>
      <c r="O175" s="301">
        <v>32739.839999999997</v>
      </c>
      <c r="P175" s="301"/>
      <c r="Q175" s="376">
        <f t="shared" si="15"/>
        <v>359079.83999999997</v>
      </c>
    </row>
    <row r="176" spans="1:17" ht="21.75" customHeight="1">
      <c r="A176" s="373">
        <v>50</v>
      </c>
      <c r="B176" s="300" t="str">
        <f t="shared" si="16"/>
        <v>RUDI SETIAWAN</v>
      </c>
      <c r="C176" s="379"/>
      <c r="D176" s="379"/>
      <c r="E176" s="301">
        <v>32563.439999999999</v>
      </c>
      <c r="F176" s="301">
        <v>32563.439999999999</v>
      </c>
      <c r="G176" s="301">
        <v>32563.439999999999</v>
      </c>
      <c r="H176" s="301">
        <v>32563.439999999999</v>
      </c>
      <c r="I176" s="301">
        <v>32563.439999999999</v>
      </c>
      <c r="J176" s="301">
        <v>32563.439999999999</v>
      </c>
      <c r="K176" s="301">
        <v>32605.439999999999</v>
      </c>
      <c r="L176" s="301">
        <v>32605.439999999999</v>
      </c>
      <c r="M176" s="301">
        <v>32605.439999999999</v>
      </c>
      <c r="N176" s="301">
        <v>32605.439999999999</v>
      </c>
      <c r="O176" s="301">
        <v>32605.439999999999</v>
      </c>
      <c r="P176" s="301"/>
      <c r="Q176" s="376">
        <f t="shared" si="15"/>
        <v>358407.83999999997</v>
      </c>
    </row>
    <row r="177" spans="1:17" ht="21.75" customHeight="1">
      <c r="A177" s="373">
        <v>51</v>
      </c>
      <c r="B177" s="300" t="str">
        <f t="shared" si="16"/>
        <v>MARYANTO</v>
      </c>
      <c r="C177" s="379"/>
      <c r="D177" s="379"/>
      <c r="E177" s="301">
        <v>32563.439999999999</v>
      </c>
      <c r="F177" s="301">
        <v>32563.439999999999</v>
      </c>
      <c r="G177" s="301">
        <v>32563.439999999999</v>
      </c>
      <c r="H177" s="301">
        <v>32563.439999999999</v>
      </c>
      <c r="I177" s="301">
        <v>32563.439999999999</v>
      </c>
      <c r="J177" s="301">
        <v>32563.439999999999</v>
      </c>
      <c r="K177" s="301">
        <v>32958.239999999998</v>
      </c>
      <c r="L177" s="301">
        <v>32958.239999999998</v>
      </c>
      <c r="M177" s="301">
        <v>32958.239999999998</v>
      </c>
      <c r="N177" s="301">
        <v>32987.64</v>
      </c>
      <c r="O177" s="301">
        <v>32987.64</v>
      </c>
      <c r="P177" s="301"/>
      <c r="Q177" s="376">
        <f t="shared" si="15"/>
        <v>360230.64</v>
      </c>
    </row>
    <row r="178" spans="1:17" ht="21.75" customHeight="1">
      <c r="A178" s="373">
        <v>52</v>
      </c>
      <c r="B178" s="300" t="str">
        <f t="shared" si="16"/>
        <v>SRI REJEKI</v>
      </c>
      <c r="C178" s="379"/>
      <c r="D178" s="379"/>
      <c r="E178" s="301">
        <v>32563.439999999999</v>
      </c>
      <c r="F178" s="301">
        <v>32563.439999999999</v>
      </c>
      <c r="G178" s="301">
        <v>32563.439999999999</v>
      </c>
      <c r="H178" s="301">
        <v>32563.439999999999</v>
      </c>
      <c r="I178" s="301">
        <v>32563.439999999999</v>
      </c>
      <c r="J178" s="301">
        <v>32563.439999999999</v>
      </c>
      <c r="K178" s="301">
        <v>33017.040000000001</v>
      </c>
      <c r="L178" s="301">
        <v>33017.040000000001</v>
      </c>
      <c r="M178" s="301">
        <v>33017.040000000001</v>
      </c>
      <c r="N178" s="301">
        <v>33046.439999999995</v>
      </c>
      <c r="O178" s="301">
        <v>33046.439999999995</v>
      </c>
      <c r="P178" s="301"/>
      <c r="Q178" s="376">
        <f t="shared" si="15"/>
        <v>360524.64</v>
      </c>
    </row>
    <row r="179" spans="1:17" ht="21.75" customHeight="1">
      <c r="A179" s="373">
        <v>53</v>
      </c>
      <c r="B179" s="300" t="str">
        <f t="shared" si="16"/>
        <v>SARTIKA</v>
      </c>
      <c r="C179" s="379"/>
      <c r="D179" s="379"/>
      <c r="E179" s="301">
        <v>32563.439999999999</v>
      </c>
      <c r="F179" s="301">
        <v>32563.439999999999</v>
      </c>
      <c r="G179" s="301">
        <v>32563.439999999999</v>
      </c>
      <c r="H179" s="301">
        <v>32563.439999999999</v>
      </c>
      <c r="I179" s="301">
        <v>32563.439999999999</v>
      </c>
      <c r="J179" s="301">
        <v>32563.439999999999</v>
      </c>
      <c r="K179" s="301">
        <v>32958.239999999998</v>
      </c>
      <c r="L179" s="301">
        <v>32958.239999999998</v>
      </c>
      <c r="M179" s="301">
        <v>32958.239999999998</v>
      </c>
      <c r="N179" s="301">
        <v>32987.64</v>
      </c>
      <c r="O179" s="301">
        <v>32987.64</v>
      </c>
      <c r="P179" s="301"/>
      <c r="Q179" s="376">
        <f t="shared" si="15"/>
        <v>360230.64</v>
      </c>
    </row>
    <row r="180" spans="1:17" ht="21.75" customHeight="1">
      <c r="A180" s="373">
        <v>54</v>
      </c>
      <c r="B180" s="300" t="str">
        <f t="shared" si="16"/>
        <v>MIRNA</v>
      </c>
      <c r="C180" s="379"/>
      <c r="D180" s="379"/>
      <c r="E180" s="301">
        <v>32563.439999999999</v>
      </c>
      <c r="F180" s="301">
        <v>32563.439999999999</v>
      </c>
      <c r="G180" s="301">
        <v>32563.439999999999</v>
      </c>
      <c r="H180" s="301">
        <v>32563.439999999999</v>
      </c>
      <c r="I180" s="301">
        <v>32563.439999999999</v>
      </c>
      <c r="J180" s="301">
        <v>32563.439999999999</v>
      </c>
      <c r="K180" s="301">
        <v>32840.639999999999</v>
      </c>
      <c r="L180" s="301">
        <v>32870.04</v>
      </c>
      <c r="M180" s="301">
        <v>32870.04</v>
      </c>
      <c r="N180" s="301">
        <v>32870.04</v>
      </c>
      <c r="O180" s="301">
        <v>32870.04</v>
      </c>
      <c r="P180" s="301"/>
      <c r="Q180" s="376">
        <f t="shared" si="15"/>
        <v>359701.43999999994</v>
      </c>
    </row>
    <row r="181" spans="1:17" ht="21.75" customHeight="1">
      <c r="A181" s="373">
        <v>55</v>
      </c>
      <c r="B181" s="300" t="str">
        <f t="shared" si="16"/>
        <v>ROZATI</v>
      </c>
      <c r="C181" s="379"/>
      <c r="D181" s="379"/>
      <c r="E181" s="301">
        <v>32563.439999999999</v>
      </c>
      <c r="F181" s="301">
        <v>32563.439999999999</v>
      </c>
      <c r="G181" s="301">
        <v>32563.439999999999</v>
      </c>
      <c r="H181" s="301">
        <v>32563.439999999999</v>
      </c>
      <c r="I181" s="301">
        <v>32563.439999999999</v>
      </c>
      <c r="J181" s="301">
        <v>32563.439999999999</v>
      </c>
      <c r="K181" s="301">
        <v>32739.839999999997</v>
      </c>
      <c r="L181" s="301">
        <v>32739.839999999997</v>
      </c>
      <c r="M181" s="301">
        <v>32739.839999999997</v>
      </c>
      <c r="N181" s="301">
        <v>32739.839999999997</v>
      </c>
      <c r="O181" s="301">
        <v>32739.839999999997</v>
      </c>
      <c r="P181" s="301"/>
      <c r="Q181" s="376">
        <f t="shared" si="15"/>
        <v>359079.83999999997</v>
      </c>
    </row>
    <row r="182" spans="1:17" ht="21.75" customHeight="1">
      <c r="A182" s="373">
        <v>56</v>
      </c>
      <c r="B182" s="300" t="str">
        <f t="shared" si="16"/>
        <v>SAHWEDI</v>
      </c>
      <c r="C182" s="379"/>
      <c r="D182" s="379"/>
      <c r="E182" s="301">
        <v>32563.439999999999</v>
      </c>
      <c r="F182" s="301">
        <v>32563.439999999999</v>
      </c>
      <c r="G182" s="301">
        <v>32563.439999999999</v>
      </c>
      <c r="H182" s="301">
        <v>32563.439999999999</v>
      </c>
      <c r="I182" s="301">
        <v>32563.439999999999</v>
      </c>
      <c r="J182" s="301">
        <v>32563.439999999999</v>
      </c>
      <c r="K182" s="301">
        <v>32626.44</v>
      </c>
      <c r="L182" s="301">
        <v>32626.44</v>
      </c>
      <c r="M182" s="301">
        <v>32626.44</v>
      </c>
      <c r="N182" s="301">
        <v>32626.44</v>
      </c>
      <c r="O182" s="301">
        <v>32626.44</v>
      </c>
      <c r="P182" s="301"/>
      <c r="Q182" s="376">
        <f t="shared" si="15"/>
        <v>358512.83999999997</v>
      </c>
    </row>
    <row r="183" spans="1:17" ht="21.75" customHeight="1">
      <c r="A183" s="373">
        <v>57</v>
      </c>
      <c r="B183" s="300" t="str">
        <f t="shared" si="16"/>
        <v>RUKMAN</v>
      </c>
      <c r="C183" s="379"/>
      <c r="D183" s="379"/>
      <c r="E183" s="301">
        <v>32563.439999999999</v>
      </c>
      <c r="F183" s="301">
        <v>32563.439999999999</v>
      </c>
      <c r="G183" s="301">
        <v>32563.439999999999</v>
      </c>
      <c r="H183" s="301">
        <v>32563.439999999999</v>
      </c>
      <c r="I183" s="301">
        <v>32563.439999999999</v>
      </c>
      <c r="J183" s="301">
        <v>32563.439999999999</v>
      </c>
      <c r="K183" s="301">
        <v>32958.239999999998</v>
      </c>
      <c r="L183" s="301">
        <v>32958.239999999998</v>
      </c>
      <c r="M183" s="301">
        <v>32958.239999999998</v>
      </c>
      <c r="N183" s="301">
        <v>32958.239999999998</v>
      </c>
      <c r="O183" s="301">
        <v>32958.239999999998</v>
      </c>
      <c r="P183" s="301"/>
      <c r="Q183" s="376">
        <f t="shared" si="15"/>
        <v>360171.83999999997</v>
      </c>
    </row>
    <row r="184" spans="1:17" ht="21.75" customHeight="1">
      <c r="A184" s="373">
        <v>58</v>
      </c>
      <c r="B184" s="300" t="str">
        <f t="shared" si="16"/>
        <v>AGUSTIONO</v>
      </c>
      <c r="C184" s="379"/>
      <c r="D184" s="379"/>
      <c r="E184" s="301">
        <v>32563.439999999999</v>
      </c>
      <c r="F184" s="301">
        <v>32563.439999999999</v>
      </c>
      <c r="G184" s="301">
        <v>32563.439999999999</v>
      </c>
      <c r="H184" s="301">
        <v>32563.439999999999</v>
      </c>
      <c r="I184" s="301">
        <v>32563.439999999999</v>
      </c>
      <c r="J184" s="301">
        <v>32563.439999999999</v>
      </c>
      <c r="K184" s="301">
        <v>32987.64</v>
      </c>
      <c r="L184" s="301">
        <v>32987.64</v>
      </c>
      <c r="M184" s="301">
        <v>32987.64</v>
      </c>
      <c r="N184" s="301">
        <v>32987.64</v>
      </c>
      <c r="O184" s="301">
        <v>32987.64</v>
      </c>
      <c r="P184" s="301"/>
      <c r="Q184" s="376">
        <f t="shared" si="15"/>
        <v>360318.84</v>
      </c>
    </row>
    <row r="185" spans="1:17" ht="21.75" customHeight="1">
      <c r="A185" s="373">
        <v>59</v>
      </c>
      <c r="B185" s="300" t="str">
        <f t="shared" si="16"/>
        <v>TONGAM PARNINGTON SAMOSIR</v>
      </c>
      <c r="C185" s="379"/>
      <c r="D185" s="379"/>
      <c r="E185" s="301">
        <v>32563.439999999999</v>
      </c>
      <c r="F185" s="301">
        <v>32563.439999999999</v>
      </c>
      <c r="G185" s="301">
        <v>32563.439999999999</v>
      </c>
      <c r="H185" s="301">
        <v>32563.439999999999</v>
      </c>
      <c r="I185" s="301">
        <v>32563.439999999999</v>
      </c>
      <c r="J185" s="301">
        <v>32563.439999999999</v>
      </c>
      <c r="K185" s="301">
        <v>32899.439999999995</v>
      </c>
      <c r="L185" s="301">
        <v>32899.439999999995</v>
      </c>
      <c r="M185" s="301">
        <v>32899.439999999995</v>
      </c>
      <c r="N185" s="301">
        <v>32899.439999999995</v>
      </c>
      <c r="O185" s="301">
        <v>32928.839999999997</v>
      </c>
      <c r="P185" s="301"/>
      <c r="Q185" s="376">
        <f t="shared" si="15"/>
        <v>359907.24</v>
      </c>
    </row>
    <row r="186" spans="1:17" ht="21.75" customHeight="1">
      <c r="A186" s="373">
        <v>60</v>
      </c>
      <c r="B186" s="300" t="str">
        <f t="shared" si="16"/>
        <v>ANUAR</v>
      </c>
      <c r="C186" s="379"/>
      <c r="D186" s="379"/>
      <c r="E186" s="301">
        <v>32563.439999999999</v>
      </c>
      <c r="F186" s="301">
        <v>32563.439999999999</v>
      </c>
      <c r="G186" s="301">
        <v>32563.439999999999</v>
      </c>
      <c r="H186" s="301">
        <v>32563.439999999999</v>
      </c>
      <c r="I186" s="301">
        <v>32563.439999999999</v>
      </c>
      <c r="J186" s="301">
        <v>32563.439999999999</v>
      </c>
      <c r="K186" s="301">
        <v>32987.64</v>
      </c>
      <c r="L186" s="301">
        <v>32987.64</v>
      </c>
      <c r="M186" s="301">
        <v>32987.64</v>
      </c>
      <c r="N186" s="301">
        <v>32987.64</v>
      </c>
      <c r="O186" s="301">
        <v>32987.64</v>
      </c>
      <c r="P186" s="301"/>
      <c r="Q186" s="376">
        <f t="shared" si="15"/>
        <v>360318.84</v>
      </c>
    </row>
    <row r="187" spans="1:17" ht="21.75" customHeight="1">
      <c r="A187" s="373">
        <v>61</v>
      </c>
      <c r="B187" s="300" t="str">
        <f t="shared" si="16"/>
        <v>YUNIAR ANDRIANTI</v>
      </c>
      <c r="C187" s="379"/>
      <c r="D187" s="379"/>
      <c r="E187" s="301">
        <v>32563.439999999999</v>
      </c>
      <c r="F187" s="301">
        <v>32563.439999999999</v>
      </c>
      <c r="G187" s="301">
        <v>32563.439999999999</v>
      </c>
      <c r="H187" s="301">
        <v>32563.439999999999</v>
      </c>
      <c r="I187" s="301">
        <v>32563.439999999999</v>
      </c>
      <c r="J187" s="301">
        <v>32563.439999999999</v>
      </c>
      <c r="K187" s="301">
        <v>32958.239999999998</v>
      </c>
      <c r="L187" s="301">
        <v>32958.239999999998</v>
      </c>
      <c r="M187" s="301">
        <v>32958.239999999998</v>
      </c>
      <c r="N187" s="301">
        <v>32987.64</v>
      </c>
      <c r="O187" s="301">
        <v>32987.64</v>
      </c>
      <c r="P187" s="301"/>
      <c r="Q187" s="376">
        <f t="shared" si="15"/>
        <v>360230.64</v>
      </c>
    </row>
    <row r="188" spans="1:17" ht="21.75" customHeight="1">
      <c r="A188" s="373">
        <v>62</v>
      </c>
      <c r="B188" s="300" t="str">
        <f t="shared" si="16"/>
        <v>LISA JAYANTI</v>
      </c>
      <c r="C188" s="379"/>
      <c r="D188" s="379"/>
      <c r="E188" s="301">
        <v>32563.439999999999</v>
      </c>
      <c r="F188" s="301">
        <v>32563.439999999999</v>
      </c>
      <c r="G188" s="301">
        <v>32563.439999999999</v>
      </c>
      <c r="H188" s="301">
        <v>32563.439999999999</v>
      </c>
      <c r="I188" s="301">
        <v>32563.439999999999</v>
      </c>
      <c r="J188" s="301">
        <v>32563.439999999999</v>
      </c>
      <c r="K188" s="301">
        <v>32870.04</v>
      </c>
      <c r="L188" s="301">
        <v>32870.04</v>
      </c>
      <c r="M188" s="301">
        <v>32870.04</v>
      </c>
      <c r="N188" s="301">
        <v>32870.04</v>
      </c>
      <c r="O188" s="301">
        <v>32899.439999999995</v>
      </c>
      <c r="P188" s="301"/>
      <c r="Q188" s="376">
        <f t="shared" si="15"/>
        <v>359760.24</v>
      </c>
    </row>
    <row r="189" spans="1:17" ht="21.75" customHeight="1">
      <c r="A189" s="373">
        <v>63</v>
      </c>
      <c r="B189" s="300" t="str">
        <f t="shared" si="16"/>
        <v>RUSDIN</v>
      </c>
      <c r="C189" s="379"/>
      <c r="D189" s="379"/>
      <c r="E189" s="301">
        <v>32563.439999999999</v>
      </c>
      <c r="F189" s="301">
        <v>32563.439999999999</v>
      </c>
      <c r="G189" s="301">
        <v>32563.439999999999</v>
      </c>
      <c r="H189" s="301">
        <v>32563.439999999999</v>
      </c>
      <c r="I189" s="301">
        <v>32563.439999999999</v>
      </c>
      <c r="J189" s="301">
        <v>32563.439999999999</v>
      </c>
      <c r="K189" s="301">
        <v>32987.64</v>
      </c>
      <c r="L189" s="301">
        <v>32987.64</v>
      </c>
      <c r="M189" s="301">
        <v>32987.64</v>
      </c>
      <c r="N189" s="301">
        <v>32987.64</v>
      </c>
      <c r="O189" s="301">
        <v>32987.64</v>
      </c>
      <c r="P189" s="301"/>
      <c r="Q189" s="376">
        <f t="shared" si="15"/>
        <v>360318.84</v>
      </c>
    </row>
    <row r="190" spans="1:17" ht="21.75" customHeight="1">
      <c r="A190" s="373">
        <v>64</v>
      </c>
      <c r="B190" s="300" t="str">
        <f t="shared" si="16"/>
        <v>FREDI S</v>
      </c>
      <c r="C190" s="379"/>
      <c r="D190" s="379"/>
      <c r="E190" s="301">
        <v>32563.439999999999</v>
      </c>
      <c r="F190" s="301">
        <v>32563.439999999999</v>
      </c>
      <c r="G190" s="301">
        <v>32563.439999999999</v>
      </c>
      <c r="H190" s="301">
        <v>32563.439999999999</v>
      </c>
      <c r="I190" s="301">
        <v>32563.439999999999</v>
      </c>
      <c r="J190" s="301">
        <v>32563.439999999999</v>
      </c>
      <c r="K190" s="301">
        <v>32605.439999999999</v>
      </c>
      <c r="L190" s="301">
        <v>32605.439999999999</v>
      </c>
      <c r="M190" s="499"/>
      <c r="N190" s="499"/>
      <c r="O190" s="499"/>
      <c r="P190" s="499"/>
      <c r="Q190" s="376">
        <f t="shared" si="15"/>
        <v>260591.52</v>
      </c>
    </row>
    <row r="191" spans="1:17" ht="21.75" customHeight="1">
      <c r="A191" s="373">
        <v>65</v>
      </c>
      <c r="B191" s="300" t="str">
        <f t="shared" ref="B191:B222" si="17">+B69</f>
        <v>ARIPDAN</v>
      </c>
      <c r="C191" s="379"/>
      <c r="D191" s="379"/>
      <c r="E191" s="301">
        <v>32563.439999999999</v>
      </c>
      <c r="F191" s="301">
        <v>32563.439999999999</v>
      </c>
      <c r="G191" s="301">
        <v>32563.439999999999</v>
      </c>
      <c r="H191" s="301">
        <v>32563.439999999999</v>
      </c>
      <c r="I191" s="301">
        <v>32563.439999999999</v>
      </c>
      <c r="J191" s="301">
        <v>32563.439999999999</v>
      </c>
      <c r="K191" s="301">
        <v>32987.64</v>
      </c>
      <c r="L191" s="301">
        <v>32987.64</v>
      </c>
      <c r="M191" s="301">
        <v>32987.64</v>
      </c>
      <c r="N191" s="301">
        <v>32987.64</v>
      </c>
      <c r="O191" s="301">
        <v>32987.64</v>
      </c>
      <c r="P191" s="301"/>
      <c r="Q191" s="376">
        <f t="shared" si="15"/>
        <v>360318.84</v>
      </c>
    </row>
    <row r="192" spans="1:17" ht="21.75" customHeight="1">
      <c r="A192" s="373">
        <v>66</v>
      </c>
      <c r="B192" s="300" t="str">
        <f t="shared" si="17"/>
        <v>DEDI PURWANTO</v>
      </c>
      <c r="C192" s="379"/>
      <c r="D192" s="379"/>
      <c r="E192" s="301">
        <v>32563.439999999999</v>
      </c>
      <c r="F192" s="301">
        <v>32563.439999999999</v>
      </c>
      <c r="G192" s="301">
        <v>32563.439999999999</v>
      </c>
      <c r="H192" s="301">
        <v>32563.439999999999</v>
      </c>
      <c r="I192" s="301">
        <v>32563.439999999999</v>
      </c>
      <c r="J192" s="301">
        <v>32563.439999999999</v>
      </c>
      <c r="K192" s="301">
        <v>32987.64</v>
      </c>
      <c r="L192" s="301">
        <v>32987.64</v>
      </c>
      <c r="M192" s="301">
        <v>32987.64</v>
      </c>
      <c r="N192" s="301">
        <v>32987.64</v>
      </c>
      <c r="O192" s="301">
        <v>32987.64</v>
      </c>
      <c r="P192" s="301"/>
      <c r="Q192" s="376">
        <f t="shared" si="15"/>
        <v>360318.84</v>
      </c>
    </row>
    <row r="193" spans="1:17" ht="21.75" customHeight="1">
      <c r="A193" s="373">
        <v>67</v>
      </c>
      <c r="B193" s="300" t="str">
        <f t="shared" si="17"/>
        <v>HARSONO</v>
      </c>
      <c r="C193" s="379"/>
      <c r="D193" s="379"/>
      <c r="E193" s="301">
        <v>32563.439999999999</v>
      </c>
      <c r="F193" s="301">
        <v>32563.439999999999</v>
      </c>
      <c r="G193" s="301">
        <v>32563.439999999999</v>
      </c>
      <c r="H193" s="301">
        <v>32563.439999999999</v>
      </c>
      <c r="I193" s="301">
        <v>32563.439999999999</v>
      </c>
      <c r="J193" s="301">
        <v>32563.439999999999</v>
      </c>
      <c r="K193" s="301">
        <v>32987.64</v>
      </c>
      <c r="L193" s="301">
        <v>32987.64</v>
      </c>
      <c r="M193" s="301">
        <v>32987.64</v>
      </c>
      <c r="N193" s="301">
        <v>32987.64</v>
      </c>
      <c r="O193" s="301">
        <v>32987.64</v>
      </c>
      <c r="P193" s="301"/>
      <c r="Q193" s="376">
        <f t="shared" si="15"/>
        <v>360318.84</v>
      </c>
    </row>
    <row r="194" spans="1:17" ht="21.75" customHeight="1">
      <c r="A194" s="373">
        <v>68</v>
      </c>
      <c r="B194" s="300" t="str">
        <f t="shared" si="17"/>
        <v>MIKO AGNESTA</v>
      </c>
      <c r="C194" s="379"/>
      <c r="D194" s="379"/>
      <c r="E194" s="301">
        <v>32563.439999999999</v>
      </c>
      <c r="F194" s="301">
        <v>32563.439999999999</v>
      </c>
      <c r="G194" s="301">
        <v>32563.439999999999</v>
      </c>
      <c r="H194" s="301">
        <v>32563.439999999999</v>
      </c>
      <c r="I194" s="301">
        <v>32563.439999999999</v>
      </c>
      <c r="J194" s="301">
        <v>32563.439999999999</v>
      </c>
      <c r="K194" s="301">
        <v>32563.439999999999</v>
      </c>
      <c r="L194" s="301">
        <v>32563.439999999999</v>
      </c>
      <c r="M194" s="301">
        <v>32584.44</v>
      </c>
      <c r="N194" s="301">
        <v>32584.44</v>
      </c>
      <c r="O194" s="301">
        <v>32584.44</v>
      </c>
      <c r="P194" s="301"/>
      <c r="Q194" s="376">
        <f t="shared" si="15"/>
        <v>358260.83999999997</v>
      </c>
    </row>
    <row r="195" spans="1:17" ht="21.75" customHeight="1">
      <c r="A195" s="373">
        <v>69</v>
      </c>
      <c r="B195" s="300" t="str">
        <f t="shared" si="17"/>
        <v>HERI GUNAWAN</v>
      </c>
      <c r="C195" s="379"/>
      <c r="D195" s="379"/>
      <c r="E195" s="301">
        <v>32563.439999999999</v>
      </c>
      <c r="F195" s="301">
        <v>32563.439999999999</v>
      </c>
      <c r="G195" s="301">
        <v>32563.439999999999</v>
      </c>
      <c r="H195" s="301">
        <v>32563.439999999999</v>
      </c>
      <c r="I195" s="301">
        <v>32563.439999999999</v>
      </c>
      <c r="J195" s="301">
        <v>32563.439999999999</v>
      </c>
      <c r="K195" s="301">
        <v>32765.039999999997</v>
      </c>
      <c r="L195" s="301">
        <v>32765.039999999997</v>
      </c>
      <c r="M195" s="301">
        <v>32765.039999999997</v>
      </c>
      <c r="N195" s="301">
        <v>32765.039999999997</v>
      </c>
      <c r="O195" s="301">
        <v>32765.039999999997</v>
      </c>
      <c r="P195" s="301"/>
      <c r="Q195" s="376">
        <f t="shared" si="15"/>
        <v>359205.83999999997</v>
      </c>
    </row>
    <row r="196" spans="1:17" ht="21.75" customHeight="1">
      <c r="A196" s="373">
        <v>70</v>
      </c>
      <c r="B196" s="300" t="str">
        <f t="shared" si="17"/>
        <v>LEPI ERWANSYAH</v>
      </c>
      <c r="C196" s="379"/>
      <c r="D196" s="379"/>
      <c r="E196" s="301">
        <v>32563.439999999999</v>
      </c>
      <c r="F196" s="301">
        <v>32563.439999999999</v>
      </c>
      <c r="G196" s="301">
        <v>32563.439999999999</v>
      </c>
      <c r="H196" s="301">
        <v>32563.439999999999</v>
      </c>
      <c r="I196" s="301">
        <v>32563.439999999999</v>
      </c>
      <c r="J196" s="301">
        <v>32563.439999999999</v>
      </c>
      <c r="K196" s="301">
        <v>32765.039999999997</v>
      </c>
      <c r="L196" s="301">
        <v>32765.039999999997</v>
      </c>
      <c r="M196" s="301">
        <v>32765.039999999997</v>
      </c>
      <c r="N196" s="301">
        <v>32765.039999999997</v>
      </c>
      <c r="O196" s="301">
        <v>32790.239999999998</v>
      </c>
      <c r="P196" s="301"/>
      <c r="Q196" s="376">
        <f t="shared" si="15"/>
        <v>359231.04</v>
      </c>
    </row>
    <row r="197" spans="1:17" ht="21.75" customHeight="1">
      <c r="A197" s="373">
        <v>71</v>
      </c>
      <c r="B197" s="300" t="str">
        <f t="shared" si="17"/>
        <v>NOVA RIZAL</v>
      </c>
      <c r="C197" s="379"/>
      <c r="D197" s="379"/>
      <c r="E197" s="301">
        <v>32563.439999999999</v>
      </c>
      <c r="F197" s="301">
        <v>32563.439999999999</v>
      </c>
      <c r="G197" s="301">
        <v>32563.439999999999</v>
      </c>
      <c r="H197" s="301">
        <v>32563.439999999999</v>
      </c>
      <c r="I197" s="301">
        <v>32563.439999999999</v>
      </c>
      <c r="J197" s="301">
        <v>32563.439999999999</v>
      </c>
      <c r="K197" s="301">
        <v>32765.039999999997</v>
      </c>
      <c r="L197" s="499"/>
      <c r="M197" s="499"/>
      <c r="N197" s="499"/>
      <c r="O197" s="499"/>
      <c r="P197" s="499"/>
      <c r="Q197" s="376">
        <f t="shared" si="15"/>
        <v>228145.68</v>
      </c>
    </row>
    <row r="198" spans="1:17" ht="21.75" customHeight="1">
      <c r="A198" s="373">
        <v>72</v>
      </c>
      <c r="B198" s="300" t="str">
        <f t="shared" si="17"/>
        <v>MASKUR</v>
      </c>
      <c r="C198" s="379"/>
      <c r="D198" s="379"/>
      <c r="E198" s="301">
        <v>32563.439999999999</v>
      </c>
      <c r="F198" s="301">
        <v>32563.439999999999</v>
      </c>
      <c r="G198" s="301">
        <v>32563.439999999999</v>
      </c>
      <c r="H198" s="301">
        <v>32563.439999999999</v>
      </c>
      <c r="I198" s="301">
        <v>32563.439999999999</v>
      </c>
      <c r="J198" s="301">
        <v>32563.439999999999</v>
      </c>
      <c r="K198" s="301">
        <v>32765.039999999997</v>
      </c>
      <c r="L198" s="301">
        <v>32765.039999999997</v>
      </c>
      <c r="M198" s="301">
        <v>32765.039999999997</v>
      </c>
      <c r="N198" s="301">
        <v>32765.039999999997</v>
      </c>
      <c r="O198" s="301">
        <v>32765.039999999997</v>
      </c>
      <c r="P198" s="301"/>
      <c r="Q198" s="376">
        <f t="shared" si="15"/>
        <v>359205.83999999997</v>
      </c>
    </row>
    <row r="199" spans="1:17" ht="21.75" customHeight="1">
      <c r="A199" s="373">
        <v>73</v>
      </c>
      <c r="B199" s="300" t="str">
        <f t="shared" si="17"/>
        <v>SUTRISNO</v>
      </c>
      <c r="C199" s="379"/>
      <c r="D199" s="379"/>
      <c r="E199" s="301">
        <v>32563.439999999999</v>
      </c>
      <c r="F199" s="301">
        <v>32563.439999999999</v>
      </c>
      <c r="G199" s="301">
        <v>32563.439999999999</v>
      </c>
      <c r="H199" s="301">
        <v>32563.439999999999</v>
      </c>
      <c r="I199" s="301">
        <v>32563.439999999999</v>
      </c>
      <c r="J199" s="301">
        <v>32563.439999999999</v>
      </c>
      <c r="K199" s="301">
        <v>33017.040000000001</v>
      </c>
      <c r="L199" s="301">
        <v>33017.040000000001</v>
      </c>
      <c r="M199" s="301">
        <v>33017.040000000001</v>
      </c>
      <c r="N199" s="301">
        <v>33017.040000000001</v>
      </c>
      <c r="O199" s="301">
        <v>33017.040000000001</v>
      </c>
      <c r="P199" s="301"/>
      <c r="Q199" s="376">
        <f t="shared" si="15"/>
        <v>360465.83999999997</v>
      </c>
    </row>
    <row r="200" spans="1:17" ht="21.75" customHeight="1">
      <c r="A200" s="373">
        <v>74</v>
      </c>
      <c r="B200" s="300" t="str">
        <f t="shared" si="17"/>
        <v>SUHARDI</v>
      </c>
      <c r="C200" s="379"/>
      <c r="D200" s="379"/>
      <c r="E200" s="301">
        <v>32563.439999999999</v>
      </c>
      <c r="F200" s="301">
        <v>32563.439999999999</v>
      </c>
      <c r="G200" s="301">
        <v>32563.439999999999</v>
      </c>
      <c r="H200" s="301">
        <v>32563.439999999999</v>
      </c>
      <c r="I200" s="301">
        <v>32563.439999999999</v>
      </c>
      <c r="J200" s="301">
        <v>32563.439999999999</v>
      </c>
      <c r="K200" s="301">
        <v>32840.639999999999</v>
      </c>
      <c r="L200" s="301">
        <v>32840.639999999999</v>
      </c>
      <c r="M200" s="301">
        <v>32840.639999999999</v>
      </c>
      <c r="N200" s="301">
        <v>32840.639999999999</v>
      </c>
      <c r="O200" s="301">
        <v>32840.639999999999</v>
      </c>
      <c r="P200" s="499"/>
      <c r="Q200" s="376">
        <f t="shared" si="15"/>
        <v>359583.84</v>
      </c>
    </row>
    <row r="201" spans="1:17" ht="21.75" customHeight="1">
      <c r="A201" s="373">
        <v>75</v>
      </c>
      <c r="B201" s="300" t="str">
        <f t="shared" si="17"/>
        <v>RUSDI</v>
      </c>
      <c r="C201" s="379"/>
      <c r="D201" s="379"/>
      <c r="E201" s="301">
        <v>32563.439999999999</v>
      </c>
      <c r="F201" s="301">
        <v>32563.439999999999</v>
      </c>
      <c r="G201" s="301">
        <v>32563.439999999999</v>
      </c>
      <c r="H201" s="301">
        <v>32563.439999999999</v>
      </c>
      <c r="I201" s="301">
        <v>32563.439999999999</v>
      </c>
      <c r="J201" s="301">
        <v>32563.439999999999</v>
      </c>
      <c r="K201" s="301">
        <v>33017.040000000001</v>
      </c>
      <c r="L201" s="301">
        <v>33017.040000000001</v>
      </c>
      <c r="M201" s="301">
        <v>33017.040000000001</v>
      </c>
      <c r="N201" s="301">
        <v>33017.040000000001</v>
      </c>
      <c r="O201" s="301">
        <v>33017.040000000001</v>
      </c>
      <c r="P201" s="301"/>
      <c r="Q201" s="376">
        <f t="shared" si="15"/>
        <v>360465.83999999997</v>
      </c>
    </row>
    <row r="202" spans="1:17" ht="21.75" customHeight="1">
      <c r="A202" s="373">
        <v>76</v>
      </c>
      <c r="B202" s="300" t="str">
        <f t="shared" si="17"/>
        <v>MASJONI</v>
      </c>
      <c r="C202" s="379"/>
      <c r="D202" s="379"/>
      <c r="E202" s="301">
        <v>32563.439999999999</v>
      </c>
      <c r="F202" s="301">
        <v>32563.439999999999</v>
      </c>
      <c r="G202" s="301">
        <v>32563.439999999999</v>
      </c>
      <c r="H202" s="301">
        <v>32563.439999999999</v>
      </c>
      <c r="I202" s="301">
        <v>32563.439999999999</v>
      </c>
      <c r="J202" s="301">
        <v>32563.439999999999</v>
      </c>
      <c r="K202" s="301">
        <v>33281.64</v>
      </c>
      <c r="L202" s="301">
        <v>33281.64</v>
      </c>
      <c r="M202" s="301">
        <v>33281.64</v>
      </c>
      <c r="N202" s="301">
        <v>33281.64</v>
      </c>
      <c r="O202" s="301">
        <v>33281.64</v>
      </c>
      <c r="P202" s="301"/>
      <c r="Q202" s="376">
        <f t="shared" si="15"/>
        <v>361788.84</v>
      </c>
    </row>
    <row r="203" spans="1:17" ht="21.75" customHeight="1">
      <c r="A203" s="373">
        <v>77</v>
      </c>
      <c r="B203" s="300" t="str">
        <f t="shared" si="17"/>
        <v>ROSMAN</v>
      </c>
      <c r="C203" s="379"/>
      <c r="D203" s="379"/>
      <c r="E203" s="301">
        <v>32563.439999999999</v>
      </c>
      <c r="F203" s="301">
        <v>32563.439999999999</v>
      </c>
      <c r="G203" s="301">
        <v>32563.439999999999</v>
      </c>
      <c r="H203" s="301">
        <v>32563.439999999999</v>
      </c>
      <c r="I203" s="301">
        <v>32563.439999999999</v>
      </c>
      <c r="J203" s="301">
        <v>32563.439999999999</v>
      </c>
      <c r="K203" s="301">
        <v>32987.64</v>
      </c>
      <c r="L203" s="301">
        <v>32987.64</v>
      </c>
      <c r="M203" s="301">
        <v>32987.64</v>
      </c>
      <c r="N203" s="301">
        <v>32987.64</v>
      </c>
      <c r="O203" s="301">
        <v>32987.64</v>
      </c>
      <c r="P203" s="301"/>
      <c r="Q203" s="376">
        <f t="shared" si="15"/>
        <v>360318.84</v>
      </c>
    </row>
    <row r="204" spans="1:17" ht="21.75" customHeight="1">
      <c r="A204" s="373">
        <v>78</v>
      </c>
      <c r="B204" s="300" t="str">
        <f t="shared" si="17"/>
        <v>SUMARTO EVENDI</v>
      </c>
      <c r="C204" s="379"/>
      <c r="D204" s="379"/>
      <c r="E204" s="301">
        <v>32563.439999999999</v>
      </c>
      <c r="F204" s="301">
        <v>32563.439999999999</v>
      </c>
      <c r="G204" s="301">
        <v>32563.439999999999</v>
      </c>
      <c r="H204" s="301">
        <v>32563.439999999999</v>
      </c>
      <c r="I204" s="301">
        <v>32563.439999999999</v>
      </c>
      <c r="J204" s="301">
        <v>32563.439999999999</v>
      </c>
      <c r="K204" s="301">
        <v>32790.239999999998</v>
      </c>
      <c r="L204" s="301">
        <v>32790.239999999998</v>
      </c>
      <c r="M204" s="301">
        <v>32790.239999999998</v>
      </c>
      <c r="N204" s="301">
        <v>32790.239999999998</v>
      </c>
      <c r="O204" s="499"/>
      <c r="P204" s="499"/>
      <c r="Q204" s="376">
        <f t="shared" si="15"/>
        <v>326541.59999999998</v>
      </c>
    </row>
    <row r="205" spans="1:17" ht="21.75" customHeight="1">
      <c r="A205" s="373">
        <v>79</v>
      </c>
      <c r="B205" s="300" t="str">
        <f t="shared" si="17"/>
        <v>HERMAN</v>
      </c>
      <c r="C205" s="379"/>
      <c r="D205" s="379"/>
      <c r="E205" s="301">
        <v>32563.439999999999</v>
      </c>
      <c r="F205" s="301">
        <v>32563.439999999999</v>
      </c>
      <c r="G205" s="301">
        <v>32563.439999999999</v>
      </c>
      <c r="H205" s="301">
        <v>32563.439999999999</v>
      </c>
      <c r="I205" s="301">
        <v>32563.439999999999</v>
      </c>
      <c r="J205" s="301">
        <v>32563.439999999999</v>
      </c>
      <c r="K205" s="301">
        <v>32739.839999999997</v>
      </c>
      <c r="L205" s="301">
        <v>32765.039999999997</v>
      </c>
      <c r="M205" s="301">
        <v>32765.039999999997</v>
      </c>
      <c r="N205" s="301">
        <v>32765.039999999997</v>
      </c>
      <c r="O205" s="301">
        <v>32765.039999999997</v>
      </c>
      <c r="P205" s="301"/>
      <c r="Q205" s="376">
        <f t="shared" si="15"/>
        <v>359180.63999999996</v>
      </c>
    </row>
    <row r="206" spans="1:17" ht="21.75" customHeight="1">
      <c r="A206" s="373">
        <v>80</v>
      </c>
      <c r="B206" s="300" t="str">
        <f t="shared" si="17"/>
        <v>ANDRES CAHYADI</v>
      </c>
      <c r="C206" s="379"/>
      <c r="D206" s="379"/>
      <c r="E206" s="301">
        <v>32563.439999999999</v>
      </c>
      <c r="F206" s="301">
        <v>32563.439999999999</v>
      </c>
      <c r="G206" s="301">
        <v>32563.439999999999</v>
      </c>
      <c r="H206" s="301">
        <v>32563.439999999999</v>
      </c>
      <c r="I206" s="301">
        <v>32563.439999999999</v>
      </c>
      <c r="J206" s="301">
        <v>32563.439999999999</v>
      </c>
      <c r="K206" s="301">
        <v>32739.839999999997</v>
      </c>
      <c r="L206" s="301">
        <v>32739.839999999997</v>
      </c>
      <c r="M206" s="301">
        <v>32739.839999999997</v>
      </c>
      <c r="N206" s="301">
        <v>32739.839999999997</v>
      </c>
      <c r="O206" s="301">
        <v>32739.839999999997</v>
      </c>
      <c r="P206" s="301"/>
      <c r="Q206" s="376">
        <f t="shared" si="15"/>
        <v>359079.83999999997</v>
      </c>
    </row>
    <row r="207" spans="1:17" ht="21.75" customHeight="1">
      <c r="A207" s="373">
        <v>81</v>
      </c>
      <c r="B207" s="300" t="str">
        <f t="shared" si="17"/>
        <v>SAMSIR</v>
      </c>
      <c r="C207" s="379"/>
      <c r="D207" s="379"/>
      <c r="E207" s="301">
        <v>32563.439999999999</v>
      </c>
      <c r="F207" s="301">
        <v>32563.439999999999</v>
      </c>
      <c r="G207" s="301">
        <v>32563.439999999999</v>
      </c>
      <c r="H207" s="301">
        <v>32563.439999999999</v>
      </c>
      <c r="I207" s="301">
        <v>32563.439999999999</v>
      </c>
      <c r="J207" s="301">
        <v>32563.439999999999</v>
      </c>
      <c r="K207" s="301">
        <v>32790.239999999998</v>
      </c>
      <c r="L207" s="301">
        <v>32790.239999999998</v>
      </c>
      <c r="M207" s="301">
        <v>32790.239999999998</v>
      </c>
      <c r="N207" s="301">
        <v>32790.239999999998</v>
      </c>
      <c r="O207" s="301">
        <v>32790.239999999998</v>
      </c>
      <c r="P207" s="301"/>
      <c r="Q207" s="376">
        <f t="shared" si="15"/>
        <v>359331.83999999997</v>
      </c>
    </row>
    <row r="208" spans="1:17" ht="21.75" customHeight="1">
      <c r="A208" s="373">
        <v>82</v>
      </c>
      <c r="B208" s="300" t="str">
        <f t="shared" si="17"/>
        <v>FEBRIANSYAH</v>
      </c>
      <c r="C208" s="379"/>
      <c r="D208" s="379"/>
      <c r="E208" s="301">
        <v>32563.439999999999</v>
      </c>
      <c r="F208" s="301">
        <v>32563.439999999999</v>
      </c>
      <c r="G208" s="301">
        <v>32563.439999999999</v>
      </c>
      <c r="H208" s="301">
        <v>32563.439999999999</v>
      </c>
      <c r="I208" s="301">
        <v>32563.439999999999</v>
      </c>
      <c r="J208" s="499"/>
      <c r="K208" s="499"/>
      <c r="L208" s="499"/>
      <c r="M208" s="499"/>
      <c r="N208" s="499"/>
      <c r="O208" s="499"/>
      <c r="P208" s="499"/>
      <c r="Q208" s="376">
        <f t="shared" si="15"/>
        <v>162817.19999999998</v>
      </c>
    </row>
    <row r="209" spans="1:17" ht="21.75" customHeight="1">
      <c r="A209" s="373">
        <v>83</v>
      </c>
      <c r="B209" s="300" t="str">
        <f t="shared" si="17"/>
        <v>WIDI JULIANSYAH</v>
      </c>
      <c r="C209" s="379"/>
      <c r="D209" s="379"/>
      <c r="E209" s="301">
        <v>32563.439999999999</v>
      </c>
      <c r="F209" s="301">
        <v>32563.439999999999</v>
      </c>
      <c r="G209" s="301">
        <v>32563.439999999999</v>
      </c>
      <c r="H209" s="301">
        <v>32563.439999999999</v>
      </c>
      <c r="I209" s="301">
        <v>32563.439999999999</v>
      </c>
      <c r="J209" s="301">
        <v>32563.439999999999</v>
      </c>
      <c r="K209" s="301">
        <v>32584.44</v>
      </c>
      <c r="L209" s="301">
        <v>32605.439999999999</v>
      </c>
      <c r="M209" s="301">
        <v>32605.439999999999</v>
      </c>
      <c r="N209" s="301">
        <v>32605.439999999999</v>
      </c>
      <c r="O209" s="301">
        <v>32605.439999999999</v>
      </c>
      <c r="P209" s="301"/>
      <c r="Q209" s="376">
        <f t="shared" si="15"/>
        <v>358386.83999999997</v>
      </c>
    </row>
    <row r="210" spans="1:17" ht="21.75" customHeight="1">
      <c r="A210" s="373">
        <v>84</v>
      </c>
      <c r="B210" s="300" t="str">
        <f t="shared" si="17"/>
        <v>ANGGA NURDIANSYAH</v>
      </c>
      <c r="C210" s="379"/>
      <c r="D210" s="379"/>
      <c r="E210" s="301">
        <v>32563.439999999999</v>
      </c>
      <c r="F210" s="301">
        <v>32563.439999999999</v>
      </c>
      <c r="G210" s="301">
        <v>32563.439999999999</v>
      </c>
      <c r="H210" s="301">
        <v>32563.439999999999</v>
      </c>
      <c r="I210" s="301">
        <v>32563.439999999999</v>
      </c>
      <c r="J210" s="301">
        <v>32563.439999999999</v>
      </c>
      <c r="K210" s="301">
        <v>32668.44</v>
      </c>
      <c r="L210" s="301">
        <v>32668.44</v>
      </c>
      <c r="M210" s="301">
        <v>32668.44</v>
      </c>
      <c r="N210" s="301">
        <v>32668.44</v>
      </c>
      <c r="O210" s="301">
        <v>32689.439999999999</v>
      </c>
      <c r="P210" s="499"/>
      <c r="Q210" s="376">
        <f t="shared" si="15"/>
        <v>358743.83999999997</v>
      </c>
    </row>
    <row r="211" spans="1:17" ht="21.75" customHeight="1">
      <c r="A211" s="373">
        <v>85</v>
      </c>
      <c r="B211" s="300" t="str">
        <f t="shared" si="17"/>
        <v>ISMAIL</v>
      </c>
      <c r="C211" s="379"/>
      <c r="D211" s="379"/>
      <c r="E211" s="301">
        <v>32563.439999999999</v>
      </c>
      <c r="F211" s="301">
        <v>32563.439999999999</v>
      </c>
      <c r="G211" s="301">
        <v>32563.439999999999</v>
      </c>
      <c r="H211" s="301">
        <v>32563.439999999999</v>
      </c>
      <c r="I211" s="301">
        <v>32563.439999999999</v>
      </c>
      <c r="J211" s="301">
        <v>32563.439999999999</v>
      </c>
      <c r="K211" s="301">
        <v>32605.439999999999</v>
      </c>
      <c r="L211" s="301">
        <v>32605.439999999999</v>
      </c>
      <c r="M211" s="301">
        <v>32605.439999999999</v>
      </c>
      <c r="N211" s="301">
        <v>32605.439999999999</v>
      </c>
      <c r="O211" s="301">
        <v>32605.439999999999</v>
      </c>
      <c r="P211" s="301"/>
      <c r="Q211" s="376">
        <f t="shared" si="15"/>
        <v>358407.83999999997</v>
      </c>
    </row>
    <row r="212" spans="1:17" ht="21.75" customHeight="1">
      <c r="A212" s="373">
        <v>86</v>
      </c>
      <c r="B212" s="300" t="str">
        <f t="shared" si="17"/>
        <v>JOPI APRIAN HIDAYAT</v>
      </c>
      <c r="C212" s="379"/>
      <c r="D212" s="379"/>
      <c r="E212" s="301">
        <v>32563.439999999999</v>
      </c>
      <c r="F212" s="301">
        <v>32563.439999999999</v>
      </c>
      <c r="G212" s="301">
        <v>32563.439999999999</v>
      </c>
      <c r="H212" s="301">
        <v>32563.439999999999</v>
      </c>
      <c r="I212" s="301">
        <v>32563.439999999999</v>
      </c>
      <c r="J212" s="301">
        <v>32563.439999999999</v>
      </c>
      <c r="K212" s="301">
        <v>32605.439999999999</v>
      </c>
      <c r="L212" s="301">
        <v>32605.439999999999</v>
      </c>
      <c r="M212" s="301">
        <v>32605.439999999999</v>
      </c>
      <c r="N212" s="301">
        <v>32605.439999999999</v>
      </c>
      <c r="O212" s="301">
        <v>32605.439999999999</v>
      </c>
      <c r="P212" s="301"/>
      <c r="Q212" s="376">
        <f t="shared" si="15"/>
        <v>358407.83999999997</v>
      </c>
    </row>
    <row r="213" spans="1:17" ht="21.75" customHeight="1">
      <c r="A213" s="373">
        <v>87</v>
      </c>
      <c r="B213" s="300" t="str">
        <f t="shared" si="17"/>
        <v>BINTANG ADITYA REVALDO</v>
      </c>
      <c r="C213" s="379"/>
      <c r="D213" s="379"/>
      <c r="E213" s="301">
        <v>32563.439999999999</v>
      </c>
      <c r="F213" s="301">
        <v>32563.439999999999</v>
      </c>
      <c r="G213" s="301">
        <v>32563.439999999999</v>
      </c>
      <c r="H213" s="301">
        <v>32563.439999999999</v>
      </c>
      <c r="I213" s="301">
        <v>32563.439999999999</v>
      </c>
      <c r="J213" s="499"/>
      <c r="K213" s="499"/>
      <c r="L213" s="499"/>
      <c r="M213" s="499"/>
      <c r="N213" s="499"/>
      <c r="O213" s="499"/>
      <c r="P213" s="499"/>
      <c r="Q213" s="376">
        <f t="shared" si="15"/>
        <v>162817.19999999998</v>
      </c>
    </row>
    <row r="214" spans="1:17" ht="21.75" customHeight="1">
      <c r="A214" s="373">
        <v>88</v>
      </c>
      <c r="B214" s="300" t="str">
        <f t="shared" si="17"/>
        <v>SOLEHAN</v>
      </c>
      <c r="C214" s="379"/>
      <c r="D214" s="379"/>
      <c r="E214" s="301">
        <v>32563.439999999999</v>
      </c>
      <c r="F214" s="301">
        <v>32563.439999999999</v>
      </c>
      <c r="G214" s="301">
        <v>32563.439999999999</v>
      </c>
      <c r="H214" s="301">
        <v>32563.439999999999</v>
      </c>
      <c r="I214" s="301">
        <v>32563.439999999999</v>
      </c>
      <c r="J214" s="301">
        <v>32563.439999999999</v>
      </c>
      <c r="K214" s="301">
        <v>32668.44</v>
      </c>
      <c r="L214" s="301">
        <v>32668.44</v>
      </c>
      <c r="M214" s="301">
        <v>32668.44</v>
      </c>
      <c r="N214" s="301">
        <v>32668.44</v>
      </c>
      <c r="O214" s="301">
        <v>32668.44</v>
      </c>
      <c r="P214" s="301"/>
      <c r="Q214" s="376">
        <f t="shared" si="15"/>
        <v>358722.83999999997</v>
      </c>
    </row>
    <row r="215" spans="1:17" ht="21.75" customHeight="1">
      <c r="A215" s="373">
        <v>89</v>
      </c>
      <c r="B215" s="300" t="str">
        <f t="shared" si="17"/>
        <v>WIRANTO</v>
      </c>
      <c r="C215" s="379"/>
      <c r="D215" s="379"/>
      <c r="E215" s="301">
        <v>32563.439999999999</v>
      </c>
      <c r="F215" s="301">
        <v>32563.439999999999</v>
      </c>
      <c r="G215" s="301">
        <v>32563.439999999999</v>
      </c>
      <c r="H215" s="301">
        <v>32563.439999999999</v>
      </c>
      <c r="I215" s="301">
        <v>32563.439999999999</v>
      </c>
      <c r="J215" s="301">
        <v>32563.439999999999</v>
      </c>
      <c r="K215" s="301">
        <v>32689.439999999999</v>
      </c>
      <c r="L215" s="301">
        <v>32689.439999999999</v>
      </c>
      <c r="M215" s="301">
        <v>32689.439999999999</v>
      </c>
      <c r="N215" s="301">
        <v>32689.439999999999</v>
      </c>
      <c r="O215" s="301">
        <v>32689.439999999999</v>
      </c>
      <c r="P215" s="301"/>
      <c r="Q215" s="376">
        <f t="shared" ref="Q215:Q237" si="18">SUM(E215:P215)</f>
        <v>358827.83999999997</v>
      </c>
    </row>
    <row r="216" spans="1:17" ht="21.75" customHeight="1">
      <c r="A216" s="373">
        <v>90</v>
      </c>
      <c r="B216" s="300" t="str">
        <f t="shared" si="17"/>
        <v>RUSDIANA</v>
      </c>
      <c r="C216" s="379"/>
      <c r="D216" s="379"/>
      <c r="E216" s="301">
        <v>32563.439999999999</v>
      </c>
      <c r="F216" s="301">
        <v>32563.439999999999</v>
      </c>
      <c r="G216" s="301">
        <v>32563.439999999999</v>
      </c>
      <c r="H216" s="301">
        <v>32563.439999999999</v>
      </c>
      <c r="I216" s="301">
        <v>32563.439999999999</v>
      </c>
      <c r="J216" s="301">
        <v>32563.439999999999</v>
      </c>
      <c r="K216" s="301">
        <v>32765.039999999997</v>
      </c>
      <c r="L216" s="301">
        <v>32765.039999999997</v>
      </c>
      <c r="M216" s="301">
        <v>32765.039999999997</v>
      </c>
      <c r="N216" s="499"/>
      <c r="O216" s="499"/>
      <c r="P216" s="499"/>
      <c r="Q216" s="376">
        <f t="shared" si="18"/>
        <v>293675.76</v>
      </c>
    </row>
    <row r="217" spans="1:17" ht="21.75" customHeight="1">
      <c r="A217" s="373">
        <v>91</v>
      </c>
      <c r="B217" s="300" t="str">
        <f t="shared" si="17"/>
        <v>EDI ZULKARNADI</v>
      </c>
      <c r="C217" s="379"/>
      <c r="D217" s="379"/>
      <c r="E217" s="301">
        <v>32563.439999999999</v>
      </c>
      <c r="F217" s="301">
        <v>32563.439999999999</v>
      </c>
      <c r="G217" s="301">
        <v>32563.439999999999</v>
      </c>
      <c r="H217" s="301">
        <v>32563.439999999999</v>
      </c>
      <c r="I217" s="301">
        <v>32563.439999999999</v>
      </c>
      <c r="J217" s="301">
        <v>32563.439999999999</v>
      </c>
      <c r="K217" s="301">
        <v>32790.239999999998</v>
      </c>
      <c r="L217" s="301">
        <v>32790.239999999998</v>
      </c>
      <c r="M217" s="301">
        <v>32790.239999999998</v>
      </c>
      <c r="N217" s="301">
        <v>32790.239999999998</v>
      </c>
      <c r="O217" s="301">
        <v>32790.239999999998</v>
      </c>
      <c r="P217" s="301"/>
      <c r="Q217" s="376">
        <f t="shared" si="18"/>
        <v>359331.83999999997</v>
      </c>
    </row>
    <row r="218" spans="1:17" ht="21.75" customHeight="1">
      <c r="A218" s="373">
        <v>92</v>
      </c>
      <c r="B218" s="300" t="str">
        <f t="shared" si="17"/>
        <v>ERLANDA</v>
      </c>
      <c r="C218" s="379"/>
      <c r="D218" s="379"/>
      <c r="E218" s="301">
        <v>32563.439999999999</v>
      </c>
      <c r="F218" s="301">
        <v>32563.439999999999</v>
      </c>
      <c r="G218" s="301">
        <v>32563.439999999999</v>
      </c>
      <c r="H218" s="301">
        <v>32563.439999999999</v>
      </c>
      <c r="I218" s="301">
        <v>32563.439999999999</v>
      </c>
      <c r="J218" s="301">
        <v>32563.439999999999</v>
      </c>
      <c r="K218" s="301">
        <v>32605.439999999999</v>
      </c>
      <c r="L218" s="301">
        <v>32605.439999999999</v>
      </c>
      <c r="M218" s="301">
        <v>32605.439999999999</v>
      </c>
      <c r="N218" s="301">
        <v>32605.439999999999</v>
      </c>
      <c r="O218" s="301">
        <v>32626.44</v>
      </c>
      <c r="P218" s="301"/>
      <c r="Q218" s="376">
        <f t="shared" si="18"/>
        <v>358428.83999999997</v>
      </c>
    </row>
    <row r="219" spans="1:17" ht="21.75" customHeight="1">
      <c r="A219" s="373">
        <v>93</v>
      </c>
      <c r="B219" s="300" t="str">
        <f t="shared" si="17"/>
        <v>SUNARDI</v>
      </c>
      <c r="C219" s="379"/>
      <c r="D219" s="379"/>
      <c r="E219" s="301">
        <v>32563.439999999999</v>
      </c>
      <c r="F219" s="301">
        <v>32563.439999999999</v>
      </c>
      <c r="G219" s="301">
        <v>32563.439999999999</v>
      </c>
      <c r="H219" s="301">
        <v>32563.439999999999</v>
      </c>
      <c r="I219" s="301">
        <v>32563.439999999999</v>
      </c>
      <c r="J219" s="301">
        <v>32563.439999999999</v>
      </c>
      <c r="K219" s="301">
        <v>32647.439999999999</v>
      </c>
      <c r="L219" s="301">
        <v>32647.439999999999</v>
      </c>
      <c r="M219" s="301">
        <v>32647.439999999999</v>
      </c>
      <c r="N219" s="301">
        <v>32647.439999999999</v>
      </c>
      <c r="O219" s="301">
        <v>32647.439999999999</v>
      </c>
      <c r="P219" s="301"/>
      <c r="Q219" s="376">
        <f t="shared" si="18"/>
        <v>358617.83999999997</v>
      </c>
    </row>
    <row r="220" spans="1:17" ht="21.75" customHeight="1">
      <c r="A220" s="373">
        <v>94</v>
      </c>
      <c r="B220" s="300" t="str">
        <f t="shared" si="17"/>
        <v>ANDRI GUNAWAN</v>
      </c>
      <c r="C220" s="379"/>
      <c r="D220" s="379"/>
      <c r="E220" s="499"/>
      <c r="F220" s="499"/>
      <c r="G220" s="301">
        <v>32563.439999999999</v>
      </c>
      <c r="H220" s="301">
        <v>32563.439999999999</v>
      </c>
      <c r="I220" s="301">
        <v>32563.439999999999</v>
      </c>
      <c r="J220" s="301">
        <v>32563.439999999999</v>
      </c>
      <c r="K220" s="301">
        <v>32563.439999999999</v>
      </c>
      <c r="L220" s="301">
        <v>32563.439999999999</v>
      </c>
      <c r="M220" s="301">
        <v>32563.439999999999</v>
      </c>
      <c r="N220" s="301">
        <v>32563.439999999999</v>
      </c>
      <c r="O220" s="301">
        <v>32563.439999999999</v>
      </c>
      <c r="P220" s="301"/>
      <c r="Q220" s="376">
        <f t="shared" si="18"/>
        <v>293070.95999999996</v>
      </c>
    </row>
    <row r="221" spans="1:17" ht="21.75" customHeight="1">
      <c r="A221" s="373">
        <v>95</v>
      </c>
      <c r="B221" s="300" t="str">
        <f t="shared" si="17"/>
        <v>JUPRI</v>
      </c>
      <c r="C221" s="379"/>
      <c r="D221" s="379"/>
      <c r="E221" s="301">
        <v>32563.439999999999</v>
      </c>
      <c r="F221" s="301">
        <v>32563.439999999999</v>
      </c>
      <c r="G221" s="301">
        <v>32563.439999999999</v>
      </c>
      <c r="H221" s="301">
        <v>32563.439999999999</v>
      </c>
      <c r="I221" s="301">
        <v>32563.439999999999</v>
      </c>
      <c r="J221" s="301">
        <v>32563.439999999999</v>
      </c>
      <c r="K221" s="301">
        <v>32647.439999999999</v>
      </c>
      <c r="L221" s="301">
        <v>32647.439999999999</v>
      </c>
      <c r="M221" s="301">
        <v>32647.439999999999</v>
      </c>
      <c r="N221" s="301">
        <v>32647.439999999999</v>
      </c>
      <c r="O221" s="301">
        <v>32647.439999999999</v>
      </c>
      <c r="P221" s="301"/>
      <c r="Q221" s="376">
        <f t="shared" si="18"/>
        <v>358617.83999999997</v>
      </c>
    </row>
    <row r="222" spans="1:17" ht="21.75" customHeight="1">
      <c r="A222" s="373">
        <v>96</v>
      </c>
      <c r="B222" s="300" t="str">
        <f t="shared" si="17"/>
        <v>RAMADHAN</v>
      </c>
      <c r="C222" s="379"/>
      <c r="D222" s="379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76">
        <f t="shared" si="18"/>
        <v>0</v>
      </c>
    </row>
    <row r="223" spans="1:17" ht="21.75" customHeight="1">
      <c r="A223" s="373">
        <v>97</v>
      </c>
      <c r="B223" s="300" t="str">
        <f t="shared" ref="B223:B238" si="19">+B101</f>
        <v>RAFIANSYAH</v>
      </c>
      <c r="C223" s="379"/>
      <c r="D223" s="379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76">
        <f t="shared" si="18"/>
        <v>0</v>
      </c>
    </row>
    <row r="224" spans="1:17" ht="21.75" customHeight="1">
      <c r="A224" s="373">
        <v>98</v>
      </c>
      <c r="B224" s="300" t="str">
        <f t="shared" si="19"/>
        <v>VIRGA</v>
      </c>
      <c r="C224" s="379"/>
      <c r="D224" s="379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76">
        <f t="shared" si="18"/>
        <v>0</v>
      </c>
    </row>
    <row r="225" spans="1:17" ht="21.75" customHeight="1">
      <c r="A225" s="373">
        <v>99</v>
      </c>
      <c r="B225" s="300" t="str">
        <f t="shared" si="19"/>
        <v>TARMIZI</v>
      </c>
      <c r="C225" s="379"/>
      <c r="D225" s="379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76">
        <f t="shared" si="18"/>
        <v>0</v>
      </c>
    </row>
    <row r="226" spans="1:17" ht="21.75" customHeight="1">
      <c r="A226" s="373">
        <v>100</v>
      </c>
      <c r="B226" s="300" t="str">
        <f t="shared" si="19"/>
        <v>ANDREAS</v>
      </c>
      <c r="C226" s="379"/>
      <c r="D226" s="379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76">
        <f t="shared" si="18"/>
        <v>0</v>
      </c>
    </row>
    <row r="227" spans="1:17" ht="21.75" customHeight="1">
      <c r="A227" s="373">
        <v>101</v>
      </c>
      <c r="B227" s="300">
        <f t="shared" si="19"/>
        <v>0</v>
      </c>
      <c r="C227" s="379"/>
      <c r="D227" s="379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76">
        <f t="shared" si="18"/>
        <v>0</v>
      </c>
    </row>
    <row r="228" spans="1:17" ht="21.75" customHeight="1">
      <c r="A228" s="373">
        <v>102</v>
      </c>
      <c r="B228" s="300">
        <f t="shared" si="19"/>
        <v>0</v>
      </c>
      <c r="C228" s="379"/>
      <c r="D228" s="379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76">
        <f t="shared" si="18"/>
        <v>0</v>
      </c>
    </row>
    <row r="229" spans="1:17" ht="21.75" customHeight="1">
      <c r="A229" s="373">
        <v>103</v>
      </c>
      <c r="B229" s="300">
        <f t="shared" si="19"/>
        <v>0</v>
      </c>
      <c r="C229" s="379"/>
      <c r="D229" s="379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76">
        <f t="shared" si="18"/>
        <v>0</v>
      </c>
    </row>
    <row r="230" spans="1:17" ht="21.75" customHeight="1">
      <c r="A230" s="373">
        <v>104</v>
      </c>
      <c r="B230" s="300">
        <f t="shared" si="19"/>
        <v>0</v>
      </c>
      <c r="C230" s="379"/>
      <c r="D230" s="379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76">
        <f t="shared" si="18"/>
        <v>0</v>
      </c>
    </row>
    <row r="231" spans="1:17" ht="21.75" customHeight="1">
      <c r="A231" s="373">
        <v>105</v>
      </c>
      <c r="B231" s="300">
        <f t="shared" si="19"/>
        <v>0</v>
      </c>
      <c r="C231" s="379"/>
      <c r="D231" s="379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76">
        <f t="shared" si="18"/>
        <v>0</v>
      </c>
    </row>
    <row r="232" spans="1:17" ht="21.75" customHeight="1">
      <c r="A232" s="373">
        <v>106</v>
      </c>
      <c r="B232" s="300">
        <f t="shared" si="19"/>
        <v>0</v>
      </c>
      <c r="C232" s="379"/>
      <c r="D232" s="379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76">
        <f t="shared" si="18"/>
        <v>0</v>
      </c>
    </row>
    <row r="233" spans="1:17" ht="21.75" customHeight="1">
      <c r="A233" s="373">
        <v>107</v>
      </c>
      <c r="B233" s="300">
        <f t="shared" si="19"/>
        <v>0</v>
      </c>
      <c r="C233" s="379"/>
      <c r="D233" s="379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76">
        <f t="shared" si="18"/>
        <v>0</v>
      </c>
    </row>
    <row r="234" spans="1:17" ht="21.75" customHeight="1">
      <c r="A234" s="373">
        <v>108</v>
      </c>
      <c r="B234" s="300">
        <f t="shared" si="19"/>
        <v>0</v>
      </c>
      <c r="C234" s="379"/>
      <c r="D234" s="379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76">
        <f t="shared" si="18"/>
        <v>0</v>
      </c>
    </row>
    <row r="235" spans="1:17" ht="21.75" customHeight="1">
      <c r="A235" s="373">
        <v>109</v>
      </c>
      <c r="B235" s="300">
        <f t="shared" si="19"/>
        <v>0</v>
      </c>
      <c r="C235" s="379"/>
      <c r="D235" s="379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76">
        <f t="shared" si="18"/>
        <v>0</v>
      </c>
    </row>
    <row r="236" spans="1:17" ht="21.75" customHeight="1">
      <c r="A236" s="373">
        <v>110</v>
      </c>
      <c r="B236" s="300">
        <f t="shared" si="19"/>
        <v>0</v>
      </c>
      <c r="C236" s="379"/>
      <c r="D236" s="379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76">
        <f t="shared" si="18"/>
        <v>0</v>
      </c>
    </row>
    <row r="237" spans="1:17" ht="21.75" customHeight="1">
      <c r="A237" s="373">
        <v>111</v>
      </c>
      <c r="B237" s="300">
        <f t="shared" si="19"/>
        <v>0</v>
      </c>
      <c r="C237" s="379"/>
      <c r="D237" s="379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76">
        <f t="shared" si="18"/>
        <v>0</v>
      </c>
    </row>
    <row r="238" spans="1:17" ht="21.75" customHeight="1" thickBot="1">
      <c r="A238" s="373">
        <v>112</v>
      </c>
      <c r="B238" s="300">
        <f t="shared" si="19"/>
        <v>0</v>
      </c>
      <c r="C238" s="379"/>
      <c r="D238" s="379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76"/>
    </row>
    <row r="239" spans="1:17" ht="21.75" customHeight="1" thickBot="1">
      <c r="A239" s="650" t="s">
        <v>461</v>
      </c>
      <c r="B239" s="651"/>
      <c r="C239" s="509"/>
      <c r="D239" s="509"/>
      <c r="E239" s="382">
        <f t="shared" ref="E239:P239" si="20">SUM(E127:E237)</f>
        <v>3060963.3599999957</v>
      </c>
      <c r="F239" s="382">
        <f t="shared" si="20"/>
        <v>3060963.3599999957</v>
      </c>
      <c r="G239" s="382">
        <f t="shared" si="20"/>
        <v>3093526.7999999956</v>
      </c>
      <c r="H239" s="382">
        <f t="shared" si="20"/>
        <v>3093526.7999999956</v>
      </c>
      <c r="I239" s="382">
        <f t="shared" si="20"/>
        <v>3093526.7999999956</v>
      </c>
      <c r="J239" s="382">
        <f t="shared" si="20"/>
        <v>3028399.9199999957</v>
      </c>
      <c r="K239" s="382">
        <f t="shared" si="20"/>
        <v>3055817.52</v>
      </c>
      <c r="L239" s="382">
        <f t="shared" si="20"/>
        <v>2990615.0400000005</v>
      </c>
      <c r="M239" s="382">
        <f t="shared" si="20"/>
        <v>2958081.0000000005</v>
      </c>
      <c r="N239" s="382">
        <f t="shared" si="20"/>
        <v>2925580.5599999996</v>
      </c>
      <c r="O239" s="382">
        <f t="shared" si="20"/>
        <v>2893130.5199999996</v>
      </c>
      <c r="P239" s="382">
        <f t="shared" si="20"/>
        <v>0</v>
      </c>
      <c r="Q239" s="376">
        <f t="shared" ref="Q239" si="21">SUM(E239:P239)</f>
        <v>33254131.67999997</v>
      </c>
    </row>
    <row r="242" spans="1:18" ht="21.75" customHeight="1">
      <c r="A242" s="373">
        <v>74</v>
      </c>
      <c r="B242" s="300" t="str">
        <f>+B120</f>
        <v>HERY</v>
      </c>
      <c r="C242" s="379"/>
      <c r="D242" s="379"/>
      <c r="E242" s="301">
        <v>32563.439999999999</v>
      </c>
      <c r="F242" s="301">
        <v>32563.439999999999</v>
      </c>
      <c r="G242" s="301">
        <v>32563.439999999999</v>
      </c>
      <c r="H242" s="301">
        <v>32563.439999999999</v>
      </c>
      <c r="I242" s="301">
        <v>32563.439999999999</v>
      </c>
      <c r="J242" s="301">
        <v>32563.439999999999</v>
      </c>
      <c r="K242" s="301">
        <v>32626.44</v>
      </c>
      <c r="L242" s="301">
        <v>32626.44</v>
      </c>
      <c r="M242" s="301"/>
      <c r="N242" s="301"/>
      <c r="O242" s="301"/>
      <c r="P242" s="301"/>
      <c r="Q242" s="376">
        <f>SUM(E242:P242)</f>
        <v>260633.52</v>
      </c>
    </row>
    <row r="243" spans="1:18" ht="21.75" customHeight="1">
      <c r="A243" s="373">
        <v>2</v>
      </c>
      <c r="B243" s="300" t="str">
        <f>+B121</f>
        <v>MARETA</v>
      </c>
      <c r="C243" s="374"/>
      <c r="D243" s="374"/>
      <c r="E243" s="375">
        <v>32563.439999999999</v>
      </c>
      <c r="F243" s="375">
        <v>32563.439999999999</v>
      </c>
      <c r="G243" s="375">
        <v>32563.439999999999</v>
      </c>
      <c r="H243" s="301">
        <v>32563.439999999999</v>
      </c>
      <c r="I243" s="301">
        <v>32563.439999999999</v>
      </c>
      <c r="J243" s="301">
        <v>32563.439999999999</v>
      </c>
      <c r="K243" s="301">
        <v>32739.839999999997</v>
      </c>
      <c r="L243" s="301">
        <v>32739.839999999997</v>
      </c>
      <c r="M243" s="301">
        <v>32739.839999999997</v>
      </c>
      <c r="N243" s="301">
        <v>32739.839999999997</v>
      </c>
      <c r="O243" s="301"/>
      <c r="P243" s="301"/>
      <c r="Q243" s="376">
        <f>SUM(E243:P243)</f>
        <v>326340</v>
      </c>
      <c r="R243" s="257">
        <f>COUNT(E243:P243)</f>
        <v>10</v>
      </c>
    </row>
  </sheetData>
  <mergeCells count="10">
    <mergeCell ref="A3:A4"/>
    <mergeCell ref="B3:B4"/>
    <mergeCell ref="E3:P3"/>
    <mergeCell ref="Q3:Q4"/>
    <mergeCell ref="A117:B117"/>
    <mergeCell ref="A125:A126"/>
    <mergeCell ref="B125:B126"/>
    <mergeCell ref="E125:P125"/>
    <mergeCell ref="Q125:Q126"/>
    <mergeCell ref="A239:B23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R242"/>
  <sheetViews>
    <sheetView topLeftCell="A109" workbookViewId="0">
      <pane xSplit="2" topLeftCell="C1" activePane="topRight" state="frozen"/>
      <selection pane="topRight" activeCell="N13" sqref="N13"/>
    </sheetView>
  </sheetViews>
  <sheetFormatPr defaultRowHeight="15"/>
  <cols>
    <col min="1" max="1" width="5.42578125" style="257" customWidth="1"/>
    <col min="2" max="2" width="26.42578125" style="257" customWidth="1"/>
    <col min="3" max="14" width="11.85546875" style="369" customWidth="1"/>
    <col min="15" max="15" width="13.42578125" style="257" customWidth="1"/>
    <col min="16" max="16384" width="9.140625" style="257"/>
  </cols>
  <sheetData>
    <row r="2" spans="1:15" ht="15.75" thickBot="1">
      <c r="C2" s="521" t="s">
        <v>717</v>
      </c>
    </row>
    <row r="3" spans="1:15">
      <c r="A3" s="641" t="s">
        <v>494</v>
      </c>
      <c r="B3" s="643" t="s">
        <v>495</v>
      </c>
      <c r="C3" s="645"/>
      <c r="D3" s="645"/>
      <c r="E3" s="645"/>
      <c r="F3" s="645"/>
      <c r="G3" s="645"/>
      <c r="H3" s="646"/>
      <c r="I3" s="645"/>
      <c r="J3" s="645"/>
      <c r="K3" s="645"/>
      <c r="L3" s="645"/>
      <c r="M3" s="645"/>
      <c r="N3" s="647"/>
      <c r="O3" s="648" t="s">
        <v>461</v>
      </c>
    </row>
    <row r="4" spans="1:15" ht="15.75" thickBot="1">
      <c r="A4" s="642"/>
      <c r="B4" s="644"/>
      <c r="C4" s="372" t="s">
        <v>497</v>
      </c>
      <c r="D4" s="372" t="s">
        <v>498</v>
      </c>
      <c r="E4" s="372" t="s">
        <v>499</v>
      </c>
      <c r="F4" s="372" t="s">
        <v>500</v>
      </c>
      <c r="G4" s="372" t="s">
        <v>501</v>
      </c>
      <c r="H4" s="372" t="s">
        <v>502</v>
      </c>
      <c r="I4" s="372" t="s">
        <v>503</v>
      </c>
      <c r="J4" s="372" t="s">
        <v>504</v>
      </c>
      <c r="K4" s="372" t="s">
        <v>505</v>
      </c>
      <c r="L4" s="372" t="s">
        <v>506</v>
      </c>
      <c r="M4" s="372" t="s">
        <v>507</v>
      </c>
      <c r="N4" s="372" t="s">
        <v>31</v>
      </c>
      <c r="O4" s="649"/>
    </row>
    <row r="5" spans="1:15">
      <c r="A5" s="373">
        <v>1</v>
      </c>
      <c r="B5" s="300" t="str">
        <f>+BPJS!B5</f>
        <v>ARYADI</v>
      </c>
      <c r="C5" s="375">
        <f>3876600*2%</f>
        <v>77532</v>
      </c>
      <c r="D5" s="375">
        <f t="shared" ref="D5:H120" si="0">3876600*2%</f>
        <v>77532</v>
      </c>
      <c r="E5" s="375">
        <f t="shared" si="0"/>
        <v>77532</v>
      </c>
      <c r="F5" s="375">
        <f t="shared" si="0"/>
        <v>77532</v>
      </c>
      <c r="G5" s="375">
        <f t="shared" si="0"/>
        <v>77532</v>
      </c>
      <c r="H5" s="375">
        <f t="shared" si="0"/>
        <v>77532</v>
      </c>
      <c r="I5" s="301">
        <v>78530</v>
      </c>
      <c r="J5" s="301">
        <v>78542</v>
      </c>
      <c r="K5" s="301">
        <v>78542</v>
      </c>
      <c r="L5" s="301">
        <v>78542</v>
      </c>
      <c r="M5" s="301">
        <v>78542</v>
      </c>
      <c r="N5" s="301">
        <v>78542</v>
      </c>
      <c r="O5" s="376">
        <f t="shared" ref="O5:O35" si="1">SUM(C5:N5)</f>
        <v>936432</v>
      </c>
    </row>
    <row r="6" spans="1:15">
      <c r="A6" s="373">
        <v>2</v>
      </c>
      <c r="B6" s="300" t="str">
        <f>+BPJS!B6</f>
        <v>SUPRI</v>
      </c>
      <c r="C6" s="375">
        <f t="shared" ref="C6:H120" si="2">3876600*2%</f>
        <v>77532</v>
      </c>
      <c r="D6" s="375">
        <f t="shared" si="0"/>
        <v>77532</v>
      </c>
      <c r="E6" s="375">
        <f t="shared" si="0"/>
        <v>77532</v>
      </c>
      <c r="F6" s="375">
        <f t="shared" si="0"/>
        <v>77532</v>
      </c>
      <c r="G6" s="375">
        <f t="shared" si="0"/>
        <v>77532</v>
      </c>
      <c r="H6" s="375">
        <f t="shared" si="0"/>
        <v>77532</v>
      </c>
      <c r="I6" s="301">
        <v>78530</v>
      </c>
      <c r="J6" s="301">
        <v>78542</v>
      </c>
      <c r="K6" s="301">
        <v>78542</v>
      </c>
      <c r="L6" s="301">
        <v>78542</v>
      </c>
      <c r="M6" s="301">
        <v>78542</v>
      </c>
      <c r="N6" s="301">
        <v>78542</v>
      </c>
      <c r="O6" s="376">
        <f t="shared" si="1"/>
        <v>936432</v>
      </c>
    </row>
    <row r="7" spans="1:15">
      <c r="A7" s="373">
        <v>3</v>
      </c>
      <c r="B7" s="300" t="str">
        <f>+BPJS!B7</f>
        <v>ROTIA</v>
      </c>
      <c r="C7" s="375">
        <f t="shared" si="2"/>
        <v>77532</v>
      </c>
      <c r="D7" s="375">
        <f t="shared" si="0"/>
        <v>77532</v>
      </c>
      <c r="E7" s="375">
        <f t="shared" si="0"/>
        <v>77532</v>
      </c>
      <c r="F7" s="375">
        <f t="shared" si="0"/>
        <v>77532</v>
      </c>
      <c r="G7" s="375">
        <f t="shared" si="0"/>
        <v>77532</v>
      </c>
      <c r="H7" s="375">
        <f t="shared" si="0"/>
        <v>77532</v>
      </c>
      <c r="I7" s="301">
        <v>78600</v>
      </c>
      <c r="J7" s="301">
        <v>78612</v>
      </c>
      <c r="K7" s="301">
        <v>78612</v>
      </c>
      <c r="L7" s="301">
        <v>78682</v>
      </c>
      <c r="M7" s="301">
        <v>78682</v>
      </c>
      <c r="N7" s="301">
        <v>78682</v>
      </c>
      <c r="O7" s="376">
        <f t="shared" si="1"/>
        <v>937062</v>
      </c>
    </row>
    <row r="8" spans="1:15">
      <c r="A8" s="373">
        <v>4</v>
      </c>
      <c r="B8" s="300" t="str">
        <f>+BPJS!B8</f>
        <v>SURYANI</v>
      </c>
      <c r="C8" s="375">
        <f t="shared" si="2"/>
        <v>77532</v>
      </c>
      <c r="D8" s="375">
        <f t="shared" si="0"/>
        <v>77532</v>
      </c>
      <c r="E8" s="375">
        <f t="shared" si="0"/>
        <v>77532</v>
      </c>
      <c r="F8" s="375">
        <f t="shared" si="0"/>
        <v>77532</v>
      </c>
      <c r="G8" s="375">
        <f t="shared" si="0"/>
        <v>77532</v>
      </c>
      <c r="H8" s="375">
        <f t="shared" si="0"/>
        <v>77532</v>
      </c>
      <c r="I8" s="301">
        <v>78600</v>
      </c>
      <c r="J8" s="301">
        <v>78612</v>
      </c>
      <c r="K8" s="301">
        <v>78612</v>
      </c>
      <c r="L8" s="301">
        <v>78612</v>
      </c>
      <c r="M8" s="301">
        <v>78612</v>
      </c>
      <c r="N8" s="301">
        <v>78612</v>
      </c>
      <c r="O8" s="376">
        <f t="shared" si="1"/>
        <v>936852</v>
      </c>
    </row>
    <row r="9" spans="1:15">
      <c r="A9" s="373">
        <v>5</v>
      </c>
      <c r="B9" s="300" t="str">
        <f>+BPJS!B9</f>
        <v>SAHINA YUNI</v>
      </c>
      <c r="C9" s="375">
        <f t="shared" si="2"/>
        <v>77532</v>
      </c>
      <c r="D9" s="375">
        <f t="shared" si="0"/>
        <v>77532</v>
      </c>
      <c r="E9" s="375">
        <f t="shared" si="0"/>
        <v>77532</v>
      </c>
      <c r="F9" s="375">
        <f t="shared" si="0"/>
        <v>77532</v>
      </c>
      <c r="G9" s="375">
        <f t="shared" si="0"/>
        <v>77532</v>
      </c>
      <c r="H9" s="375">
        <f t="shared" si="0"/>
        <v>77532</v>
      </c>
      <c r="I9" s="301">
        <v>78530</v>
      </c>
      <c r="J9" s="301">
        <v>78542</v>
      </c>
      <c r="K9" s="301">
        <v>78542</v>
      </c>
      <c r="L9" s="301">
        <v>78542</v>
      </c>
      <c r="M9" s="301">
        <v>78542</v>
      </c>
      <c r="N9" s="301">
        <v>78612</v>
      </c>
      <c r="O9" s="376">
        <f t="shared" si="1"/>
        <v>936502</v>
      </c>
    </row>
    <row r="10" spans="1:15">
      <c r="A10" s="373">
        <v>6</v>
      </c>
      <c r="B10" s="300" t="str">
        <f>+BPJS!B10</f>
        <v>NURLELA</v>
      </c>
      <c r="C10" s="375">
        <f t="shared" si="2"/>
        <v>77532</v>
      </c>
      <c r="D10" s="375">
        <f t="shared" si="0"/>
        <v>77532</v>
      </c>
      <c r="E10" s="375">
        <f t="shared" si="0"/>
        <v>77532</v>
      </c>
      <c r="F10" s="375">
        <f t="shared" si="0"/>
        <v>77532</v>
      </c>
      <c r="G10" s="375">
        <f t="shared" si="0"/>
        <v>77532</v>
      </c>
      <c r="H10" s="375">
        <f t="shared" si="0"/>
        <v>77532</v>
      </c>
      <c r="I10" s="301">
        <v>79440</v>
      </c>
      <c r="J10" s="301">
        <v>79452</v>
      </c>
      <c r="K10" s="301">
        <v>79452</v>
      </c>
      <c r="L10" s="301">
        <v>79452</v>
      </c>
      <c r="M10" s="301">
        <v>79452</v>
      </c>
      <c r="N10" s="301">
        <v>79452</v>
      </c>
      <c r="O10" s="376">
        <f t="shared" si="1"/>
        <v>941892</v>
      </c>
    </row>
    <row r="11" spans="1:15">
      <c r="A11" s="373">
        <v>7</v>
      </c>
      <c r="B11" s="300" t="str">
        <f>+BPJS!B11</f>
        <v>SUSINARTI</v>
      </c>
      <c r="C11" s="375">
        <f t="shared" si="2"/>
        <v>77532</v>
      </c>
      <c r="D11" s="375">
        <f t="shared" si="0"/>
        <v>77532</v>
      </c>
      <c r="E11" s="375">
        <f t="shared" si="0"/>
        <v>77532</v>
      </c>
      <c r="F11" s="375">
        <f t="shared" si="0"/>
        <v>77532</v>
      </c>
      <c r="G11" s="375">
        <f t="shared" si="0"/>
        <v>77532</v>
      </c>
      <c r="H11" s="375">
        <f t="shared" si="0"/>
        <v>77532</v>
      </c>
      <c r="I11" s="301">
        <v>78460</v>
      </c>
      <c r="J11" s="301">
        <v>78472</v>
      </c>
      <c r="K11" s="301">
        <v>78472</v>
      </c>
      <c r="L11" s="301">
        <v>78542</v>
      </c>
      <c r="M11" s="301">
        <v>78542</v>
      </c>
      <c r="N11" s="301">
        <v>78542</v>
      </c>
      <c r="O11" s="376">
        <f t="shared" si="1"/>
        <v>936222</v>
      </c>
    </row>
    <row r="12" spans="1:15">
      <c r="A12" s="373">
        <v>8</v>
      </c>
      <c r="B12" s="300" t="str">
        <f>+BPJS!B12</f>
        <v>JAHIMIN</v>
      </c>
      <c r="C12" s="375">
        <f t="shared" si="2"/>
        <v>77532</v>
      </c>
      <c r="D12" s="375">
        <f t="shared" si="0"/>
        <v>77532</v>
      </c>
      <c r="E12" s="375">
        <f t="shared" si="0"/>
        <v>77532</v>
      </c>
      <c r="F12" s="375">
        <f t="shared" si="0"/>
        <v>77532</v>
      </c>
      <c r="G12" s="375">
        <f t="shared" si="0"/>
        <v>77532</v>
      </c>
      <c r="H12" s="375">
        <f t="shared" si="0"/>
        <v>77532</v>
      </c>
      <c r="I12" s="301">
        <v>79230</v>
      </c>
      <c r="J12" s="301">
        <v>79242</v>
      </c>
      <c r="K12" s="301">
        <v>79242</v>
      </c>
      <c r="L12" s="301">
        <v>79242</v>
      </c>
      <c r="M12" s="301">
        <v>79242</v>
      </c>
      <c r="N12" s="301">
        <v>79242</v>
      </c>
      <c r="O12" s="376">
        <f t="shared" si="1"/>
        <v>940632</v>
      </c>
    </row>
    <row r="13" spans="1:15">
      <c r="A13" s="373">
        <v>9</v>
      </c>
      <c r="B13" s="300" t="str">
        <f>+BPJS!B13</f>
        <v>GUSTAMI</v>
      </c>
      <c r="C13" s="375">
        <f t="shared" si="2"/>
        <v>77532</v>
      </c>
      <c r="D13" s="375">
        <f t="shared" si="0"/>
        <v>77532</v>
      </c>
      <c r="E13" s="375">
        <f t="shared" si="0"/>
        <v>77532</v>
      </c>
      <c r="F13" s="375">
        <f t="shared" si="0"/>
        <v>77532</v>
      </c>
      <c r="G13" s="375">
        <f t="shared" si="0"/>
        <v>77532</v>
      </c>
      <c r="H13" s="375">
        <f t="shared" si="0"/>
        <v>77532</v>
      </c>
      <c r="I13" s="301">
        <v>78180</v>
      </c>
      <c r="J13" s="301">
        <v>78192</v>
      </c>
      <c r="K13" s="301">
        <v>78192</v>
      </c>
      <c r="L13" s="301">
        <v>78192</v>
      </c>
      <c r="M13" s="301">
        <v>78192</v>
      </c>
      <c r="N13" s="301">
        <v>78262</v>
      </c>
      <c r="O13" s="376">
        <f t="shared" si="1"/>
        <v>934402</v>
      </c>
    </row>
    <row r="14" spans="1:15">
      <c r="A14" s="373">
        <v>10</v>
      </c>
      <c r="B14" s="300" t="str">
        <f>+BPJS!B14</f>
        <v>AGUS TRIANTIKA</v>
      </c>
      <c r="C14" s="375">
        <f t="shared" si="2"/>
        <v>77532</v>
      </c>
      <c r="D14" s="375">
        <f t="shared" si="0"/>
        <v>77532</v>
      </c>
      <c r="E14" s="375">
        <f t="shared" si="0"/>
        <v>77532</v>
      </c>
      <c r="F14" s="375">
        <f t="shared" si="0"/>
        <v>77532</v>
      </c>
      <c r="G14" s="375">
        <f t="shared" si="0"/>
        <v>77532</v>
      </c>
      <c r="H14" s="375">
        <f t="shared" si="0"/>
        <v>77532</v>
      </c>
      <c r="I14" s="301">
        <v>78000</v>
      </c>
      <c r="J14" s="301">
        <v>78072</v>
      </c>
      <c r="K14" s="301">
        <v>78072</v>
      </c>
      <c r="L14" s="301">
        <v>78072</v>
      </c>
      <c r="M14" s="301">
        <v>78072</v>
      </c>
      <c r="N14" s="301">
        <v>78072</v>
      </c>
      <c r="O14" s="376">
        <f t="shared" si="1"/>
        <v>933552</v>
      </c>
    </row>
    <row r="15" spans="1:15">
      <c r="A15" s="373">
        <v>11</v>
      </c>
      <c r="B15" s="300" t="str">
        <f>+BPJS!B15</f>
        <v>FIKA HOIRI</v>
      </c>
      <c r="C15" s="375">
        <f t="shared" si="2"/>
        <v>77532</v>
      </c>
      <c r="D15" s="375">
        <f t="shared" si="0"/>
        <v>77532</v>
      </c>
      <c r="E15" s="375">
        <f t="shared" si="0"/>
        <v>77532</v>
      </c>
      <c r="F15" s="375">
        <f t="shared" si="0"/>
        <v>77532</v>
      </c>
      <c r="G15" s="375">
        <f t="shared" si="0"/>
        <v>77532</v>
      </c>
      <c r="H15" s="375">
        <f t="shared" si="0"/>
        <v>77532</v>
      </c>
      <c r="I15" s="301">
        <v>77720</v>
      </c>
      <c r="J15" s="301">
        <v>77732</v>
      </c>
      <c r="K15" s="301">
        <v>77732</v>
      </c>
      <c r="L15" s="301">
        <v>77732</v>
      </c>
      <c r="M15" s="301">
        <v>77782</v>
      </c>
      <c r="N15" s="301">
        <v>77782</v>
      </c>
      <c r="O15" s="376">
        <f t="shared" si="1"/>
        <v>931672</v>
      </c>
    </row>
    <row r="16" spans="1:15">
      <c r="A16" s="373">
        <v>12</v>
      </c>
      <c r="B16" s="300" t="str">
        <f>+BPJS!B16</f>
        <v>NOPI HARIKA</v>
      </c>
      <c r="C16" s="375">
        <f t="shared" si="2"/>
        <v>77532</v>
      </c>
      <c r="D16" s="375">
        <f t="shared" si="0"/>
        <v>77532</v>
      </c>
      <c r="E16" s="375">
        <f t="shared" si="0"/>
        <v>77532</v>
      </c>
      <c r="F16" s="375">
        <f t="shared" si="0"/>
        <v>77532</v>
      </c>
      <c r="G16" s="375">
        <f t="shared" si="0"/>
        <v>77532</v>
      </c>
      <c r="H16" s="375">
        <f t="shared" si="0"/>
        <v>77532</v>
      </c>
      <c r="I16" s="301">
        <v>78530</v>
      </c>
      <c r="J16" s="301">
        <v>78542</v>
      </c>
      <c r="K16" s="301">
        <v>78542</v>
      </c>
      <c r="L16" s="301">
        <v>78542</v>
      </c>
      <c r="M16" s="301">
        <v>78542</v>
      </c>
      <c r="N16" s="301">
        <v>78542</v>
      </c>
      <c r="O16" s="376">
        <f t="shared" si="1"/>
        <v>936432</v>
      </c>
    </row>
    <row r="17" spans="1:15">
      <c r="A17" s="373">
        <v>13</v>
      </c>
      <c r="B17" s="300" t="str">
        <f>+BPJS!B17</f>
        <v>SARI IRIANTI</v>
      </c>
      <c r="C17" s="375">
        <f t="shared" si="2"/>
        <v>77532</v>
      </c>
      <c r="D17" s="375">
        <f t="shared" si="0"/>
        <v>77532</v>
      </c>
      <c r="E17" s="375">
        <f t="shared" si="0"/>
        <v>77532</v>
      </c>
      <c r="F17" s="375">
        <f t="shared" si="0"/>
        <v>77532</v>
      </c>
      <c r="G17" s="375">
        <f t="shared" si="0"/>
        <v>77532</v>
      </c>
      <c r="H17" s="375">
        <f t="shared" si="0"/>
        <v>77532</v>
      </c>
      <c r="I17" s="301">
        <v>78060</v>
      </c>
      <c r="J17" s="301">
        <v>78132</v>
      </c>
      <c r="K17" s="301">
        <v>78132</v>
      </c>
      <c r="L17" s="301">
        <v>78132</v>
      </c>
      <c r="M17" s="301">
        <v>78132</v>
      </c>
      <c r="N17" s="301">
        <v>78132</v>
      </c>
      <c r="O17" s="376">
        <f t="shared" si="1"/>
        <v>933912</v>
      </c>
    </row>
    <row r="18" spans="1:15">
      <c r="A18" s="373">
        <v>14</v>
      </c>
      <c r="B18" s="300" t="str">
        <f>+BPJS!B18</f>
        <v>ROSNANI</v>
      </c>
      <c r="C18" s="375">
        <f t="shared" si="2"/>
        <v>77532</v>
      </c>
      <c r="D18" s="375">
        <f t="shared" si="0"/>
        <v>77532</v>
      </c>
      <c r="E18" s="375">
        <f t="shared" si="0"/>
        <v>77532</v>
      </c>
      <c r="F18" s="375">
        <f t="shared" si="0"/>
        <v>77532</v>
      </c>
      <c r="G18" s="375">
        <f t="shared" si="0"/>
        <v>77532</v>
      </c>
      <c r="H18" s="375">
        <f t="shared" si="0"/>
        <v>77532</v>
      </c>
      <c r="I18" s="301">
        <v>78600</v>
      </c>
      <c r="J18" s="301">
        <v>78612</v>
      </c>
      <c r="K18" s="301">
        <v>78612</v>
      </c>
      <c r="L18" s="378">
        <v>78682</v>
      </c>
      <c r="M18" s="378">
        <v>78682</v>
      </c>
      <c r="N18" s="378">
        <v>78682</v>
      </c>
      <c r="O18" s="376">
        <f t="shared" si="1"/>
        <v>937062</v>
      </c>
    </row>
    <row r="19" spans="1:15">
      <c r="A19" s="373">
        <v>15</v>
      </c>
      <c r="B19" s="300" t="str">
        <f>+BPJS!B19</f>
        <v>YESI</v>
      </c>
      <c r="C19" s="375">
        <f t="shared" si="2"/>
        <v>77532</v>
      </c>
      <c r="D19" s="375">
        <f t="shared" si="0"/>
        <v>77532</v>
      </c>
      <c r="E19" s="375">
        <f t="shared" si="0"/>
        <v>77532</v>
      </c>
      <c r="F19" s="375">
        <f t="shared" si="0"/>
        <v>77532</v>
      </c>
      <c r="G19" s="375">
        <f t="shared" si="0"/>
        <v>77532</v>
      </c>
      <c r="H19" s="375">
        <f t="shared" si="0"/>
        <v>77532</v>
      </c>
      <c r="I19" s="301">
        <v>77940</v>
      </c>
      <c r="J19" s="301">
        <v>77952</v>
      </c>
      <c r="K19" s="301">
        <v>77952</v>
      </c>
      <c r="L19" s="301">
        <v>77952</v>
      </c>
      <c r="M19" s="301">
        <v>77952</v>
      </c>
      <c r="N19" s="301">
        <v>77952</v>
      </c>
      <c r="O19" s="376">
        <f t="shared" si="1"/>
        <v>932892</v>
      </c>
    </row>
    <row r="20" spans="1:15">
      <c r="A20" s="373">
        <v>16</v>
      </c>
      <c r="B20" s="300" t="str">
        <f>+BPJS!B20</f>
        <v>WAKINI</v>
      </c>
      <c r="C20" s="375">
        <f t="shared" si="2"/>
        <v>77532</v>
      </c>
      <c r="D20" s="375">
        <f t="shared" si="2"/>
        <v>77532</v>
      </c>
      <c r="E20" s="375">
        <f t="shared" si="2"/>
        <v>77532</v>
      </c>
      <c r="F20" s="375">
        <f t="shared" si="2"/>
        <v>77532</v>
      </c>
      <c r="G20" s="375">
        <f t="shared" si="2"/>
        <v>77532</v>
      </c>
      <c r="H20" s="375">
        <f t="shared" si="2"/>
        <v>77532</v>
      </c>
      <c r="I20" s="301">
        <v>77940</v>
      </c>
      <c r="J20" s="301">
        <v>77952</v>
      </c>
      <c r="K20" s="301">
        <v>77952</v>
      </c>
      <c r="L20" s="378">
        <v>77952</v>
      </c>
      <c r="M20" s="378">
        <v>77952</v>
      </c>
      <c r="N20" s="378">
        <v>77952</v>
      </c>
      <c r="O20" s="376">
        <f t="shared" si="1"/>
        <v>932892</v>
      </c>
    </row>
    <row r="21" spans="1:15">
      <c r="A21" s="373">
        <v>17</v>
      </c>
      <c r="B21" s="300" t="str">
        <f>+BPJS!B21</f>
        <v>WITA SARI</v>
      </c>
      <c r="C21" s="375">
        <f t="shared" ref="C21:H36" si="3">3876600*2%</f>
        <v>77532</v>
      </c>
      <c r="D21" s="375">
        <f t="shared" si="3"/>
        <v>77532</v>
      </c>
      <c r="E21" s="375">
        <f t="shared" si="3"/>
        <v>77532</v>
      </c>
      <c r="F21" s="375">
        <f t="shared" si="3"/>
        <v>77532</v>
      </c>
      <c r="G21" s="375">
        <f t="shared" si="3"/>
        <v>77532</v>
      </c>
      <c r="H21" s="375">
        <f t="shared" si="3"/>
        <v>77532</v>
      </c>
      <c r="I21" s="301">
        <v>77940</v>
      </c>
      <c r="J21" s="301">
        <v>77952</v>
      </c>
      <c r="K21" s="301">
        <v>77952</v>
      </c>
      <c r="L21" s="378">
        <v>77952</v>
      </c>
      <c r="M21" s="378">
        <v>77952</v>
      </c>
      <c r="N21" s="378">
        <v>77952</v>
      </c>
      <c r="O21" s="376">
        <f t="shared" si="1"/>
        <v>932892</v>
      </c>
    </row>
    <row r="22" spans="1:15">
      <c r="A22" s="373">
        <v>18</v>
      </c>
      <c r="B22" s="300" t="str">
        <f>+BPJS!B22</f>
        <v>SARWANDI</v>
      </c>
      <c r="C22" s="375">
        <f t="shared" si="3"/>
        <v>77532</v>
      </c>
      <c r="D22" s="375">
        <f t="shared" si="3"/>
        <v>77532</v>
      </c>
      <c r="E22" s="375">
        <f t="shared" si="3"/>
        <v>77532</v>
      </c>
      <c r="F22" s="375">
        <f t="shared" si="3"/>
        <v>77532</v>
      </c>
      <c r="G22" s="375">
        <f t="shared" si="3"/>
        <v>77532</v>
      </c>
      <c r="H22" s="375">
        <f t="shared" si="3"/>
        <v>77532</v>
      </c>
      <c r="I22" s="301">
        <v>78250</v>
      </c>
      <c r="J22" s="301">
        <v>78262</v>
      </c>
      <c r="K22" s="301">
        <v>78262</v>
      </c>
      <c r="L22" s="301">
        <v>78262</v>
      </c>
      <c r="M22" s="301">
        <v>78332</v>
      </c>
      <c r="N22" s="301">
        <v>78332</v>
      </c>
      <c r="O22" s="376">
        <f t="shared" si="1"/>
        <v>934892</v>
      </c>
    </row>
    <row r="23" spans="1:15">
      <c r="A23" s="373">
        <v>19</v>
      </c>
      <c r="B23" s="300" t="str">
        <f>+BPJS!B23</f>
        <v>ANI MARIA</v>
      </c>
      <c r="C23" s="375">
        <f t="shared" si="3"/>
        <v>77532</v>
      </c>
      <c r="D23" s="375">
        <f t="shared" si="3"/>
        <v>77532</v>
      </c>
      <c r="E23" s="375">
        <f t="shared" si="3"/>
        <v>77532</v>
      </c>
      <c r="F23" s="375">
        <f t="shared" si="3"/>
        <v>77532</v>
      </c>
      <c r="G23" s="375">
        <f t="shared" si="3"/>
        <v>77532</v>
      </c>
      <c r="H23" s="375">
        <f t="shared" si="3"/>
        <v>77532</v>
      </c>
      <c r="I23" s="301">
        <v>78530</v>
      </c>
      <c r="J23" s="301">
        <v>78542</v>
      </c>
      <c r="K23" s="301">
        <v>78542</v>
      </c>
      <c r="L23" s="378">
        <v>78542</v>
      </c>
      <c r="M23" s="378">
        <v>78542</v>
      </c>
      <c r="N23" s="378">
        <v>78542</v>
      </c>
      <c r="O23" s="376">
        <f t="shared" si="1"/>
        <v>936432</v>
      </c>
    </row>
    <row r="24" spans="1:15">
      <c r="A24" s="373">
        <v>20</v>
      </c>
      <c r="B24" s="300" t="str">
        <f>+BPJS!B24</f>
        <v>YULIARDI</v>
      </c>
      <c r="C24" s="375">
        <f t="shared" si="3"/>
        <v>77532</v>
      </c>
      <c r="D24" s="375">
        <f t="shared" si="3"/>
        <v>77532</v>
      </c>
      <c r="E24" s="375">
        <f t="shared" si="3"/>
        <v>77532</v>
      </c>
      <c r="F24" s="375">
        <f t="shared" si="3"/>
        <v>77532</v>
      </c>
      <c r="G24" s="375">
        <f t="shared" si="3"/>
        <v>77532</v>
      </c>
      <c r="H24" s="375">
        <f t="shared" si="3"/>
        <v>77532</v>
      </c>
      <c r="I24" s="301">
        <v>78530</v>
      </c>
      <c r="J24" s="301">
        <v>78542</v>
      </c>
      <c r="K24" s="301">
        <v>78542</v>
      </c>
      <c r="L24" s="301">
        <v>78542</v>
      </c>
      <c r="M24" s="301">
        <v>78542</v>
      </c>
      <c r="N24" s="301">
        <v>78542</v>
      </c>
      <c r="O24" s="376">
        <f t="shared" si="1"/>
        <v>936432</v>
      </c>
    </row>
    <row r="25" spans="1:15">
      <c r="A25" s="373">
        <v>21</v>
      </c>
      <c r="B25" s="300" t="str">
        <f>+BPJS!B25</f>
        <v>YADI</v>
      </c>
      <c r="C25" s="375">
        <f t="shared" si="3"/>
        <v>77532</v>
      </c>
      <c r="D25" s="375">
        <f t="shared" si="3"/>
        <v>77532</v>
      </c>
      <c r="E25" s="375">
        <f t="shared" si="3"/>
        <v>77532</v>
      </c>
      <c r="F25" s="375">
        <f t="shared" si="3"/>
        <v>77532</v>
      </c>
      <c r="G25" s="375">
        <f t="shared" si="3"/>
        <v>77532</v>
      </c>
      <c r="H25" s="375">
        <f t="shared" si="3"/>
        <v>77532</v>
      </c>
      <c r="I25" s="301">
        <v>78060</v>
      </c>
      <c r="J25" s="301">
        <v>78072</v>
      </c>
      <c r="K25" s="301">
        <v>78072</v>
      </c>
      <c r="L25" s="378">
        <v>78072</v>
      </c>
      <c r="M25" s="301">
        <v>78072</v>
      </c>
      <c r="N25" s="301">
        <v>78072</v>
      </c>
      <c r="O25" s="376">
        <f t="shared" si="1"/>
        <v>933612</v>
      </c>
    </row>
    <row r="26" spans="1:15">
      <c r="A26" s="373">
        <v>22</v>
      </c>
      <c r="B26" s="300" t="str">
        <f>+BPJS!B26</f>
        <v>YEKILIA</v>
      </c>
      <c r="C26" s="375">
        <f t="shared" si="3"/>
        <v>77532</v>
      </c>
      <c r="D26" s="375">
        <f t="shared" si="3"/>
        <v>77532</v>
      </c>
      <c r="E26" s="375">
        <f t="shared" si="3"/>
        <v>77532</v>
      </c>
      <c r="F26" s="375">
        <f t="shared" si="3"/>
        <v>77532</v>
      </c>
      <c r="G26" s="375">
        <f t="shared" si="3"/>
        <v>77532</v>
      </c>
      <c r="H26" s="375">
        <f t="shared" si="3"/>
        <v>77532</v>
      </c>
      <c r="I26" s="375">
        <v>77940</v>
      </c>
      <c r="J26" s="375">
        <v>77952</v>
      </c>
      <c r="K26" s="375">
        <v>77952</v>
      </c>
      <c r="L26" s="378">
        <v>77952</v>
      </c>
      <c r="M26" s="378">
        <v>77952</v>
      </c>
      <c r="N26" s="378">
        <v>77952</v>
      </c>
      <c r="O26" s="376">
        <f t="shared" si="1"/>
        <v>932892</v>
      </c>
    </row>
    <row r="27" spans="1:15">
      <c r="A27" s="373">
        <v>23</v>
      </c>
      <c r="B27" s="300" t="str">
        <f>+BPJS!B27</f>
        <v>LESMANA GIRI</v>
      </c>
      <c r="C27" s="375">
        <f t="shared" si="3"/>
        <v>77532</v>
      </c>
      <c r="D27" s="375">
        <f t="shared" si="3"/>
        <v>77532</v>
      </c>
      <c r="E27" s="375">
        <f t="shared" si="3"/>
        <v>77532</v>
      </c>
      <c r="F27" s="375">
        <f t="shared" si="3"/>
        <v>77532</v>
      </c>
      <c r="G27" s="375">
        <f t="shared" si="3"/>
        <v>77532</v>
      </c>
      <c r="H27" s="375">
        <f t="shared" si="3"/>
        <v>77532</v>
      </c>
      <c r="I27" s="301">
        <v>77570</v>
      </c>
      <c r="J27" s="301">
        <v>77632</v>
      </c>
      <c r="K27" s="301">
        <v>77632</v>
      </c>
      <c r="L27" s="378">
        <v>77632</v>
      </c>
      <c r="M27" s="378">
        <v>77632</v>
      </c>
      <c r="N27" s="378">
        <v>77632</v>
      </c>
      <c r="O27" s="376">
        <f t="shared" si="1"/>
        <v>930922</v>
      </c>
    </row>
    <row r="28" spans="1:15">
      <c r="A28" s="373">
        <v>24</v>
      </c>
      <c r="B28" s="300" t="str">
        <f>+BPJS!B28</f>
        <v>RAFIKA UDIN</v>
      </c>
      <c r="C28" s="375">
        <f t="shared" si="3"/>
        <v>77532</v>
      </c>
      <c r="D28" s="375">
        <f t="shared" si="3"/>
        <v>77532</v>
      </c>
      <c r="E28" s="375">
        <f t="shared" si="3"/>
        <v>77532</v>
      </c>
      <c r="F28" s="375">
        <f t="shared" si="3"/>
        <v>77532</v>
      </c>
      <c r="G28" s="375">
        <f t="shared" si="3"/>
        <v>77532</v>
      </c>
      <c r="H28" s="375">
        <f t="shared" si="3"/>
        <v>77532</v>
      </c>
      <c r="I28" s="393">
        <v>78060</v>
      </c>
      <c r="J28" s="393">
        <v>78072</v>
      </c>
      <c r="K28" s="393">
        <v>78072</v>
      </c>
      <c r="L28" s="393">
        <v>78072</v>
      </c>
      <c r="M28" s="415">
        <v>78072</v>
      </c>
      <c r="N28" s="393">
        <v>78072</v>
      </c>
      <c r="O28" s="394">
        <f t="shared" si="1"/>
        <v>933612</v>
      </c>
    </row>
    <row r="29" spans="1:15">
      <c r="A29" s="373">
        <v>25</v>
      </c>
      <c r="B29" s="300" t="str">
        <f>+BPJS!B29</f>
        <v>MARDIANSYAH</v>
      </c>
      <c r="C29" s="375">
        <f t="shared" si="3"/>
        <v>77532</v>
      </c>
      <c r="D29" s="375">
        <f t="shared" si="3"/>
        <v>77532</v>
      </c>
      <c r="E29" s="375">
        <f t="shared" si="3"/>
        <v>77532</v>
      </c>
      <c r="F29" s="375">
        <f t="shared" si="3"/>
        <v>77532</v>
      </c>
      <c r="G29" s="375">
        <f t="shared" si="3"/>
        <v>77532</v>
      </c>
      <c r="H29" s="375">
        <f t="shared" si="3"/>
        <v>77532</v>
      </c>
      <c r="I29" s="378">
        <v>78250</v>
      </c>
      <c r="J29" s="396">
        <v>78262</v>
      </c>
      <c r="K29" s="378">
        <v>78262</v>
      </c>
      <c r="L29" s="378">
        <v>78262</v>
      </c>
      <c r="M29" s="416">
        <v>78332</v>
      </c>
      <c r="N29" s="378">
        <v>78332</v>
      </c>
      <c r="O29" s="397">
        <f t="shared" si="1"/>
        <v>934892</v>
      </c>
    </row>
    <row r="30" spans="1:15">
      <c r="A30" s="373">
        <v>26</v>
      </c>
      <c r="B30" s="300" t="str">
        <f>+BPJS!B30</f>
        <v>SUTRISNO</v>
      </c>
      <c r="C30" s="375">
        <f t="shared" si="3"/>
        <v>77532</v>
      </c>
      <c r="D30" s="375">
        <f t="shared" si="3"/>
        <v>77532</v>
      </c>
      <c r="E30" s="375">
        <f t="shared" si="3"/>
        <v>77532</v>
      </c>
      <c r="F30" s="375">
        <f t="shared" si="3"/>
        <v>77532</v>
      </c>
      <c r="G30" s="375">
        <f t="shared" si="3"/>
        <v>77532</v>
      </c>
      <c r="H30" s="375">
        <f t="shared" si="3"/>
        <v>77532</v>
      </c>
      <c r="I30" s="491">
        <v>78460</v>
      </c>
      <c r="J30" s="491">
        <v>78472</v>
      </c>
      <c r="K30" s="491">
        <v>78472</v>
      </c>
      <c r="L30" s="491">
        <v>78472</v>
      </c>
      <c r="M30" s="492">
        <v>78542</v>
      </c>
      <c r="N30" s="543">
        <v>78542</v>
      </c>
      <c r="O30" s="397">
        <f t="shared" si="1"/>
        <v>936152</v>
      </c>
    </row>
    <row r="31" spans="1:15">
      <c r="A31" s="373">
        <v>27</v>
      </c>
      <c r="B31" s="300" t="str">
        <f>+BPJS!B31</f>
        <v>SLAMET UNTUNG</v>
      </c>
      <c r="C31" s="375">
        <f t="shared" si="3"/>
        <v>77532</v>
      </c>
      <c r="D31" s="375">
        <f t="shared" si="3"/>
        <v>77532</v>
      </c>
      <c r="E31" s="375">
        <f t="shared" si="3"/>
        <v>77532</v>
      </c>
      <c r="F31" s="375">
        <f t="shared" si="3"/>
        <v>77532</v>
      </c>
      <c r="G31" s="375">
        <f t="shared" si="3"/>
        <v>77532</v>
      </c>
      <c r="H31" s="375">
        <f t="shared" si="3"/>
        <v>77532</v>
      </c>
      <c r="I31" s="491">
        <v>77940</v>
      </c>
      <c r="J31" s="491">
        <v>77952</v>
      </c>
      <c r="K31" s="491">
        <v>77952</v>
      </c>
      <c r="L31" s="491">
        <v>77952</v>
      </c>
      <c r="M31" s="492">
        <v>77952</v>
      </c>
      <c r="N31" s="543">
        <v>77952</v>
      </c>
      <c r="O31" s="397">
        <f t="shared" si="1"/>
        <v>932892</v>
      </c>
    </row>
    <row r="32" spans="1:15">
      <c r="A32" s="373">
        <v>28</v>
      </c>
      <c r="B32" s="300" t="str">
        <f>+BPJS!B32</f>
        <v>WAFIQ AMANDA</v>
      </c>
      <c r="C32" s="375">
        <f t="shared" si="3"/>
        <v>77532</v>
      </c>
      <c r="D32" s="375">
        <f t="shared" si="3"/>
        <v>77532</v>
      </c>
      <c r="E32" s="375">
        <f t="shared" si="3"/>
        <v>77532</v>
      </c>
      <c r="F32" s="375">
        <f t="shared" si="3"/>
        <v>77532</v>
      </c>
      <c r="G32" s="375">
        <f t="shared" si="3"/>
        <v>77532</v>
      </c>
      <c r="H32" s="375">
        <f t="shared" si="3"/>
        <v>77532</v>
      </c>
      <c r="I32" s="375">
        <v>77520</v>
      </c>
      <c r="J32" s="375">
        <v>77582</v>
      </c>
      <c r="K32" s="375">
        <v>77582</v>
      </c>
      <c r="L32" s="301">
        <v>77582</v>
      </c>
      <c r="M32" s="375">
        <v>77582</v>
      </c>
      <c r="N32" s="301">
        <v>77582</v>
      </c>
      <c r="O32" s="395">
        <f t="shared" si="1"/>
        <v>930622</v>
      </c>
    </row>
    <row r="33" spans="1:15">
      <c r="A33" s="373">
        <v>29</v>
      </c>
      <c r="B33" s="300" t="str">
        <f>+BPJS!B33</f>
        <v>HERI GUNAWAN</v>
      </c>
      <c r="C33" s="375">
        <f t="shared" si="3"/>
        <v>77532</v>
      </c>
      <c r="D33" s="375">
        <f t="shared" si="3"/>
        <v>77532</v>
      </c>
      <c r="E33" s="375">
        <f t="shared" si="3"/>
        <v>77532</v>
      </c>
      <c r="F33" s="375">
        <f t="shared" si="3"/>
        <v>77532</v>
      </c>
      <c r="G33" s="375">
        <f t="shared" si="3"/>
        <v>77532</v>
      </c>
      <c r="H33" s="375">
        <f t="shared" si="3"/>
        <v>77532</v>
      </c>
      <c r="I33" s="375">
        <v>78530</v>
      </c>
      <c r="J33" s="375">
        <v>78542</v>
      </c>
      <c r="K33" s="375">
        <v>78542</v>
      </c>
      <c r="L33" s="301">
        <v>78542</v>
      </c>
      <c r="M33" s="301">
        <v>78612</v>
      </c>
      <c r="N33" s="301">
        <v>78612</v>
      </c>
      <c r="O33" s="376">
        <f t="shared" si="1"/>
        <v>936572</v>
      </c>
    </row>
    <row r="34" spans="1:15">
      <c r="A34" s="373">
        <v>30</v>
      </c>
      <c r="B34" s="300" t="str">
        <f>+BPJS!B34</f>
        <v>BOBI SAPUTRA</v>
      </c>
      <c r="C34" s="375">
        <f t="shared" si="3"/>
        <v>77532</v>
      </c>
      <c r="D34" s="375">
        <f t="shared" si="3"/>
        <v>77532</v>
      </c>
      <c r="E34" s="375">
        <f t="shared" si="3"/>
        <v>77532</v>
      </c>
      <c r="F34" s="375">
        <f t="shared" si="3"/>
        <v>77532</v>
      </c>
      <c r="G34" s="375">
        <f t="shared" si="3"/>
        <v>77532</v>
      </c>
      <c r="H34" s="375">
        <f t="shared" si="3"/>
        <v>77532</v>
      </c>
      <c r="I34" s="378">
        <v>78120</v>
      </c>
      <c r="J34" s="378">
        <v>78132</v>
      </c>
      <c r="K34" s="378">
        <v>78132</v>
      </c>
      <c r="L34" s="378">
        <v>78132</v>
      </c>
      <c r="M34" s="378">
        <v>78192</v>
      </c>
      <c r="N34" s="378">
        <v>78192</v>
      </c>
      <c r="O34" s="376">
        <f t="shared" si="1"/>
        <v>934092</v>
      </c>
    </row>
    <row r="35" spans="1:15">
      <c r="A35" s="373">
        <v>31</v>
      </c>
      <c r="B35" s="300" t="str">
        <f>+BPJS!B35</f>
        <v>JULIANSYAH</v>
      </c>
      <c r="C35" s="375">
        <f t="shared" si="3"/>
        <v>77532</v>
      </c>
      <c r="D35" s="375">
        <f t="shared" si="3"/>
        <v>77532</v>
      </c>
      <c r="E35" s="375">
        <f t="shared" si="3"/>
        <v>77532</v>
      </c>
      <c r="F35" s="375">
        <f t="shared" si="3"/>
        <v>77532</v>
      </c>
      <c r="G35" s="375">
        <f t="shared" si="3"/>
        <v>77532</v>
      </c>
      <c r="H35" s="375">
        <f t="shared" si="3"/>
        <v>77532</v>
      </c>
      <c r="I35" s="378">
        <v>78600</v>
      </c>
      <c r="J35" s="378">
        <v>78612</v>
      </c>
      <c r="K35" s="378">
        <v>78612</v>
      </c>
      <c r="L35" s="378">
        <v>78682</v>
      </c>
      <c r="M35" s="378">
        <v>78682</v>
      </c>
      <c r="N35" s="378">
        <v>78682</v>
      </c>
      <c r="O35" s="376">
        <f t="shared" si="1"/>
        <v>937062</v>
      </c>
    </row>
    <row r="36" spans="1:15">
      <c r="A36" s="373">
        <v>32</v>
      </c>
      <c r="B36" s="300" t="str">
        <f>+BPJS!B36</f>
        <v>ARDIANTO</v>
      </c>
      <c r="C36" s="375">
        <f t="shared" si="3"/>
        <v>77532</v>
      </c>
      <c r="D36" s="375">
        <f t="shared" si="3"/>
        <v>77532</v>
      </c>
      <c r="E36" s="375">
        <f t="shared" si="3"/>
        <v>77532</v>
      </c>
      <c r="F36" s="375">
        <f t="shared" si="3"/>
        <v>77532</v>
      </c>
      <c r="G36" s="375">
        <f t="shared" si="3"/>
        <v>77532</v>
      </c>
      <c r="H36" s="375">
        <f t="shared" si="3"/>
        <v>77532</v>
      </c>
      <c r="I36" s="301">
        <v>79370</v>
      </c>
      <c r="J36" s="301">
        <v>79382</v>
      </c>
      <c r="K36" s="301">
        <v>79382</v>
      </c>
      <c r="L36" s="301">
        <v>79382</v>
      </c>
      <c r="M36" s="301">
        <v>79382</v>
      </c>
      <c r="N36" s="301">
        <v>79382</v>
      </c>
      <c r="O36" s="376">
        <f t="shared" ref="O36:O67" si="4">SUM(C36:N36)</f>
        <v>941472</v>
      </c>
    </row>
    <row r="37" spans="1:15">
      <c r="A37" s="373">
        <v>33</v>
      </c>
      <c r="B37" s="300" t="str">
        <f>+BPJS!B37</f>
        <v xml:space="preserve">JUNI </v>
      </c>
      <c r="C37" s="375">
        <f t="shared" ref="C37:H52" si="5">3876600*2%</f>
        <v>77532</v>
      </c>
      <c r="D37" s="375">
        <f t="shared" si="5"/>
        <v>77532</v>
      </c>
      <c r="E37" s="375">
        <f t="shared" si="5"/>
        <v>77532</v>
      </c>
      <c r="F37" s="375">
        <f t="shared" si="5"/>
        <v>77532</v>
      </c>
      <c r="G37" s="375">
        <f t="shared" si="5"/>
        <v>77532</v>
      </c>
      <c r="H37" s="375">
        <f t="shared" si="5"/>
        <v>77532</v>
      </c>
      <c r="I37" s="301">
        <v>79300</v>
      </c>
      <c r="J37" s="301">
        <v>79312</v>
      </c>
      <c r="K37" s="301">
        <v>79312</v>
      </c>
      <c r="L37" s="301">
        <v>79312</v>
      </c>
      <c r="M37" s="301">
        <v>79312</v>
      </c>
      <c r="N37" s="301">
        <v>79312</v>
      </c>
      <c r="O37" s="376">
        <f t="shared" si="4"/>
        <v>941052</v>
      </c>
    </row>
    <row r="38" spans="1:15">
      <c r="A38" s="373">
        <v>34</v>
      </c>
      <c r="B38" s="300" t="str">
        <f>+BPJS!B38</f>
        <v>DARMAWAN</v>
      </c>
      <c r="C38" s="375">
        <f t="shared" si="5"/>
        <v>77532</v>
      </c>
      <c r="D38" s="375">
        <f t="shared" si="5"/>
        <v>77532</v>
      </c>
      <c r="E38" s="375">
        <f t="shared" si="5"/>
        <v>77532</v>
      </c>
      <c r="F38" s="375">
        <f t="shared" si="5"/>
        <v>77532</v>
      </c>
      <c r="G38" s="375">
        <f t="shared" si="5"/>
        <v>77532</v>
      </c>
      <c r="H38" s="375">
        <f t="shared" si="5"/>
        <v>77532</v>
      </c>
      <c r="I38" s="301">
        <v>79300</v>
      </c>
      <c r="J38" s="301">
        <v>79312</v>
      </c>
      <c r="K38" s="301">
        <v>79312</v>
      </c>
      <c r="L38" s="301">
        <v>79382</v>
      </c>
      <c r="M38" s="301">
        <v>79382</v>
      </c>
      <c r="N38" s="301">
        <v>79382</v>
      </c>
      <c r="O38" s="376">
        <f t="shared" si="4"/>
        <v>941262</v>
      </c>
    </row>
    <row r="39" spans="1:15">
      <c r="A39" s="373">
        <v>35</v>
      </c>
      <c r="B39" s="300" t="str">
        <f>+BPJS!B39</f>
        <v>DEDI NOPRIADI</v>
      </c>
      <c r="C39" s="375">
        <f t="shared" si="5"/>
        <v>77532</v>
      </c>
      <c r="D39" s="375">
        <f t="shared" si="5"/>
        <v>77532</v>
      </c>
      <c r="E39" s="375">
        <f t="shared" si="5"/>
        <v>77532</v>
      </c>
      <c r="F39" s="375">
        <f t="shared" si="5"/>
        <v>77532</v>
      </c>
      <c r="G39" s="375">
        <f t="shared" si="5"/>
        <v>77532</v>
      </c>
      <c r="H39" s="375">
        <f t="shared" si="5"/>
        <v>77532</v>
      </c>
      <c r="I39" s="301">
        <v>77880</v>
      </c>
      <c r="J39" s="301">
        <v>77892</v>
      </c>
      <c r="K39" s="301">
        <v>77952</v>
      </c>
      <c r="L39" s="301">
        <v>77952</v>
      </c>
      <c r="M39" s="301">
        <v>77952</v>
      </c>
      <c r="N39" s="301">
        <v>77952</v>
      </c>
      <c r="O39" s="376">
        <f t="shared" si="4"/>
        <v>932772</v>
      </c>
    </row>
    <row r="40" spans="1:15">
      <c r="A40" s="373">
        <v>36</v>
      </c>
      <c r="B40" s="300" t="str">
        <f>+BPJS!B40</f>
        <v>IRWANTO</v>
      </c>
      <c r="C40" s="375">
        <f t="shared" si="5"/>
        <v>77532</v>
      </c>
      <c r="D40" s="375">
        <f t="shared" si="5"/>
        <v>77532</v>
      </c>
      <c r="E40" s="375">
        <f t="shared" si="5"/>
        <v>77532</v>
      </c>
      <c r="F40" s="375">
        <f t="shared" si="5"/>
        <v>77532</v>
      </c>
      <c r="G40" s="375">
        <f t="shared" si="5"/>
        <v>77532</v>
      </c>
      <c r="H40" s="375">
        <f t="shared" si="5"/>
        <v>77532</v>
      </c>
      <c r="I40" s="301">
        <v>78530</v>
      </c>
      <c r="J40" s="301">
        <v>78542</v>
      </c>
      <c r="K40" s="301">
        <v>78542</v>
      </c>
      <c r="L40" s="301">
        <v>78542</v>
      </c>
      <c r="M40" s="301">
        <v>78542</v>
      </c>
      <c r="N40" s="301">
        <v>78542</v>
      </c>
      <c r="O40" s="376">
        <f t="shared" si="4"/>
        <v>936432</v>
      </c>
    </row>
    <row r="41" spans="1:15">
      <c r="A41" s="373">
        <v>37</v>
      </c>
      <c r="B41" s="300" t="str">
        <f>+BPJS!B41</f>
        <v>ISRIN YUNUPITA</v>
      </c>
      <c r="C41" s="375">
        <f t="shared" si="5"/>
        <v>77532</v>
      </c>
      <c r="D41" s="375">
        <f t="shared" si="5"/>
        <v>77532</v>
      </c>
      <c r="E41" s="375">
        <f t="shared" si="5"/>
        <v>77532</v>
      </c>
      <c r="F41" s="375">
        <f t="shared" si="5"/>
        <v>77532</v>
      </c>
      <c r="G41" s="375">
        <f t="shared" si="5"/>
        <v>77532</v>
      </c>
      <c r="H41" s="375">
        <f t="shared" si="5"/>
        <v>77532</v>
      </c>
      <c r="I41" s="301">
        <v>78180</v>
      </c>
      <c r="J41" s="301">
        <v>78262</v>
      </c>
      <c r="K41" s="301">
        <v>78262</v>
      </c>
      <c r="L41" s="301">
        <v>78262</v>
      </c>
      <c r="M41" s="301">
        <v>78262</v>
      </c>
      <c r="N41" s="301">
        <v>78262</v>
      </c>
      <c r="O41" s="376">
        <f t="shared" si="4"/>
        <v>934682</v>
      </c>
    </row>
    <row r="42" spans="1:15">
      <c r="A42" s="373">
        <v>38</v>
      </c>
      <c r="B42" s="300" t="str">
        <f>+BPJS!B42</f>
        <v>ARYANI.K</v>
      </c>
      <c r="C42" s="375">
        <f t="shared" si="5"/>
        <v>77532</v>
      </c>
      <c r="D42" s="375">
        <f t="shared" si="5"/>
        <v>77532</v>
      </c>
      <c r="E42" s="375">
        <f t="shared" si="5"/>
        <v>77532</v>
      </c>
      <c r="F42" s="375">
        <f t="shared" si="5"/>
        <v>77532</v>
      </c>
      <c r="G42" s="375">
        <f t="shared" si="5"/>
        <v>77532</v>
      </c>
      <c r="H42" s="375">
        <f t="shared" si="5"/>
        <v>77532</v>
      </c>
      <c r="I42" s="301">
        <v>78060</v>
      </c>
      <c r="J42" s="301">
        <v>78132</v>
      </c>
      <c r="K42" s="301">
        <v>78132</v>
      </c>
      <c r="L42" s="301">
        <v>78132</v>
      </c>
      <c r="M42" s="301">
        <v>78132</v>
      </c>
      <c r="N42" s="301">
        <v>78132</v>
      </c>
      <c r="O42" s="376">
        <f t="shared" si="4"/>
        <v>933912</v>
      </c>
    </row>
    <row r="43" spans="1:15">
      <c r="A43" s="373">
        <v>39</v>
      </c>
      <c r="B43" s="300" t="str">
        <f>+BPJS!B43</f>
        <v>HARYANTI ( K )</v>
      </c>
      <c r="C43" s="375">
        <f t="shared" si="5"/>
        <v>77532</v>
      </c>
      <c r="D43" s="375">
        <f t="shared" si="5"/>
        <v>77532</v>
      </c>
      <c r="E43" s="375">
        <f t="shared" si="5"/>
        <v>77532</v>
      </c>
      <c r="F43" s="375">
        <f t="shared" si="5"/>
        <v>77532</v>
      </c>
      <c r="G43" s="375">
        <f t="shared" si="5"/>
        <v>77532</v>
      </c>
      <c r="H43" s="375">
        <f t="shared" si="5"/>
        <v>77532</v>
      </c>
      <c r="I43" s="301">
        <v>78180</v>
      </c>
      <c r="J43" s="301">
        <v>78262</v>
      </c>
      <c r="K43" s="301">
        <v>78262</v>
      </c>
      <c r="L43" s="301">
        <v>78262</v>
      </c>
      <c r="M43" s="301">
        <v>78262</v>
      </c>
      <c r="N43" s="301">
        <v>78262</v>
      </c>
      <c r="O43" s="376">
        <f t="shared" si="4"/>
        <v>934682</v>
      </c>
    </row>
    <row r="44" spans="1:15">
      <c r="A44" s="373">
        <v>40</v>
      </c>
      <c r="B44" s="300" t="str">
        <f>+BPJS!B44</f>
        <v>YUNIAR</v>
      </c>
      <c r="C44" s="375">
        <f t="shared" si="5"/>
        <v>77532</v>
      </c>
      <c r="D44" s="375">
        <f t="shared" si="5"/>
        <v>77532</v>
      </c>
      <c r="E44" s="375">
        <f t="shared" si="5"/>
        <v>77532</v>
      </c>
      <c r="F44" s="375">
        <f t="shared" si="5"/>
        <v>77532</v>
      </c>
      <c r="G44" s="375">
        <f t="shared" si="5"/>
        <v>77532</v>
      </c>
      <c r="H44" s="375">
        <f t="shared" si="5"/>
        <v>77532</v>
      </c>
      <c r="I44" s="301">
        <v>78600</v>
      </c>
      <c r="J44" s="301">
        <v>78612</v>
      </c>
      <c r="K44" s="301">
        <v>78612</v>
      </c>
      <c r="L44" s="301">
        <v>78612</v>
      </c>
      <c r="M44" s="301">
        <v>78612</v>
      </c>
      <c r="N44" s="301">
        <v>78612</v>
      </c>
      <c r="O44" s="376">
        <f t="shared" si="4"/>
        <v>936852</v>
      </c>
    </row>
    <row r="45" spans="1:15">
      <c r="A45" s="373">
        <v>41</v>
      </c>
      <c r="B45" s="300" t="str">
        <f>+BPJS!B45</f>
        <v>NOVELA SYAKUR</v>
      </c>
      <c r="C45" s="375">
        <f t="shared" si="5"/>
        <v>77532</v>
      </c>
      <c r="D45" s="375">
        <f t="shared" si="5"/>
        <v>77532</v>
      </c>
      <c r="E45" s="375">
        <f t="shared" si="5"/>
        <v>77532</v>
      </c>
      <c r="F45" s="375">
        <f t="shared" si="5"/>
        <v>77532</v>
      </c>
      <c r="G45" s="375">
        <f t="shared" si="5"/>
        <v>77532</v>
      </c>
      <c r="H45" s="375">
        <f t="shared" si="5"/>
        <v>77532</v>
      </c>
      <c r="I45" s="301">
        <v>78000</v>
      </c>
      <c r="J45" s="301">
        <v>78012</v>
      </c>
      <c r="K45" s="301">
        <v>78012</v>
      </c>
      <c r="L45" s="301">
        <v>78012</v>
      </c>
      <c r="M45" s="301">
        <v>78012</v>
      </c>
      <c r="N45" s="301">
        <v>78012</v>
      </c>
      <c r="O45" s="376">
        <f t="shared" si="4"/>
        <v>933252</v>
      </c>
    </row>
    <row r="46" spans="1:15">
      <c r="A46" s="373">
        <v>42</v>
      </c>
      <c r="B46" s="300" t="str">
        <f>+BPJS!B46</f>
        <v>KUDIN</v>
      </c>
      <c r="C46" s="375">
        <f t="shared" si="5"/>
        <v>77532</v>
      </c>
      <c r="D46" s="375">
        <f t="shared" si="5"/>
        <v>77532</v>
      </c>
      <c r="E46" s="375">
        <f t="shared" si="5"/>
        <v>77532</v>
      </c>
      <c r="F46" s="375">
        <f t="shared" si="5"/>
        <v>77532</v>
      </c>
      <c r="G46" s="375">
        <f t="shared" si="5"/>
        <v>77532</v>
      </c>
      <c r="H46" s="375">
        <f t="shared" si="5"/>
        <v>77532</v>
      </c>
      <c r="I46" s="301">
        <v>77880</v>
      </c>
      <c r="J46" s="499"/>
      <c r="K46" s="499"/>
      <c r="L46" s="499"/>
      <c r="M46" s="499"/>
      <c r="N46" s="499"/>
      <c r="O46" s="376">
        <f t="shared" si="4"/>
        <v>543072</v>
      </c>
    </row>
    <row r="47" spans="1:15">
      <c r="A47" s="373">
        <v>43</v>
      </c>
      <c r="B47" s="300" t="str">
        <f>+BPJS!B47</f>
        <v>YULIATI</v>
      </c>
      <c r="C47" s="375">
        <f t="shared" si="5"/>
        <v>77532</v>
      </c>
      <c r="D47" s="375">
        <f t="shared" si="5"/>
        <v>77532</v>
      </c>
      <c r="E47" s="375">
        <f t="shared" si="5"/>
        <v>77532</v>
      </c>
      <c r="F47" s="375">
        <f t="shared" si="5"/>
        <v>77532</v>
      </c>
      <c r="G47" s="375">
        <f t="shared" si="5"/>
        <v>77532</v>
      </c>
      <c r="H47" s="375">
        <f t="shared" si="5"/>
        <v>77532</v>
      </c>
      <c r="I47" s="301">
        <v>78120</v>
      </c>
      <c r="J47" s="301">
        <v>78132</v>
      </c>
      <c r="K47" s="301">
        <v>78192</v>
      </c>
      <c r="L47" s="301">
        <v>78192</v>
      </c>
      <c r="M47" s="301">
        <v>78192</v>
      </c>
      <c r="N47" s="301">
        <v>78192</v>
      </c>
      <c r="O47" s="376">
        <f t="shared" si="4"/>
        <v>934212</v>
      </c>
    </row>
    <row r="48" spans="1:15">
      <c r="A48" s="373">
        <v>44</v>
      </c>
      <c r="B48" s="300" t="str">
        <f>+BPJS!B48</f>
        <v>ROHAYA</v>
      </c>
      <c r="C48" s="375">
        <f t="shared" si="5"/>
        <v>77532</v>
      </c>
      <c r="D48" s="375">
        <f t="shared" si="5"/>
        <v>77532</v>
      </c>
      <c r="E48" s="375">
        <f t="shared" si="5"/>
        <v>77532</v>
      </c>
      <c r="F48" s="375">
        <f t="shared" si="5"/>
        <v>77532</v>
      </c>
      <c r="G48" s="375">
        <f t="shared" si="5"/>
        <v>77532</v>
      </c>
      <c r="H48" s="375">
        <f t="shared" si="5"/>
        <v>77532</v>
      </c>
      <c r="I48" s="301">
        <v>78000</v>
      </c>
      <c r="J48" s="301">
        <v>78072</v>
      </c>
      <c r="K48" s="301">
        <v>78072</v>
      </c>
      <c r="L48" s="301">
        <v>78072</v>
      </c>
      <c r="M48" s="301">
        <v>78072</v>
      </c>
      <c r="N48" s="301">
        <v>78072</v>
      </c>
      <c r="O48" s="376">
        <f t="shared" si="4"/>
        <v>933552</v>
      </c>
    </row>
    <row r="49" spans="1:15">
      <c r="A49" s="373">
        <v>45</v>
      </c>
      <c r="B49" s="300" t="str">
        <f>+BPJS!B49</f>
        <v>ROSMIATI</v>
      </c>
      <c r="C49" s="375">
        <f t="shared" si="5"/>
        <v>77532</v>
      </c>
      <c r="D49" s="375">
        <f t="shared" si="5"/>
        <v>77532</v>
      </c>
      <c r="E49" s="375">
        <f t="shared" si="5"/>
        <v>77532</v>
      </c>
      <c r="F49" s="375">
        <f t="shared" si="5"/>
        <v>77532</v>
      </c>
      <c r="G49" s="375">
        <f t="shared" si="5"/>
        <v>77532</v>
      </c>
      <c r="H49" s="375">
        <f t="shared" si="5"/>
        <v>77532</v>
      </c>
      <c r="I49" s="301">
        <v>78120</v>
      </c>
      <c r="J49" s="301">
        <v>78132</v>
      </c>
      <c r="K49" s="301">
        <v>78132</v>
      </c>
      <c r="L49" s="301">
        <v>78132</v>
      </c>
      <c r="M49" s="301">
        <v>78192</v>
      </c>
      <c r="N49" s="301">
        <v>78192</v>
      </c>
      <c r="O49" s="376">
        <f t="shared" si="4"/>
        <v>934092</v>
      </c>
    </row>
    <row r="50" spans="1:15">
      <c r="A50" s="373">
        <v>46</v>
      </c>
      <c r="B50" s="300" t="str">
        <f>+BPJS!B50</f>
        <v>ROSMINI</v>
      </c>
      <c r="C50" s="375">
        <f t="shared" si="5"/>
        <v>77532</v>
      </c>
      <c r="D50" s="375">
        <f t="shared" si="5"/>
        <v>77532</v>
      </c>
      <c r="E50" s="375">
        <f t="shared" si="5"/>
        <v>77532</v>
      </c>
      <c r="F50" s="375">
        <f t="shared" si="5"/>
        <v>77532</v>
      </c>
      <c r="G50" s="375">
        <f t="shared" si="5"/>
        <v>77532</v>
      </c>
      <c r="H50" s="375">
        <f t="shared" si="5"/>
        <v>77532</v>
      </c>
      <c r="I50" s="301">
        <v>78000</v>
      </c>
      <c r="J50" s="301">
        <v>78012</v>
      </c>
      <c r="K50" s="301">
        <v>78012</v>
      </c>
      <c r="L50" s="301">
        <v>78012</v>
      </c>
      <c r="M50" s="301">
        <v>78072</v>
      </c>
      <c r="N50" s="301">
        <v>78072</v>
      </c>
      <c r="O50" s="376">
        <f t="shared" si="4"/>
        <v>933372</v>
      </c>
    </row>
    <row r="51" spans="1:15">
      <c r="A51" s="373">
        <v>47</v>
      </c>
      <c r="B51" s="300" t="str">
        <f>+BPJS!B51</f>
        <v>KURI</v>
      </c>
      <c r="C51" s="375">
        <f t="shared" si="5"/>
        <v>77532</v>
      </c>
      <c r="D51" s="375">
        <f t="shared" si="5"/>
        <v>77532</v>
      </c>
      <c r="E51" s="375">
        <f t="shared" si="5"/>
        <v>77532</v>
      </c>
      <c r="F51" s="375">
        <f t="shared" si="5"/>
        <v>77532</v>
      </c>
      <c r="G51" s="375">
        <f t="shared" si="5"/>
        <v>77532</v>
      </c>
      <c r="H51" s="375">
        <f t="shared" si="5"/>
        <v>77532</v>
      </c>
      <c r="I51" s="301">
        <v>79300</v>
      </c>
      <c r="J51" s="301">
        <v>79312</v>
      </c>
      <c r="K51" s="301">
        <v>79312</v>
      </c>
      <c r="L51" s="301">
        <v>79312</v>
      </c>
      <c r="M51" s="301">
        <v>79312</v>
      </c>
      <c r="N51" s="301">
        <v>79312</v>
      </c>
      <c r="O51" s="376">
        <f t="shared" si="4"/>
        <v>941052</v>
      </c>
    </row>
    <row r="52" spans="1:15">
      <c r="A52" s="373">
        <v>48</v>
      </c>
      <c r="B52" s="300" t="str">
        <f>+BPJS!B52</f>
        <v>BASTIAR</v>
      </c>
      <c r="C52" s="375">
        <f t="shared" si="5"/>
        <v>77532</v>
      </c>
      <c r="D52" s="375">
        <f t="shared" si="5"/>
        <v>77532</v>
      </c>
      <c r="E52" s="375">
        <f t="shared" si="5"/>
        <v>77532</v>
      </c>
      <c r="F52" s="375">
        <f t="shared" si="5"/>
        <v>77532</v>
      </c>
      <c r="G52" s="375">
        <f t="shared" si="5"/>
        <v>77532</v>
      </c>
      <c r="H52" s="375">
        <f t="shared" si="5"/>
        <v>77532</v>
      </c>
      <c r="I52" s="301">
        <v>78000</v>
      </c>
      <c r="J52" s="301">
        <v>78012</v>
      </c>
      <c r="K52" s="301">
        <v>78012</v>
      </c>
      <c r="L52" s="301">
        <v>78012</v>
      </c>
      <c r="M52" s="301">
        <v>78012</v>
      </c>
      <c r="N52" s="301">
        <v>78072</v>
      </c>
      <c r="O52" s="376">
        <f t="shared" si="4"/>
        <v>933312</v>
      </c>
    </row>
    <row r="53" spans="1:15">
      <c r="A53" s="373">
        <v>49</v>
      </c>
      <c r="B53" s="300" t="str">
        <f>+BPJS!B53</f>
        <v>ADIYANSA</v>
      </c>
      <c r="C53" s="375">
        <f t="shared" ref="C53:H68" si="6">3876600*2%</f>
        <v>77532</v>
      </c>
      <c r="D53" s="375">
        <f t="shared" si="6"/>
        <v>77532</v>
      </c>
      <c r="E53" s="375">
        <f t="shared" si="6"/>
        <v>77532</v>
      </c>
      <c r="F53" s="375">
        <f t="shared" si="6"/>
        <v>77532</v>
      </c>
      <c r="G53" s="375">
        <f t="shared" si="6"/>
        <v>77532</v>
      </c>
      <c r="H53" s="375">
        <f t="shared" si="6"/>
        <v>77532</v>
      </c>
      <c r="I53" s="301">
        <v>77940</v>
      </c>
      <c r="J53" s="301">
        <v>77952</v>
      </c>
      <c r="K53" s="301">
        <v>77952</v>
      </c>
      <c r="L53" s="301">
        <v>77952</v>
      </c>
      <c r="M53" s="301">
        <v>77952</v>
      </c>
      <c r="N53" s="301">
        <v>77952</v>
      </c>
      <c r="O53" s="376">
        <f t="shared" si="4"/>
        <v>932892</v>
      </c>
    </row>
    <row r="54" spans="1:15">
      <c r="A54" s="373">
        <v>50</v>
      </c>
      <c r="B54" s="300" t="str">
        <f>+BPJS!B54</f>
        <v>RUDI SETIAWAN</v>
      </c>
      <c r="C54" s="375">
        <f t="shared" si="6"/>
        <v>77532</v>
      </c>
      <c r="D54" s="375">
        <f t="shared" si="6"/>
        <v>77532</v>
      </c>
      <c r="E54" s="375">
        <f t="shared" si="6"/>
        <v>77532</v>
      </c>
      <c r="F54" s="375">
        <f t="shared" si="6"/>
        <v>77532</v>
      </c>
      <c r="G54" s="375">
        <f t="shared" si="6"/>
        <v>77532</v>
      </c>
      <c r="H54" s="375">
        <f t="shared" si="6"/>
        <v>77532</v>
      </c>
      <c r="I54" s="301">
        <v>77620</v>
      </c>
      <c r="J54" s="301">
        <v>77632</v>
      </c>
      <c r="K54" s="301">
        <v>77632</v>
      </c>
      <c r="L54" s="301">
        <v>77632</v>
      </c>
      <c r="M54" s="301">
        <v>77632</v>
      </c>
      <c r="N54" s="301">
        <v>77682</v>
      </c>
      <c r="O54" s="376">
        <f t="shared" si="4"/>
        <v>931022</v>
      </c>
    </row>
    <row r="55" spans="1:15">
      <c r="A55" s="373">
        <v>51</v>
      </c>
      <c r="B55" s="300" t="str">
        <f>+BPJS!B55</f>
        <v>MARYANTO</v>
      </c>
      <c r="C55" s="375">
        <f t="shared" si="6"/>
        <v>77532</v>
      </c>
      <c r="D55" s="375">
        <f t="shared" si="6"/>
        <v>77532</v>
      </c>
      <c r="E55" s="375">
        <f t="shared" si="6"/>
        <v>77532</v>
      </c>
      <c r="F55" s="375">
        <f t="shared" si="6"/>
        <v>77532</v>
      </c>
      <c r="G55" s="375">
        <f t="shared" si="6"/>
        <v>77532</v>
      </c>
      <c r="H55" s="375">
        <f t="shared" si="6"/>
        <v>77532</v>
      </c>
      <c r="I55" s="301">
        <v>78460</v>
      </c>
      <c r="J55" s="301">
        <v>78472</v>
      </c>
      <c r="K55" s="301">
        <v>78472</v>
      </c>
      <c r="L55" s="301">
        <v>78542</v>
      </c>
      <c r="M55" s="301">
        <v>78542</v>
      </c>
      <c r="N55" s="301">
        <v>78542</v>
      </c>
      <c r="O55" s="376">
        <f t="shared" si="4"/>
        <v>936222</v>
      </c>
    </row>
    <row r="56" spans="1:15">
      <c r="A56" s="373">
        <v>52</v>
      </c>
      <c r="B56" s="300" t="str">
        <f>+BPJS!B56</f>
        <v>SRI REJEKI</v>
      </c>
      <c r="C56" s="375">
        <f t="shared" si="6"/>
        <v>77532</v>
      </c>
      <c r="D56" s="375">
        <f t="shared" si="6"/>
        <v>77532</v>
      </c>
      <c r="E56" s="375">
        <f t="shared" si="6"/>
        <v>77532</v>
      </c>
      <c r="F56" s="375">
        <f t="shared" si="6"/>
        <v>77532</v>
      </c>
      <c r="G56" s="375">
        <f t="shared" si="6"/>
        <v>77532</v>
      </c>
      <c r="H56" s="375">
        <f t="shared" si="6"/>
        <v>77532</v>
      </c>
      <c r="I56" s="301">
        <v>78600</v>
      </c>
      <c r="J56" s="301">
        <v>78612</v>
      </c>
      <c r="K56" s="301">
        <v>78612</v>
      </c>
      <c r="L56" s="301">
        <v>78682</v>
      </c>
      <c r="M56" s="301">
        <v>78682</v>
      </c>
      <c r="N56" s="301">
        <v>78682</v>
      </c>
      <c r="O56" s="376">
        <f t="shared" si="4"/>
        <v>937062</v>
      </c>
    </row>
    <row r="57" spans="1:15">
      <c r="A57" s="373">
        <v>53</v>
      </c>
      <c r="B57" s="300" t="str">
        <f>+BPJS!B57</f>
        <v>SARTIKA</v>
      </c>
      <c r="C57" s="375">
        <f t="shared" si="6"/>
        <v>77532</v>
      </c>
      <c r="D57" s="375">
        <f t="shared" si="6"/>
        <v>77532</v>
      </c>
      <c r="E57" s="375">
        <f t="shared" si="6"/>
        <v>77532</v>
      </c>
      <c r="F57" s="375">
        <f t="shared" si="6"/>
        <v>77532</v>
      </c>
      <c r="G57" s="375">
        <f t="shared" si="6"/>
        <v>77532</v>
      </c>
      <c r="H57" s="375">
        <f t="shared" si="6"/>
        <v>77532</v>
      </c>
      <c r="I57" s="301">
        <v>78460</v>
      </c>
      <c r="J57" s="301">
        <v>78472</v>
      </c>
      <c r="K57" s="301">
        <v>78472</v>
      </c>
      <c r="L57" s="301">
        <v>78542</v>
      </c>
      <c r="M57" s="301">
        <v>78542</v>
      </c>
      <c r="N57" s="301">
        <v>78542</v>
      </c>
      <c r="O57" s="376">
        <f t="shared" si="4"/>
        <v>936222</v>
      </c>
    </row>
    <row r="58" spans="1:15">
      <c r="A58" s="373">
        <v>54</v>
      </c>
      <c r="B58" s="300" t="str">
        <f>+BPJS!B58</f>
        <v>MIRNA</v>
      </c>
      <c r="C58" s="375">
        <f t="shared" si="6"/>
        <v>77532</v>
      </c>
      <c r="D58" s="375">
        <f t="shared" si="6"/>
        <v>77532</v>
      </c>
      <c r="E58" s="375">
        <f t="shared" si="6"/>
        <v>77532</v>
      </c>
      <c r="F58" s="375">
        <f t="shared" si="6"/>
        <v>77532</v>
      </c>
      <c r="G58" s="375">
        <f t="shared" si="6"/>
        <v>77532</v>
      </c>
      <c r="H58" s="375">
        <f t="shared" si="6"/>
        <v>77532</v>
      </c>
      <c r="I58" s="301">
        <v>78180</v>
      </c>
      <c r="J58" s="301">
        <v>78262</v>
      </c>
      <c r="K58" s="301">
        <v>78262</v>
      </c>
      <c r="L58" s="301">
        <v>78262</v>
      </c>
      <c r="M58" s="301">
        <v>78262</v>
      </c>
      <c r="N58" s="301">
        <v>78262</v>
      </c>
      <c r="O58" s="376">
        <f t="shared" si="4"/>
        <v>934682</v>
      </c>
    </row>
    <row r="59" spans="1:15">
      <c r="A59" s="373">
        <v>55</v>
      </c>
      <c r="B59" s="300" t="str">
        <f>+BPJS!B59</f>
        <v>ROZATI</v>
      </c>
      <c r="C59" s="375">
        <f t="shared" si="6"/>
        <v>77532</v>
      </c>
      <c r="D59" s="375">
        <f t="shared" si="6"/>
        <v>77532</v>
      </c>
      <c r="E59" s="375">
        <f t="shared" si="6"/>
        <v>77532</v>
      </c>
      <c r="F59" s="375">
        <f t="shared" si="6"/>
        <v>77532</v>
      </c>
      <c r="G59" s="375">
        <f t="shared" si="6"/>
        <v>77532</v>
      </c>
      <c r="H59" s="375">
        <f t="shared" si="6"/>
        <v>77532</v>
      </c>
      <c r="I59" s="301">
        <v>77940</v>
      </c>
      <c r="J59" s="301">
        <v>77952</v>
      </c>
      <c r="K59" s="301">
        <v>77952</v>
      </c>
      <c r="L59" s="301">
        <v>77952</v>
      </c>
      <c r="M59" s="301">
        <v>77952</v>
      </c>
      <c r="N59" s="301">
        <v>77952</v>
      </c>
      <c r="O59" s="376">
        <f t="shared" si="4"/>
        <v>932892</v>
      </c>
    </row>
    <row r="60" spans="1:15">
      <c r="A60" s="373">
        <v>56</v>
      </c>
      <c r="B60" s="300" t="str">
        <f>+BPJS!B60</f>
        <v>SAHWEDI</v>
      </c>
      <c r="C60" s="375">
        <f t="shared" si="6"/>
        <v>77532</v>
      </c>
      <c r="D60" s="375">
        <f t="shared" si="6"/>
        <v>77532</v>
      </c>
      <c r="E60" s="375">
        <f t="shared" si="6"/>
        <v>77532</v>
      </c>
      <c r="F60" s="375">
        <f t="shared" si="6"/>
        <v>77532</v>
      </c>
      <c r="G60" s="375">
        <f t="shared" si="6"/>
        <v>77532</v>
      </c>
      <c r="H60" s="375">
        <f t="shared" si="6"/>
        <v>77532</v>
      </c>
      <c r="I60" s="301">
        <v>77670</v>
      </c>
      <c r="J60" s="301">
        <v>77682</v>
      </c>
      <c r="K60" s="301">
        <v>77682</v>
      </c>
      <c r="L60" s="301">
        <v>77682</v>
      </c>
      <c r="M60" s="301">
        <v>77682</v>
      </c>
      <c r="N60" s="301">
        <v>77682</v>
      </c>
      <c r="O60" s="376">
        <f t="shared" si="4"/>
        <v>931272</v>
      </c>
    </row>
    <row r="61" spans="1:15">
      <c r="A61" s="373">
        <v>57</v>
      </c>
      <c r="B61" s="300" t="str">
        <f>+BPJS!B61</f>
        <v>RUKMAN</v>
      </c>
      <c r="C61" s="375">
        <f t="shared" si="6"/>
        <v>77532</v>
      </c>
      <c r="D61" s="375">
        <f t="shared" si="6"/>
        <v>77532</v>
      </c>
      <c r="E61" s="375">
        <f t="shared" si="6"/>
        <v>77532</v>
      </c>
      <c r="F61" s="375">
        <f t="shared" si="6"/>
        <v>77532</v>
      </c>
      <c r="G61" s="375">
        <f t="shared" si="6"/>
        <v>77532</v>
      </c>
      <c r="H61" s="375">
        <f t="shared" si="6"/>
        <v>77532</v>
      </c>
      <c r="I61" s="301">
        <v>78460</v>
      </c>
      <c r="J61" s="301">
        <v>78472</v>
      </c>
      <c r="K61" s="301">
        <v>78472</v>
      </c>
      <c r="L61" s="301">
        <v>78472</v>
      </c>
      <c r="M61" s="301">
        <v>78472</v>
      </c>
      <c r="N61" s="301">
        <v>78472</v>
      </c>
      <c r="O61" s="376">
        <f t="shared" si="4"/>
        <v>936012</v>
      </c>
    </row>
    <row r="62" spans="1:15">
      <c r="A62" s="373">
        <v>58</v>
      </c>
      <c r="B62" s="300" t="str">
        <f>+BPJS!B62</f>
        <v>AGUSTIONO</v>
      </c>
      <c r="C62" s="375">
        <f t="shared" si="6"/>
        <v>77532</v>
      </c>
      <c r="D62" s="375">
        <f t="shared" si="6"/>
        <v>77532</v>
      </c>
      <c r="E62" s="375">
        <f t="shared" si="6"/>
        <v>77532</v>
      </c>
      <c r="F62" s="375">
        <f t="shared" si="6"/>
        <v>77532</v>
      </c>
      <c r="G62" s="375">
        <f t="shared" si="6"/>
        <v>77532</v>
      </c>
      <c r="H62" s="375">
        <f t="shared" si="6"/>
        <v>77532</v>
      </c>
      <c r="I62" s="301">
        <v>78530</v>
      </c>
      <c r="J62" s="301">
        <v>78542</v>
      </c>
      <c r="K62" s="301">
        <v>78542</v>
      </c>
      <c r="L62" s="301">
        <v>78542</v>
      </c>
      <c r="M62" s="301">
        <v>78542</v>
      </c>
      <c r="N62" s="301">
        <v>78542</v>
      </c>
      <c r="O62" s="376">
        <f t="shared" si="4"/>
        <v>936432</v>
      </c>
    </row>
    <row r="63" spans="1:15">
      <c r="A63" s="373">
        <v>59</v>
      </c>
      <c r="B63" s="300" t="str">
        <f>+BPJS!B63</f>
        <v>TONGAM PARNINGTON SAMOSIR</v>
      </c>
      <c r="C63" s="375">
        <f t="shared" si="6"/>
        <v>77532</v>
      </c>
      <c r="D63" s="375">
        <f t="shared" si="6"/>
        <v>77532</v>
      </c>
      <c r="E63" s="375">
        <f t="shared" si="6"/>
        <v>77532</v>
      </c>
      <c r="F63" s="375">
        <f t="shared" si="6"/>
        <v>77532</v>
      </c>
      <c r="G63" s="375">
        <f t="shared" si="6"/>
        <v>77532</v>
      </c>
      <c r="H63" s="375">
        <f t="shared" si="6"/>
        <v>77532</v>
      </c>
      <c r="I63" s="301">
        <v>78320</v>
      </c>
      <c r="J63" s="301">
        <v>78332</v>
      </c>
      <c r="K63" s="301">
        <v>78332</v>
      </c>
      <c r="L63" s="301">
        <v>78332</v>
      </c>
      <c r="M63" s="301">
        <v>78402</v>
      </c>
      <c r="N63" s="301">
        <v>78402</v>
      </c>
      <c r="O63" s="376">
        <f t="shared" si="4"/>
        <v>935312</v>
      </c>
    </row>
    <row r="64" spans="1:15">
      <c r="A64" s="373">
        <v>60</v>
      </c>
      <c r="B64" s="300" t="str">
        <f>+BPJS!B64</f>
        <v>ANUAR</v>
      </c>
      <c r="C64" s="375">
        <f t="shared" si="6"/>
        <v>77532</v>
      </c>
      <c r="D64" s="375">
        <f t="shared" si="6"/>
        <v>77532</v>
      </c>
      <c r="E64" s="375">
        <f t="shared" si="6"/>
        <v>77532</v>
      </c>
      <c r="F64" s="375">
        <f t="shared" si="6"/>
        <v>77532</v>
      </c>
      <c r="G64" s="375">
        <f t="shared" si="6"/>
        <v>77532</v>
      </c>
      <c r="H64" s="375">
        <f t="shared" si="6"/>
        <v>77532</v>
      </c>
      <c r="I64" s="301">
        <v>78530</v>
      </c>
      <c r="J64" s="301">
        <v>78542</v>
      </c>
      <c r="K64" s="301">
        <v>78542</v>
      </c>
      <c r="L64" s="301">
        <v>78542</v>
      </c>
      <c r="M64" s="301">
        <v>78542</v>
      </c>
      <c r="N64" s="301">
        <v>78542</v>
      </c>
      <c r="O64" s="376">
        <f t="shared" si="4"/>
        <v>936432</v>
      </c>
    </row>
    <row r="65" spans="1:15">
      <c r="A65" s="373">
        <v>61</v>
      </c>
      <c r="B65" s="300" t="str">
        <f>+BPJS!B65</f>
        <v>YUNIAR ANDRIANTI</v>
      </c>
      <c r="C65" s="375">
        <f t="shared" si="6"/>
        <v>77532</v>
      </c>
      <c r="D65" s="375">
        <f t="shared" si="6"/>
        <v>77532</v>
      </c>
      <c r="E65" s="375">
        <f t="shared" si="6"/>
        <v>77532</v>
      </c>
      <c r="F65" s="375">
        <f t="shared" si="6"/>
        <v>77532</v>
      </c>
      <c r="G65" s="375">
        <f t="shared" si="6"/>
        <v>77532</v>
      </c>
      <c r="H65" s="375">
        <f t="shared" si="6"/>
        <v>77532</v>
      </c>
      <c r="I65" s="301">
        <v>78460</v>
      </c>
      <c r="J65" s="301">
        <v>78472</v>
      </c>
      <c r="K65" s="301">
        <v>78472</v>
      </c>
      <c r="L65" s="301">
        <v>78542</v>
      </c>
      <c r="M65" s="301">
        <v>78542</v>
      </c>
      <c r="N65" s="301">
        <v>78542</v>
      </c>
      <c r="O65" s="376">
        <f t="shared" si="4"/>
        <v>936222</v>
      </c>
    </row>
    <row r="66" spans="1:15">
      <c r="A66" s="373">
        <v>62</v>
      </c>
      <c r="B66" s="300" t="str">
        <f>+BPJS!B66</f>
        <v>LISA JAYANTI</v>
      </c>
      <c r="C66" s="375">
        <f t="shared" si="6"/>
        <v>77532</v>
      </c>
      <c r="D66" s="375">
        <f t="shared" si="6"/>
        <v>77532</v>
      </c>
      <c r="E66" s="375">
        <f t="shared" si="6"/>
        <v>77532</v>
      </c>
      <c r="F66" s="375">
        <f t="shared" si="6"/>
        <v>77532</v>
      </c>
      <c r="G66" s="375">
        <f t="shared" si="6"/>
        <v>77532</v>
      </c>
      <c r="H66" s="375">
        <f t="shared" si="6"/>
        <v>77532</v>
      </c>
      <c r="I66" s="301">
        <v>78250</v>
      </c>
      <c r="J66" s="301">
        <v>78262</v>
      </c>
      <c r="K66" s="301">
        <v>78262</v>
      </c>
      <c r="L66" s="301">
        <v>78262</v>
      </c>
      <c r="M66" s="301">
        <v>78332</v>
      </c>
      <c r="N66" s="301">
        <v>78332</v>
      </c>
      <c r="O66" s="376">
        <f t="shared" si="4"/>
        <v>934892</v>
      </c>
    </row>
    <row r="67" spans="1:15">
      <c r="A67" s="373">
        <v>63</v>
      </c>
      <c r="B67" s="300" t="str">
        <f>+BPJS!B67</f>
        <v>RUSDIN</v>
      </c>
      <c r="C67" s="375">
        <f t="shared" si="6"/>
        <v>77532</v>
      </c>
      <c r="D67" s="375">
        <f t="shared" si="6"/>
        <v>77532</v>
      </c>
      <c r="E67" s="375">
        <f t="shared" si="6"/>
        <v>77532</v>
      </c>
      <c r="F67" s="375">
        <f t="shared" si="6"/>
        <v>77532</v>
      </c>
      <c r="G67" s="375">
        <f t="shared" si="6"/>
        <v>77532</v>
      </c>
      <c r="H67" s="375">
        <f t="shared" si="6"/>
        <v>77532</v>
      </c>
      <c r="I67" s="301">
        <v>78530</v>
      </c>
      <c r="J67" s="301">
        <v>78542</v>
      </c>
      <c r="K67" s="301">
        <v>78542</v>
      </c>
      <c r="L67" s="301">
        <v>78542</v>
      </c>
      <c r="M67" s="301">
        <v>78542</v>
      </c>
      <c r="N67" s="301">
        <v>78612</v>
      </c>
      <c r="O67" s="376">
        <f t="shared" si="4"/>
        <v>936502</v>
      </c>
    </row>
    <row r="68" spans="1:15">
      <c r="A68" s="373">
        <v>64</v>
      </c>
      <c r="B68" s="300" t="str">
        <f>+BPJS!B68</f>
        <v>FREDI S</v>
      </c>
      <c r="C68" s="375">
        <f t="shared" si="6"/>
        <v>77532</v>
      </c>
      <c r="D68" s="375">
        <f t="shared" si="6"/>
        <v>77532</v>
      </c>
      <c r="E68" s="375">
        <f t="shared" si="6"/>
        <v>77532</v>
      </c>
      <c r="F68" s="375">
        <f t="shared" si="6"/>
        <v>77532</v>
      </c>
      <c r="G68" s="375">
        <f t="shared" si="6"/>
        <v>77532</v>
      </c>
      <c r="H68" s="375">
        <f t="shared" si="6"/>
        <v>77532</v>
      </c>
      <c r="I68" s="301">
        <v>77620</v>
      </c>
      <c r="J68" s="301">
        <v>77632</v>
      </c>
      <c r="K68" s="499"/>
      <c r="L68" s="499"/>
      <c r="M68" s="499"/>
      <c r="N68" s="499"/>
      <c r="O68" s="376">
        <f t="shared" ref="O68:O98" si="7">SUM(C68:N68)</f>
        <v>620444</v>
      </c>
    </row>
    <row r="69" spans="1:15">
      <c r="A69" s="373">
        <v>65</v>
      </c>
      <c r="B69" s="300" t="str">
        <f>+BPJS!B69</f>
        <v>ARIPDAN</v>
      </c>
      <c r="C69" s="375">
        <f t="shared" ref="C69:H119" si="8">3876600*2%</f>
        <v>77532</v>
      </c>
      <c r="D69" s="375">
        <f t="shared" si="8"/>
        <v>77532</v>
      </c>
      <c r="E69" s="375">
        <f t="shared" si="8"/>
        <v>77532</v>
      </c>
      <c r="F69" s="375">
        <f t="shared" si="8"/>
        <v>77532</v>
      </c>
      <c r="G69" s="375">
        <f t="shared" si="8"/>
        <v>77532</v>
      </c>
      <c r="H69" s="375">
        <f t="shared" si="8"/>
        <v>77532</v>
      </c>
      <c r="I69" s="301">
        <v>78530</v>
      </c>
      <c r="J69" s="301">
        <v>78542</v>
      </c>
      <c r="K69" s="301">
        <v>78542</v>
      </c>
      <c r="L69" s="301">
        <v>78542</v>
      </c>
      <c r="M69" s="301">
        <v>78542</v>
      </c>
      <c r="N69" s="301">
        <v>78542</v>
      </c>
      <c r="O69" s="376">
        <f t="shared" si="7"/>
        <v>936432</v>
      </c>
    </row>
    <row r="70" spans="1:15">
      <c r="A70" s="373">
        <v>66</v>
      </c>
      <c r="B70" s="300" t="str">
        <f>+BPJS!B70</f>
        <v>DEDI PURWANTO</v>
      </c>
      <c r="C70" s="375">
        <f t="shared" si="8"/>
        <v>77532</v>
      </c>
      <c r="D70" s="375">
        <f t="shared" si="8"/>
        <v>77532</v>
      </c>
      <c r="E70" s="375">
        <f t="shared" si="8"/>
        <v>77532</v>
      </c>
      <c r="F70" s="375">
        <f t="shared" si="8"/>
        <v>77532</v>
      </c>
      <c r="G70" s="375">
        <f t="shared" si="8"/>
        <v>77532</v>
      </c>
      <c r="H70" s="375">
        <f t="shared" si="8"/>
        <v>77532</v>
      </c>
      <c r="I70" s="301">
        <v>78530</v>
      </c>
      <c r="J70" s="301">
        <v>78542</v>
      </c>
      <c r="K70" s="301">
        <v>78542</v>
      </c>
      <c r="L70" s="301">
        <v>78542</v>
      </c>
      <c r="M70" s="301">
        <v>78542</v>
      </c>
      <c r="N70" s="301">
        <v>78542</v>
      </c>
      <c r="O70" s="376">
        <f t="shared" si="7"/>
        <v>936432</v>
      </c>
    </row>
    <row r="71" spans="1:15">
      <c r="A71" s="373">
        <v>67</v>
      </c>
      <c r="B71" s="300" t="str">
        <f>+BPJS!B71</f>
        <v>HARSONO</v>
      </c>
      <c r="C71" s="375">
        <f t="shared" si="8"/>
        <v>77532</v>
      </c>
      <c r="D71" s="375">
        <f t="shared" si="8"/>
        <v>77532</v>
      </c>
      <c r="E71" s="375">
        <f t="shared" si="8"/>
        <v>77532</v>
      </c>
      <c r="F71" s="375">
        <f t="shared" si="8"/>
        <v>77532</v>
      </c>
      <c r="G71" s="375">
        <f t="shared" si="8"/>
        <v>77532</v>
      </c>
      <c r="H71" s="375">
        <f t="shared" si="8"/>
        <v>77532</v>
      </c>
      <c r="I71" s="301">
        <v>78530</v>
      </c>
      <c r="J71" s="301">
        <v>78542</v>
      </c>
      <c r="K71" s="301">
        <v>78542</v>
      </c>
      <c r="L71" s="301">
        <v>78542</v>
      </c>
      <c r="M71" s="301">
        <v>78542</v>
      </c>
      <c r="N71" s="301">
        <v>78542</v>
      </c>
      <c r="O71" s="376">
        <f t="shared" si="7"/>
        <v>936432</v>
      </c>
    </row>
    <row r="72" spans="1:15">
      <c r="A72" s="373">
        <v>68</v>
      </c>
      <c r="B72" s="300" t="str">
        <f>+BPJS!B72</f>
        <v>MIKO AGNESTA</v>
      </c>
      <c r="C72" s="375">
        <f t="shared" si="8"/>
        <v>77532</v>
      </c>
      <c r="D72" s="375">
        <f t="shared" si="8"/>
        <v>77532</v>
      </c>
      <c r="E72" s="375">
        <f t="shared" si="8"/>
        <v>77532</v>
      </c>
      <c r="F72" s="375">
        <f t="shared" si="8"/>
        <v>77532</v>
      </c>
      <c r="G72" s="375">
        <f t="shared" si="8"/>
        <v>77532</v>
      </c>
      <c r="H72" s="375">
        <f t="shared" si="8"/>
        <v>77532</v>
      </c>
      <c r="I72" s="301">
        <v>77520</v>
      </c>
      <c r="J72" s="301">
        <v>77532</v>
      </c>
      <c r="K72" s="301">
        <v>77582</v>
      </c>
      <c r="L72" s="301">
        <v>77582</v>
      </c>
      <c r="M72" s="301">
        <v>77582</v>
      </c>
      <c r="N72" s="301">
        <v>77582</v>
      </c>
      <c r="O72" s="376">
        <f t="shared" si="7"/>
        <v>930572</v>
      </c>
    </row>
    <row r="73" spans="1:15">
      <c r="A73" s="373">
        <v>69</v>
      </c>
      <c r="B73" s="300" t="str">
        <f>+BPJS!B73</f>
        <v>HERI GUNAWAN</v>
      </c>
      <c r="C73" s="375">
        <f t="shared" si="8"/>
        <v>77532</v>
      </c>
      <c r="D73" s="375">
        <f t="shared" si="8"/>
        <v>77532</v>
      </c>
      <c r="E73" s="375">
        <f t="shared" si="8"/>
        <v>77532</v>
      </c>
      <c r="F73" s="375">
        <f t="shared" si="8"/>
        <v>77532</v>
      </c>
      <c r="G73" s="375">
        <f t="shared" si="8"/>
        <v>77532</v>
      </c>
      <c r="H73" s="375">
        <f t="shared" si="8"/>
        <v>77532</v>
      </c>
      <c r="I73" s="301">
        <v>78000</v>
      </c>
      <c r="J73" s="301">
        <v>78012</v>
      </c>
      <c r="K73" s="301">
        <v>78012</v>
      </c>
      <c r="L73" s="301">
        <v>78012</v>
      </c>
      <c r="M73" s="301">
        <v>78012</v>
      </c>
      <c r="N73" s="301">
        <v>78012</v>
      </c>
      <c r="O73" s="376">
        <f t="shared" si="7"/>
        <v>933252</v>
      </c>
    </row>
    <row r="74" spans="1:15">
      <c r="A74" s="373">
        <v>70</v>
      </c>
      <c r="B74" s="300" t="str">
        <f>+BPJS!B74</f>
        <v>LEPI ERWANSYAH</v>
      </c>
      <c r="C74" s="375">
        <f t="shared" si="8"/>
        <v>77532</v>
      </c>
      <c r="D74" s="375">
        <f t="shared" si="8"/>
        <v>77532</v>
      </c>
      <c r="E74" s="375">
        <f t="shared" si="8"/>
        <v>77532</v>
      </c>
      <c r="F74" s="375">
        <f t="shared" si="8"/>
        <v>77532</v>
      </c>
      <c r="G74" s="375">
        <f t="shared" si="8"/>
        <v>77532</v>
      </c>
      <c r="H74" s="375">
        <f t="shared" si="8"/>
        <v>77532</v>
      </c>
      <c r="I74" s="301">
        <v>78000</v>
      </c>
      <c r="J74" s="301">
        <v>78012</v>
      </c>
      <c r="K74" s="301">
        <v>78012</v>
      </c>
      <c r="L74" s="301">
        <v>78012</v>
      </c>
      <c r="M74" s="301">
        <v>78072</v>
      </c>
      <c r="N74" s="301">
        <v>78072</v>
      </c>
      <c r="O74" s="376">
        <f t="shared" si="7"/>
        <v>933372</v>
      </c>
    </row>
    <row r="75" spans="1:15">
      <c r="A75" s="373">
        <v>71</v>
      </c>
      <c r="B75" s="300" t="str">
        <f>+BPJS!B75</f>
        <v>NOVA RIZAL</v>
      </c>
      <c r="C75" s="375">
        <f t="shared" si="8"/>
        <v>77532</v>
      </c>
      <c r="D75" s="375">
        <f t="shared" si="8"/>
        <v>77532</v>
      </c>
      <c r="E75" s="375">
        <f t="shared" si="8"/>
        <v>77532</v>
      </c>
      <c r="F75" s="375">
        <f t="shared" si="8"/>
        <v>77532</v>
      </c>
      <c r="G75" s="375">
        <f t="shared" si="8"/>
        <v>77532</v>
      </c>
      <c r="H75" s="375">
        <f t="shared" si="8"/>
        <v>77532</v>
      </c>
      <c r="I75" s="301">
        <v>78000</v>
      </c>
      <c r="J75" s="499"/>
      <c r="K75" s="499"/>
      <c r="L75" s="499"/>
      <c r="M75" s="499"/>
      <c r="N75" s="499"/>
      <c r="O75" s="376">
        <f t="shared" si="7"/>
        <v>543192</v>
      </c>
    </row>
    <row r="76" spans="1:15">
      <c r="A76" s="373">
        <v>72</v>
      </c>
      <c r="B76" s="300" t="str">
        <f>+BPJS!B76</f>
        <v>MASKUR</v>
      </c>
      <c r="C76" s="375">
        <f t="shared" si="8"/>
        <v>77532</v>
      </c>
      <c r="D76" s="375">
        <f t="shared" si="8"/>
        <v>77532</v>
      </c>
      <c r="E76" s="375">
        <f t="shared" si="8"/>
        <v>77532</v>
      </c>
      <c r="F76" s="375">
        <f t="shared" si="8"/>
        <v>77532</v>
      </c>
      <c r="G76" s="375">
        <f t="shared" si="8"/>
        <v>77532</v>
      </c>
      <c r="H76" s="375">
        <f t="shared" si="8"/>
        <v>77532</v>
      </c>
      <c r="I76" s="301">
        <v>78000</v>
      </c>
      <c r="J76" s="301">
        <v>78012</v>
      </c>
      <c r="K76" s="301">
        <v>78012</v>
      </c>
      <c r="L76" s="301">
        <v>78012</v>
      </c>
      <c r="M76" s="301">
        <v>78012</v>
      </c>
      <c r="N76" s="301">
        <v>78012</v>
      </c>
      <c r="O76" s="376">
        <f t="shared" si="7"/>
        <v>933252</v>
      </c>
    </row>
    <row r="77" spans="1:15">
      <c r="A77" s="373">
        <v>73</v>
      </c>
      <c r="B77" s="300" t="str">
        <f>+BPJS!B77</f>
        <v>SUTRISNO</v>
      </c>
      <c r="C77" s="375">
        <f t="shared" si="8"/>
        <v>77532</v>
      </c>
      <c r="D77" s="375">
        <f t="shared" si="8"/>
        <v>77532</v>
      </c>
      <c r="E77" s="375">
        <f t="shared" si="8"/>
        <v>77532</v>
      </c>
      <c r="F77" s="375">
        <f t="shared" si="8"/>
        <v>77532</v>
      </c>
      <c r="G77" s="375">
        <f t="shared" si="8"/>
        <v>77532</v>
      </c>
      <c r="H77" s="375">
        <f t="shared" si="8"/>
        <v>77532</v>
      </c>
      <c r="I77" s="301">
        <v>78600</v>
      </c>
      <c r="J77" s="301">
        <v>78612</v>
      </c>
      <c r="K77" s="301">
        <v>78612</v>
      </c>
      <c r="L77" s="301">
        <v>78612</v>
      </c>
      <c r="M77" s="301">
        <v>78612</v>
      </c>
      <c r="N77" s="301">
        <v>78612</v>
      </c>
      <c r="O77" s="376">
        <f t="shared" si="7"/>
        <v>936852</v>
      </c>
    </row>
    <row r="78" spans="1:15">
      <c r="A78" s="373">
        <v>74</v>
      </c>
      <c r="B78" s="300" t="str">
        <f>+BPJS!B78</f>
        <v>SUHARDI</v>
      </c>
      <c r="C78" s="375">
        <f t="shared" si="8"/>
        <v>77532</v>
      </c>
      <c r="D78" s="375">
        <f t="shared" si="8"/>
        <v>77532</v>
      </c>
      <c r="E78" s="375">
        <f t="shared" si="8"/>
        <v>77532</v>
      </c>
      <c r="F78" s="375">
        <f t="shared" si="8"/>
        <v>77532</v>
      </c>
      <c r="G78" s="375">
        <f t="shared" si="8"/>
        <v>77532</v>
      </c>
      <c r="H78" s="375">
        <f t="shared" si="8"/>
        <v>77532</v>
      </c>
      <c r="I78" s="301">
        <v>78180</v>
      </c>
      <c r="J78" s="301">
        <v>78192</v>
      </c>
      <c r="K78" s="301">
        <v>78192</v>
      </c>
      <c r="L78" s="301">
        <v>78192</v>
      </c>
      <c r="M78" s="301">
        <v>78192</v>
      </c>
      <c r="N78" s="499"/>
      <c r="O78" s="376">
        <f t="shared" si="7"/>
        <v>856140</v>
      </c>
    </row>
    <row r="79" spans="1:15">
      <c r="A79" s="373">
        <v>75</v>
      </c>
      <c r="B79" s="300" t="str">
        <f>+BPJS!B79</f>
        <v>RUSDI</v>
      </c>
      <c r="C79" s="375">
        <f t="shared" si="8"/>
        <v>77532</v>
      </c>
      <c r="D79" s="375">
        <f t="shared" si="8"/>
        <v>77532</v>
      </c>
      <c r="E79" s="375">
        <f t="shared" si="8"/>
        <v>77532</v>
      </c>
      <c r="F79" s="375">
        <f t="shared" si="8"/>
        <v>77532</v>
      </c>
      <c r="G79" s="375">
        <f t="shared" si="8"/>
        <v>77532</v>
      </c>
      <c r="H79" s="375">
        <f t="shared" si="8"/>
        <v>77532</v>
      </c>
      <c r="I79" s="301">
        <v>78600</v>
      </c>
      <c r="J79" s="301">
        <v>78612</v>
      </c>
      <c r="K79" s="301">
        <v>78612</v>
      </c>
      <c r="L79" s="301">
        <v>78612</v>
      </c>
      <c r="M79" s="301">
        <v>78612</v>
      </c>
      <c r="N79" s="301">
        <v>78612</v>
      </c>
      <c r="O79" s="376">
        <f t="shared" si="7"/>
        <v>936852</v>
      </c>
    </row>
    <row r="80" spans="1:15">
      <c r="A80" s="373">
        <v>76</v>
      </c>
      <c r="B80" s="300" t="str">
        <f>+BPJS!B80</f>
        <v>MASJONI</v>
      </c>
      <c r="C80" s="375">
        <f t="shared" si="8"/>
        <v>77532</v>
      </c>
      <c r="D80" s="375">
        <f t="shared" si="8"/>
        <v>77532</v>
      </c>
      <c r="E80" s="375">
        <f t="shared" si="8"/>
        <v>77532</v>
      </c>
      <c r="F80" s="375">
        <f t="shared" si="8"/>
        <v>77532</v>
      </c>
      <c r="G80" s="375">
        <f t="shared" si="8"/>
        <v>77532</v>
      </c>
      <c r="H80" s="375">
        <f t="shared" si="8"/>
        <v>77532</v>
      </c>
      <c r="I80" s="301">
        <v>79230</v>
      </c>
      <c r="J80" s="301">
        <v>79242</v>
      </c>
      <c r="K80" s="301">
        <v>79242</v>
      </c>
      <c r="L80" s="301">
        <v>79242</v>
      </c>
      <c r="M80" s="301">
        <v>79242</v>
      </c>
      <c r="N80" s="301">
        <v>79242</v>
      </c>
      <c r="O80" s="376">
        <f t="shared" si="7"/>
        <v>940632</v>
      </c>
    </row>
    <row r="81" spans="1:15">
      <c r="A81" s="373">
        <v>77</v>
      </c>
      <c r="B81" s="300" t="str">
        <f>+BPJS!B81</f>
        <v>ROSMAN</v>
      </c>
      <c r="C81" s="375">
        <f t="shared" si="8"/>
        <v>77532</v>
      </c>
      <c r="D81" s="375">
        <f t="shared" si="8"/>
        <v>77532</v>
      </c>
      <c r="E81" s="375">
        <f t="shared" si="8"/>
        <v>77532</v>
      </c>
      <c r="F81" s="375">
        <f t="shared" si="8"/>
        <v>77532</v>
      </c>
      <c r="G81" s="375">
        <f t="shared" si="8"/>
        <v>77532</v>
      </c>
      <c r="H81" s="375">
        <f t="shared" si="8"/>
        <v>77532</v>
      </c>
      <c r="I81" s="301">
        <v>78530</v>
      </c>
      <c r="J81" s="301">
        <v>78542</v>
      </c>
      <c r="K81" s="301">
        <v>78542</v>
      </c>
      <c r="L81" s="301">
        <v>78542</v>
      </c>
      <c r="M81" s="301">
        <v>78542</v>
      </c>
      <c r="N81" s="301">
        <v>78542</v>
      </c>
      <c r="O81" s="376">
        <f t="shared" si="7"/>
        <v>936432</v>
      </c>
    </row>
    <row r="82" spans="1:15">
      <c r="A82" s="373">
        <v>78</v>
      </c>
      <c r="B82" s="300" t="str">
        <f>+BPJS!B82</f>
        <v>SUMARTO EVENDI</v>
      </c>
      <c r="C82" s="375">
        <f t="shared" si="8"/>
        <v>77532</v>
      </c>
      <c r="D82" s="375">
        <f t="shared" si="8"/>
        <v>77532</v>
      </c>
      <c r="E82" s="375">
        <f t="shared" si="8"/>
        <v>77532</v>
      </c>
      <c r="F82" s="375">
        <f t="shared" si="8"/>
        <v>77532</v>
      </c>
      <c r="G82" s="375">
        <f t="shared" si="8"/>
        <v>77532</v>
      </c>
      <c r="H82" s="375">
        <f t="shared" si="8"/>
        <v>77532</v>
      </c>
      <c r="I82" s="301">
        <v>78060</v>
      </c>
      <c r="J82" s="301">
        <v>78072</v>
      </c>
      <c r="K82" s="301">
        <v>78072</v>
      </c>
      <c r="L82" s="301">
        <v>78072</v>
      </c>
      <c r="M82" s="499"/>
      <c r="N82" s="499"/>
      <c r="O82" s="376">
        <f t="shared" si="7"/>
        <v>777468</v>
      </c>
    </row>
    <row r="83" spans="1:15">
      <c r="A83" s="373">
        <v>79</v>
      </c>
      <c r="B83" s="300" t="str">
        <f>+BPJS!B83</f>
        <v>HERMAN</v>
      </c>
      <c r="C83" s="375">
        <f t="shared" si="8"/>
        <v>77532</v>
      </c>
      <c r="D83" s="375">
        <f t="shared" si="8"/>
        <v>77532</v>
      </c>
      <c r="E83" s="375">
        <f t="shared" si="8"/>
        <v>77532</v>
      </c>
      <c r="F83" s="375">
        <f t="shared" si="8"/>
        <v>77532</v>
      </c>
      <c r="G83" s="375">
        <f t="shared" si="8"/>
        <v>77532</v>
      </c>
      <c r="H83" s="375">
        <f t="shared" si="8"/>
        <v>77532</v>
      </c>
      <c r="I83" s="301">
        <v>77940</v>
      </c>
      <c r="J83" s="301">
        <v>78012</v>
      </c>
      <c r="K83" s="301">
        <v>78012</v>
      </c>
      <c r="L83" s="301">
        <v>78012</v>
      </c>
      <c r="M83" s="301">
        <v>78012</v>
      </c>
      <c r="N83" s="301">
        <v>78012</v>
      </c>
      <c r="O83" s="376">
        <f t="shared" si="7"/>
        <v>933192</v>
      </c>
    </row>
    <row r="84" spans="1:15">
      <c r="A84" s="373">
        <v>80</v>
      </c>
      <c r="B84" s="300" t="str">
        <f>+BPJS!B84</f>
        <v>ANDRES CAHYADI</v>
      </c>
      <c r="C84" s="375">
        <f t="shared" ref="C84:H97" si="9">3876600*2%</f>
        <v>77532</v>
      </c>
      <c r="D84" s="375">
        <f t="shared" si="9"/>
        <v>77532</v>
      </c>
      <c r="E84" s="375">
        <f t="shared" si="9"/>
        <v>77532</v>
      </c>
      <c r="F84" s="375">
        <f t="shared" si="9"/>
        <v>77532</v>
      </c>
      <c r="G84" s="375">
        <f t="shared" si="9"/>
        <v>77532</v>
      </c>
      <c r="H84" s="375">
        <f t="shared" si="9"/>
        <v>77532</v>
      </c>
      <c r="I84" s="301">
        <v>77940</v>
      </c>
      <c r="J84" s="301">
        <v>77952</v>
      </c>
      <c r="K84" s="301">
        <v>77952</v>
      </c>
      <c r="L84" s="301">
        <v>77952</v>
      </c>
      <c r="M84" s="301">
        <v>77952</v>
      </c>
      <c r="N84" s="301">
        <v>78012</v>
      </c>
      <c r="O84" s="376">
        <f t="shared" si="7"/>
        <v>932952</v>
      </c>
    </row>
    <row r="85" spans="1:15">
      <c r="A85" s="373">
        <v>81</v>
      </c>
      <c r="B85" s="300" t="str">
        <f>+BPJS!B85</f>
        <v>SAMSIR</v>
      </c>
      <c r="C85" s="375">
        <f t="shared" si="9"/>
        <v>77532</v>
      </c>
      <c r="D85" s="375">
        <f t="shared" si="9"/>
        <v>77532</v>
      </c>
      <c r="E85" s="375">
        <f t="shared" si="9"/>
        <v>77532</v>
      </c>
      <c r="F85" s="375">
        <f t="shared" si="9"/>
        <v>77532</v>
      </c>
      <c r="G85" s="375">
        <f t="shared" si="9"/>
        <v>77532</v>
      </c>
      <c r="H85" s="375">
        <f t="shared" si="9"/>
        <v>77532</v>
      </c>
      <c r="I85" s="301">
        <v>78060</v>
      </c>
      <c r="J85" s="301">
        <v>78072</v>
      </c>
      <c r="K85" s="301">
        <v>78072</v>
      </c>
      <c r="L85" s="301">
        <v>78072</v>
      </c>
      <c r="M85" s="301">
        <v>78072</v>
      </c>
      <c r="N85" s="499"/>
      <c r="O85" s="376">
        <f t="shared" si="7"/>
        <v>855540</v>
      </c>
    </row>
    <row r="86" spans="1:15">
      <c r="A86" s="373">
        <v>82</v>
      </c>
      <c r="B86" s="300" t="str">
        <f>+BPJS!B86</f>
        <v>FEBRIANSYAH</v>
      </c>
      <c r="C86" s="375">
        <f t="shared" si="9"/>
        <v>77532</v>
      </c>
      <c r="D86" s="375">
        <f t="shared" si="9"/>
        <v>77532</v>
      </c>
      <c r="E86" s="375">
        <f t="shared" si="9"/>
        <v>77532</v>
      </c>
      <c r="F86" s="375">
        <f t="shared" si="9"/>
        <v>77532</v>
      </c>
      <c r="G86" s="375">
        <f t="shared" si="9"/>
        <v>77532</v>
      </c>
      <c r="H86" s="499"/>
      <c r="I86" s="499"/>
      <c r="J86" s="499"/>
      <c r="K86" s="499"/>
      <c r="L86" s="499"/>
      <c r="M86" s="499"/>
      <c r="N86" s="499"/>
      <c r="O86" s="376">
        <f t="shared" si="7"/>
        <v>387660</v>
      </c>
    </row>
    <row r="87" spans="1:15">
      <c r="A87" s="373">
        <v>83</v>
      </c>
      <c r="B87" s="300" t="str">
        <f>+BPJS!B87</f>
        <v>WIDI JULIANSYAH</v>
      </c>
      <c r="C87" s="375">
        <f t="shared" si="9"/>
        <v>77532</v>
      </c>
      <c r="D87" s="375">
        <f t="shared" si="9"/>
        <v>77532</v>
      </c>
      <c r="E87" s="375">
        <f t="shared" si="9"/>
        <v>77532</v>
      </c>
      <c r="F87" s="375">
        <f t="shared" si="9"/>
        <v>77532</v>
      </c>
      <c r="G87" s="375">
        <f t="shared" si="9"/>
        <v>77532</v>
      </c>
      <c r="H87" s="375">
        <f t="shared" si="9"/>
        <v>77532</v>
      </c>
      <c r="I87" s="301">
        <v>77570</v>
      </c>
      <c r="J87" s="301">
        <v>77632</v>
      </c>
      <c r="K87" s="301">
        <v>77632</v>
      </c>
      <c r="L87" s="301">
        <v>77632</v>
      </c>
      <c r="M87" s="301">
        <v>77632</v>
      </c>
      <c r="N87" s="301">
        <v>77632</v>
      </c>
      <c r="O87" s="376">
        <f t="shared" si="7"/>
        <v>930922</v>
      </c>
    </row>
    <row r="88" spans="1:15">
      <c r="A88" s="373">
        <v>84</v>
      </c>
      <c r="B88" s="300" t="str">
        <f>+BPJS!B88</f>
        <v>ANGGA NURDIANSYAH</v>
      </c>
      <c r="C88" s="375">
        <f t="shared" si="9"/>
        <v>77532</v>
      </c>
      <c r="D88" s="375">
        <f t="shared" si="9"/>
        <v>77532</v>
      </c>
      <c r="E88" s="375">
        <f t="shared" si="9"/>
        <v>77532</v>
      </c>
      <c r="F88" s="375">
        <f t="shared" si="9"/>
        <v>77532</v>
      </c>
      <c r="G88" s="375">
        <f t="shared" si="9"/>
        <v>77532</v>
      </c>
      <c r="H88" s="375">
        <f t="shared" si="9"/>
        <v>77532</v>
      </c>
      <c r="I88" s="301">
        <v>77770</v>
      </c>
      <c r="J88" s="301">
        <v>77782</v>
      </c>
      <c r="K88" s="301">
        <v>77782</v>
      </c>
      <c r="L88" s="301">
        <v>77782</v>
      </c>
      <c r="M88" s="301">
        <v>77832</v>
      </c>
      <c r="N88" s="499"/>
      <c r="O88" s="376">
        <f t="shared" si="7"/>
        <v>854140</v>
      </c>
    </row>
    <row r="89" spans="1:15">
      <c r="A89" s="373">
        <v>85</v>
      </c>
      <c r="B89" s="300" t="str">
        <f>+BPJS!B89</f>
        <v>ISMAIL</v>
      </c>
      <c r="C89" s="375">
        <f t="shared" si="9"/>
        <v>77532</v>
      </c>
      <c r="D89" s="375">
        <f t="shared" si="9"/>
        <v>77532</v>
      </c>
      <c r="E89" s="375">
        <f t="shared" si="9"/>
        <v>77532</v>
      </c>
      <c r="F89" s="375">
        <f t="shared" si="9"/>
        <v>77532</v>
      </c>
      <c r="G89" s="375">
        <f t="shared" si="9"/>
        <v>77532</v>
      </c>
      <c r="H89" s="375">
        <f t="shared" si="9"/>
        <v>77532</v>
      </c>
      <c r="I89" s="301">
        <v>77620</v>
      </c>
      <c r="J89" s="301">
        <v>77632</v>
      </c>
      <c r="K89" s="301">
        <v>77632</v>
      </c>
      <c r="L89" s="301">
        <v>77632</v>
      </c>
      <c r="M89" s="301">
        <v>77632</v>
      </c>
      <c r="N89" s="301">
        <v>77632</v>
      </c>
      <c r="O89" s="376">
        <f t="shared" si="7"/>
        <v>930972</v>
      </c>
    </row>
    <row r="90" spans="1:15">
      <c r="A90" s="373">
        <v>86</v>
      </c>
      <c r="B90" s="300" t="str">
        <f>+BPJS!B90</f>
        <v>JOPI APRIAN HIDAYAT</v>
      </c>
      <c r="C90" s="375">
        <f t="shared" si="9"/>
        <v>77532</v>
      </c>
      <c r="D90" s="375">
        <f t="shared" si="9"/>
        <v>77532</v>
      </c>
      <c r="E90" s="375">
        <f t="shared" si="9"/>
        <v>77532</v>
      </c>
      <c r="F90" s="375">
        <f t="shared" si="9"/>
        <v>77532</v>
      </c>
      <c r="G90" s="375">
        <f t="shared" si="9"/>
        <v>77532</v>
      </c>
      <c r="H90" s="375">
        <f t="shared" si="9"/>
        <v>77532</v>
      </c>
      <c r="I90" s="301">
        <v>77620</v>
      </c>
      <c r="J90" s="301">
        <v>77632</v>
      </c>
      <c r="K90" s="301">
        <v>77632</v>
      </c>
      <c r="L90" s="301">
        <v>77632</v>
      </c>
      <c r="M90" s="301">
        <v>77632</v>
      </c>
      <c r="N90" s="499"/>
      <c r="O90" s="376">
        <f t="shared" si="7"/>
        <v>853340</v>
      </c>
    </row>
    <row r="91" spans="1:15">
      <c r="A91" s="373">
        <v>87</v>
      </c>
      <c r="B91" s="300" t="str">
        <f>+BPJS!B91</f>
        <v>BINTANG ADITYA REVALDO</v>
      </c>
      <c r="C91" s="375">
        <f t="shared" si="9"/>
        <v>77532</v>
      </c>
      <c r="D91" s="375">
        <f t="shared" si="9"/>
        <v>77532</v>
      </c>
      <c r="E91" s="375">
        <f t="shared" si="9"/>
        <v>77532</v>
      </c>
      <c r="F91" s="375">
        <f t="shared" si="9"/>
        <v>77532</v>
      </c>
      <c r="G91" s="375">
        <f t="shared" si="9"/>
        <v>77532</v>
      </c>
      <c r="H91" s="499"/>
      <c r="I91" s="499"/>
      <c r="J91" s="499"/>
      <c r="K91" s="499"/>
      <c r="L91" s="499"/>
      <c r="M91" s="499"/>
      <c r="N91" s="499"/>
      <c r="O91" s="376">
        <f t="shared" si="7"/>
        <v>387660</v>
      </c>
    </row>
    <row r="92" spans="1:15">
      <c r="A92" s="373">
        <v>88</v>
      </c>
      <c r="B92" s="300" t="str">
        <f>+BPJS!B92</f>
        <v>SOLEHAN</v>
      </c>
      <c r="C92" s="375">
        <f t="shared" si="9"/>
        <v>77532</v>
      </c>
      <c r="D92" s="375">
        <f t="shared" si="9"/>
        <v>77532</v>
      </c>
      <c r="E92" s="375">
        <f t="shared" si="9"/>
        <v>77532</v>
      </c>
      <c r="F92" s="375">
        <f t="shared" si="9"/>
        <v>77532</v>
      </c>
      <c r="G92" s="375">
        <f t="shared" si="9"/>
        <v>77532</v>
      </c>
      <c r="H92" s="375">
        <f t="shared" si="9"/>
        <v>77532</v>
      </c>
      <c r="I92" s="301">
        <v>77770</v>
      </c>
      <c r="J92" s="301">
        <v>77782</v>
      </c>
      <c r="K92" s="301">
        <v>77782</v>
      </c>
      <c r="L92" s="301">
        <v>77782</v>
      </c>
      <c r="M92" s="301">
        <v>77782</v>
      </c>
      <c r="N92" s="301">
        <v>77782</v>
      </c>
      <c r="O92" s="376">
        <f t="shared" si="7"/>
        <v>931872</v>
      </c>
    </row>
    <row r="93" spans="1:15">
      <c r="A93" s="373">
        <v>89</v>
      </c>
      <c r="B93" s="300" t="str">
        <f>+BPJS!B93</f>
        <v>WIRANTO</v>
      </c>
      <c r="C93" s="375">
        <f t="shared" si="9"/>
        <v>77532</v>
      </c>
      <c r="D93" s="375">
        <f t="shared" si="9"/>
        <v>77532</v>
      </c>
      <c r="E93" s="375">
        <f t="shared" si="9"/>
        <v>77532</v>
      </c>
      <c r="F93" s="375">
        <f t="shared" si="9"/>
        <v>77532</v>
      </c>
      <c r="G93" s="375">
        <f t="shared" si="9"/>
        <v>77532</v>
      </c>
      <c r="H93" s="375">
        <f t="shared" si="9"/>
        <v>77532</v>
      </c>
      <c r="I93" s="301">
        <v>77820</v>
      </c>
      <c r="J93" s="301">
        <v>77832</v>
      </c>
      <c r="K93" s="301">
        <v>77832</v>
      </c>
      <c r="L93" s="301">
        <v>77832</v>
      </c>
      <c r="M93" s="301">
        <v>77832</v>
      </c>
      <c r="N93" s="301">
        <v>77832</v>
      </c>
      <c r="O93" s="376">
        <f t="shared" si="7"/>
        <v>932172</v>
      </c>
    </row>
    <row r="94" spans="1:15">
      <c r="A94" s="373">
        <v>90</v>
      </c>
      <c r="B94" s="300" t="str">
        <f>+BPJS!B94</f>
        <v>RUSDIANA</v>
      </c>
      <c r="C94" s="375">
        <f t="shared" si="9"/>
        <v>77532</v>
      </c>
      <c r="D94" s="375">
        <f t="shared" si="9"/>
        <v>77532</v>
      </c>
      <c r="E94" s="375">
        <f t="shared" si="9"/>
        <v>77532</v>
      </c>
      <c r="F94" s="375">
        <f t="shared" si="9"/>
        <v>77532</v>
      </c>
      <c r="G94" s="375">
        <f t="shared" si="9"/>
        <v>77532</v>
      </c>
      <c r="H94" s="375">
        <f t="shared" si="9"/>
        <v>77532</v>
      </c>
      <c r="I94" s="301">
        <v>78000</v>
      </c>
      <c r="J94" s="301">
        <v>78012</v>
      </c>
      <c r="K94" s="301">
        <v>78012</v>
      </c>
      <c r="L94" s="499"/>
      <c r="M94" s="499"/>
      <c r="N94" s="499"/>
      <c r="O94" s="376">
        <f t="shared" si="7"/>
        <v>699216</v>
      </c>
    </row>
    <row r="95" spans="1:15">
      <c r="A95" s="373">
        <v>91</v>
      </c>
      <c r="B95" s="300" t="str">
        <f>+BPJS!B95</f>
        <v>EDI ZULKARNADI</v>
      </c>
      <c r="C95" s="375">
        <f t="shared" si="9"/>
        <v>77532</v>
      </c>
      <c r="D95" s="375">
        <f t="shared" si="9"/>
        <v>77532</v>
      </c>
      <c r="E95" s="375">
        <f t="shared" si="9"/>
        <v>77532</v>
      </c>
      <c r="F95" s="375">
        <f t="shared" si="9"/>
        <v>77532</v>
      </c>
      <c r="G95" s="375">
        <f t="shared" si="9"/>
        <v>77532</v>
      </c>
      <c r="H95" s="375">
        <f t="shared" si="9"/>
        <v>77532</v>
      </c>
      <c r="I95" s="301">
        <v>78060</v>
      </c>
      <c r="J95" s="301">
        <v>78072</v>
      </c>
      <c r="K95" s="301">
        <v>78072</v>
      </c>
      <c r="L95" s="301">
        <v>78072</v>
      </c>
      <c r="M95" s="301">
        <v>78072</v>
      </c>
      <c r="N95" s="301">
        <v>78072</v>
      </c>
      <c r="O95" s="376">
        <f t="shared" si="7"/>
        <v>933612</v>
      </c>
    </row>
    <row r="96" spans="1:15">
      <c r="A96" s="373">
        <v>92</v>
      </c>
      <c r="B96" s="300" t="str">
        <f>+BPJS!B96</f>
        <v>ERLANDA</v>
      </c>
      <c r="C96" s="375">
        <f t="shared" si="9"/>
        <v>77532</v>
      </c>
      <c r="D96" s="375">
        <f t="shared" si="9"/>
        <v>77532</v>
      </c>
      <c r="E96" s="375">
        <f t="shared" si="9"/>
        <v>77532</v>
      </c>
      <c r="F96" s="375">
        <f t="shared" si="9"/>
        <v>77532</v>
      </c>
      <c r="G96" s="375">
        <f t="shared" si="9"/>
        <v>77532</v>
      </c>
      <c r="H96" s="375">
        <f t="shared" si="9"/>
        <v>77532</v>
      </c>
      <c r="I96" s="301">
        <v>77620</v>
      </c>
      <c r="J96" s="301">
        <v>77632</v>
      </c>
      <c r="K96" s="301">
        <v>77632</v>
      </c>
      <c r="L96" s="301">
        <v>77632</v>
      </c>
      <c r="M96" s="301">
        <v>77682</v>
      </c>
      <c r="N96" s="301">
        <v>77682</v>
      </c>
      <c r="O96" s="376">
        <f t="shared" si="7"/>
        <v>931072</v>
      </c>
    </row>
    <row r="97" spans="1:15">
      <c r="A97" s="373">
        <v>93</v>
      </c>
      <c r="B97" s="300" t="str">
        <f>+BPJS!B97</f>
        <v>SUNARDI</v>
      </c>
      <c r="C97" s="375">
        <f t="shared" si="9"/>
        <v>77532</v>
      </c>
      <c r="D97" s="375">
        <f t="shared" si="9"/>
        <v>77532</v>
      </c>
      <c r="E97" s="375">
        <f t="shared" si="9"/>
        <v>77532</v>
      </c>
      <c r="F97" s="375">
        <f t="shared" si="9"/>
        <v>77532</v>
      </c>
      <c r="G97" s="375">
        <f t="shared" si="9"/>
        <v>77532</v>
      </c>
      <c r="H97" s="375">
        <f t="shared" si="9"/>
        <v>77532</v>
      </c>
      <c r="I97" s="301">
        <v>77720</v>
      </c>
      <c r="J97" s="301">
        <v>77732</v>
      </c>
      <c r="K97" s="301">
        <v>77732</v>
      </c>
      <c r="L97" s="301">
        <v>77732</v>
      </c>
      <c r="M97" s="301">
        <v>77732</v>
      </c>
      <c r="N97" s="301">
        <v>77732</v>
      </c>
      <c r="O97" s="376">
        <f t="shared" si="7"/>
        <v>931572</v>
      </c>
    </row>
    <row r="98" spans="1:15">
      <c r="A98" s="373">
        <v>94</v>
      </c>
      <c r="B98" s="300" t="str">
        <f>+BPJS!B98</f>
        <v>ANDRI GUNAWAN</v>
      </c>
      <c r="C98" s="499"/>
      <c r="D98" s="499"/>
      <c r="E98" s="301">
        <v>77532</v>
      </c>
      <c r="F98" s="301">
        <v>77532</v>
      </c>
      <c r="G98" s="301">
        <v>77532</v>
      </c>
      <c r="H98" s="301">
        <v>77532</v>
      </c>
      <c r="I98" s="301">
        <v>77532</v>
      </c>
      <c r="J98" s="301">
        <v>77532</v>
      </c>
      <c r="K98" s="301">
        <v>77532</v>
      </c>
      <c r="L98" s="301">
        <v>77532</v>
      </c>
      <c r="M98" s="301">
        <v>77532</v>
      </c>
      <c r="N98" s="301">
        <v>77532</v>
      </c>
      <c r="O98" s="376">
        <f t="shared" si="7"/>
        <v>775320</v>
      </c>
    </row>
    <row r="99" spans="1:15">
      <c r="A99" s="373">
        <v>95</v>
      </c>
      <c r="B99" s="300" t="str">
        <f>+BPJS!B99</f>
        <v>JUPRI</v>
      </c>
      <c r="C99" s="301">
        <v>77532</v>
      </c>
      <c r="D99" s="301">
        <v>77532</v>
      </c>
      <c r="E99" s="301">
        <v>77532</v>
      </c>
      <c r="F99" s="301">
        <v>77532</v>
      </c>
      <c r="G99" s="301">
        <v>77532</v>
      </c>
      <c r="H99" s="301">
        <v>77532</v>
      </c>
      <c r="I99" s="301">
        <v>77732</v>
      </c>
      <c r="J99" s="301">
        <v>77732</v>
      </c>
      <c r="K99" s="301">
        <v>77732</v>
      </c>
      <c r="L99" s="301">
        <v>77732</v>
      </c>
      <c r="M99" s="301">
        <v>77732</v>
      </c>
      <c r="N99" s="301">
        <v>77732</v>
      </c>
      <c r="O99" s="376">
        <f t="shared" ref="O99:O115" si="10">SUM(C99:N99)</f>
        <v>931584</v>
      </c>
    </row>
    <row r="100" spans="1:15">
      <c r="A100" s="373">
        <v>96</v>
      </c>
      <c r="B100" s="300" t="str">
        <f>+BPJS!B100</f>
        <v>RAMADHAN</v>
      </c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>
        <v>77532</v>
      </c>
      <c r="O100" s="376">
        <f t="shared" si="10"/>
        <v>77532</v>
      </c>
    </row>
    <row r="101" spans="1:15">
      <c r="A101" s="373">
        <v>97</v>
      </c>
      <c r="B101" s="300" t="str">
        <f>+BPJS!B101</f>
        <v>RAFIANSYAH</v>
      </c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>
        <v>77532</v>
      </c>
      <c r="O101" s="376">
        <f t="shared" si="10"/>
        <v>77532</v>
      </c>
    </row>
    <row r="102" spans="1:15">
      <c r="A102" s="373">
        <v>98</v>
      </c>
      <c r="B102" s="300" t="str">
        <f>+BPJS!B102</f>
        <v>VIRGA</v>
      </c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>
        <v>77532</v>
      </c>
      <c r="O102" s="376">
        <f t="shared" si="10"/>
        <v>77532</v>
      </c>
    </row>
    <row r="103" spans="1:15">
      <c r="A103" s="373">
        <v>99</v>
      </c>
      <c r="B103" s="300" t="str">
        <f>+BPJS!B103</f>
        <v>TARMIZI</v>
      </c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>
        <v>77532</v>
      </c>
      <c r="O103" s="376">
        <f t="shared" si="10"/>
        <v>77532</v>
      </c>
    </row>
    <row r="104" spans="1:15">
      <c r="A104" s="373">
        <v>100</v>
      </c>
      <c r="B104" s="300" t="str">
        <f>+BPJS!B104</f>
        <v>ANDREAS</v>
      </c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>
        <v>77532</v>
      </c>
      <c r="O104" s="376">
        <f t="shared" si="10"/>
        <v>77532</v>
      </c>
    </row>
    <row r="105" spans="1:15">
      <c r="A105" s="373">
        <v>101</v>
      </c>
      <c r="B105" s="300">
        <f>+BPJS!B105</f>
        <v>0</v>
      </c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76">
        <f t="shared" si="10"/>
        <v>0</v>
      </c>
    </row>
    <row r="106" spans="1:15">
      <c r="A106" s="373">
        <v>102</v>
      </c>
      <c r="B106" s="300">
        <f>+BPJS!B106</f>
        <v>0</v>
      </c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76">
        <f t="shared" si="10"/>
        <v>0</v>
      </c>
    </row>
    <row r="107" spans="1:15">
      <c r="A107" s="373">
        <v>103</v>
      </c>
      <c r="B107" s="300">
        <f>+BPJS!B107</f>
        <v>0</v>
      </c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76">
        <f t="shared" si="10"/>
        <v>0</v>
      </c>
    </row>
    <row r="108" spans="1:15">
      <c r="A108" s="373">
        <v>104</v>
      </c>
      <c r="B108" s="300">
        <f>+BPJS!B108</f>
        <v>0</v>
      </c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76">
        <f t="shared" si="10"/>
        <v>0</v>
      </c>
    </row>
    <row r="109" spans="1:15">
      <c r="A109" s="373">
        <v>105</v>
      </c>
      <c r="B109" s="300">
        <f>+BPJS!B109</f>
        <v>0</v>
      </c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76">
        <f t="shared" si="10"/>
        <v>0</v>
      </c>
    </row>
    <row r="110" spans="1:15">
      <c r="A110" s="373">
        <v>106</v>
      </c>
      <c r="B110" s="300">
        <f>+BPJS!B110</f>
        <v>0</v>
      </c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76">
        <f t="shared" si="10"/>
        <v>0</v>
      </c>
    </row>
    <row r="111" spans="1:15">
      <c r="A111" s="373">
        <v>107</v>
      </c>
      <c r="B111" s="300">
        <f>+BPJS!B111</f>
        <v>0</v>
      </c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76">
        <f t="shared" si="10"/>
        <v>0</v>
      </c>
    </row>
    <row r="112" spans="1:15">
      <c r="A112" s="373">
        <v>108</v>
      </c>
      <c r="B112" s="300">
        <f>+BPJS!B112</f>
        <v>0</v>
      </c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76">
        <f t="shared" si="10"/>
        <v>0</v>
      </c>
    </row>
    <row r="113" spans="1:18">
      <c r="A113" s="373">
        <v>109</v>
      </c>
      <c r="B113" s="300">
        <f>+BPJS!B113</f>
        <v>0</v>
      </c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76">
        <f t="shared" si="10"/>
        <v>0</v>
      </c>
    </row>
    <row r="114" spans="1:18">
      <c r="A114" s="373">
        <v>110</v>
      </c>
      <c r="B114" s="300">
        <f>+BPJS!B114</f>
        <v>0</v>
      </c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76">
        <f t="shared" si="10"/>
        <v>0</v>
      </c>
    </row>
    <row r="115" spans="1:18">
      <c r="A115" s="373">
        <v>111</v>
      </c>
      <c r="B115" s="300">
        <f>+BPJS!B115</f>
        <v>0</v>
      </c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76">
        <f t="shared" si="10"/>
        <v>0</v>
      </c>
    </row>
    <row r="116" spans="1:18" ht="15.75" thickBot="1">
      <c r="A116" s="373">
        <v>112</v>
      </c>
      <c r="B116" s="300">
        <f>+BPJS!B116</f>
        <v>0</v>
      </c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76"/>
    </row>
    <row r="117" spans="1:18" ht="15.75" thickBot="1">
      <c r="A117" s="650" t="s">
        <v>461</v>
      </c>
      <c r="B117" s="651"/>
      <c r="C117" s="382">
        <f t="shared" ref="C117:M117" si="11">SUM(C5:C115)</f>
        <v>7288008</v>
      </c>
      <c r="D117" s="382">
        <f t="shared" si="11"/>
        <v>7288008</v>
      </c>
      <c r="E117" s="382">
        <f t="shared" si="11"/>
        <v>7365540</v>
      </c>
      <c r="F117" s="382">
        <f t="shared" si="11"/>
        <v>7365540</v>
      </c>
      <c r="G117" s="382">
        <f t="shared" si="11"/>
        <v>7365540</v>
      </c>
      <c r="H117" s="382">
        <f t="shared" si="11"/>
        <v>7210476</v>
      </c>
      <c r="I117" s="382">
        <f t="shared" si="11"/>
        <v>7274664</v>
      </c>
      <c r="J117" s="382">
        <f t="shared" si="11"/>
        <v>7120512</v>
      </c>
      <c r="K117" s="382">
        <f t="shared" si="11"/>
        <v>7043050</v>
      </c>
      <c r="L117" s="382">
        <f t="shared" si="11"/>
        <v>6965668</v>
      </c>
      <c r="M117" s="382">
        <f t="shared" si="11"/>
        <v>6888406</v>
      </c>
      <c r="N117" s="382">
        <f>SUM(N5:N115)</f>
        <v>6964718</v>
      </c>
      <c r="O117" s="376">
        <f>SUM(C117:N117)</f>
        <v>86140130</v>
      </c>
      <c r="Q117" s="257">
        <v>6577058</v>
      </c>
      <c r="R117" s="542">
        <f>Q117-N117</f>
        <v>-387660</v>
      </c>
    </row>
    <row r="119" spans="1:18">
      <c r="A119" s="373">
        <v>74</v>
      </c>
      <c r="B119" s="300" t="str">
        <f>+BPJS!B120</f>
        <v>HERY</v>
      </c>
      <c r="C119" s="375">
        <f t="shared" si="8"/>
        <v>77532</v>
      </c>
      <c r="D119" s="375">
        <f t="shared" si="8"/>
        <v>77532</v>
      </c>
      <c r="E119" s="375">
        <f t="shared" si="8"/>
        <v>77532</v>
      </c>
      <c r="F119" s="375">
        <f t="shared" si="8"/>
        <v>77532</v>
      </c>
      <c r="G119" s="375">
        <f t="shared" si="8"/>
        <v>77532</v>
      </c>
      <c r="H119" s="375">
        <f t="shared" si="8"/>
        <v>77532</v>
      </c>
      <c r="I119" s="301">
        <v>77670</v>
      </c>
      <c r="J119" s="301">
        <v>77682</v>
      </c>
      <c r="K119" s="301"/>
      <c r="L119" s="301"/>
      <c r="M119" s="301"/>
      <c r="N119" s="301"/>
      <c r="O119" s="376">
        <f>SUM(C119:N119)</f>
        <v>620544</v>
      </c>
    </row>
    <row r="120" spans="1:18">
      <c r="A120" s="373">
        <v>2</v>
      </c>
      <c r="B120" s="300" t="str">
        <f>+BPJS!B121</f>
        <v>MARETA</v>
      </c>
      <c r="C120" s="375">
        <f t="shared" si="2"/>
        <v>77532</v>
      </c>
      <c r="D120" s="375">
        <f t="shared" si="0"/>
        <v>77532</v>
      </c>
      <c r="E120" s="375">
        <f t="shared" si="0"/>
        <v>77532</v>
      </c>
      <c r="F120" s="375">
        <f t="shared" si="0"/>
        <v>77532</v>
      </c>
      <c r="G120" s="375">
        <f t="shared" si="0"/>
        <v>77532</v>
      </c>
      <c r="H120" s="375">
        <f t="shared" si="0"/>
        <v>77532</v>
      </c>
      <c r="I120" s="301">
        <v>77940</v>
      </c>
      <c r="J120" s="301">
        <v>77952</v>
      </c>
      <c r="K120" s="301">
        <v>77952</v>
      </c>
      <c r="L120" s="301">
        <v>77952</v>
      </c>
      <c r="M120" s="301"/>
      <c r="N120" s="301"/>
      <c r="O120" s="376">
        <f>SUM(C120:N120)</f>
        <v>776988</v>
      </c>
    </row>
    <row r="121" spans="1:18" ht="15.75" thickBot="1">
      <c r="C121" s="522" t="s">
        <v>718</v>
      </c>
    </row>
    <row r="122" spans="1:18">
      <c r="A122" s="641" t="s">
        <v>494</v>
      </c>
      <c r="B122" s="643" t="s">
        <v>495</v>
      </c>
      <c r="C122" s="645"/>
      <c r="D122" s="645"/>
      <c r="E122" s="645"/>
      <c r="F122" s="645"/>
      <c r="G122" s="645"/>
      <c r="H122" s="646"/>
      <c r="I122" s="645"/>
      <c r="J122" s="645"/>
      <c r="K122" s="645"/>
      <c r="L122" s="645"/>
      <c r="M122" s="645"/>
      <c r="N122" s="647"/>
      <c r="O122" s="648" t="s">
        <v>461</v>
      </c>
    </row>
    <row r="123" spans="1:18" ht="15.75" thickBot="1">
      <c r="A123" s="642"/>
      <c r="B123" s="644"/>
      <c r="C123" s="372" t="s">
        <v>497</v>
      </c>
      <c r="D123" s="372" t="s">
        <v>498</v>
      </c>
      <c r="E123" s="372" t="s">
        <v>499</v>
      </c>
      <c r="F123" s="372" t="s">
        <v>500</v>
      </c>
      <c r="G123" s="372" t="s">
        <v>501</v>
      </c>
      <c r="H123" s="372" t="s">
        <v>502</v>
      </c>
      <c r="I123" s="372" t="s">
        <v>503</v>
      </c>
      <c r="J123" s="372" t="s">
        <v>504</v>
      </c>
      <c r="K123" s="372" t="s">
        <v>505</v>
      </c>
      <c r="L123" s="372" t="s">
        <v>506</v>
      </c>
      <c r="M123" s="372" t="s">
        <v>507</v>
      </c>
      <c r="N123" s="372" t="s">
        <v>31</v>
      </c>
      <c r="O123" s="649"/>
    </row>
    <row r="124" spans="1:18">
      <c r="A124" s="373">
        <v>1</v>
      </c>
      <c r="B124" s="300" t="str">
        <f t="shared" ref="B124:B155" si="12">+B5</f>
        <v>ARYADI</v>
      </c>
      <c r="C124" s="375">
        <f>3876600*1%</f>
        <v>38766</v>
      </c>
      <c r="D124" s="375">
        <f t="shared" ref="D124:H242" si="13">3876600*1%</f>
        <v>38766</v>
      </c>
      <c r="E124" s="375">
        <f t="shared" si="13"/>
        <v>38766</v>
      </c>
      <c r="F124" s="375">
        <f t="shared" si="13"/>
        <v>38766</v>
      </c>
      <c r="G124" s="375">
        <f t="shared" si="13"/>
        <v>38766</v>
      </c>
      <c r="H124" s="375">
        <f t="shared" si="13"/>
        <v>38766</v>
      </c>
      <c r="I124" s="301">
        <v>39265</v>
      </c>
      <c r="J124" s="301">
        <v>39271</v>
      </c>
      <c r="K124" s="301">
        <v>39271</v>
      </c>
      <c r="L124" s="301">
        <v>39271</v>
      </c>
      <c r="M124" s="301">
        <v>39271</v>
      </c>
      <c r="N124" s="301">
        <v>39271</v>
      </c>
      <c r="O124" s="376">
        <f t="shared" ref="O124:O154" si="14">SUM(C124:N124)</f>
        <v>468216</v>
      </c>
    </row>
    <row r="125" spans="1:18">
      <c r="A125" s="373">
        <v>2</v>
      </c>
      <c r="B125" s="300" t="str">
        <f t="shared" si="12"/>
        <v>SUPRI</v>
      </c>
      <c r="C125" s="375">
        <f t="shared" ref="C125:H242" si="15">3876600*1%</f>
        <v>38766</v>
      </c>
      <c r="D125" s="375">
        <f t="shared" si="13"/>
        <v>38766</v>
      </c>
      <c r="E125" s="375">
        <f t="shared" si="13"/>
        <v>38766</v>
      </c>
      <c r="F125" s="375">
        <f t="shared" si="13"/>
        <v>38766</v>
      </c>
      <c r="G125" s="375">
        <f t="shared" si="13"/>
        <v>38766</v>
      </c>
      <c r="H125" s="375">
        <f t="shared" si="13"/>
        <v>38766</v>
      </c>
      <c r="I125" s="301">
        <v>39265</v>
      </c>
      <c r="J125" s="301">
        <v>39271</v>
      </c>
      <c r="K125" s="301">
        <v>39271</v>
      </c>
      <c r="L125" s="301">
        <v>39271</v>
      </c>
      <c r="M125" s="301">
        <v>39271</v>
      </c>
      <c r="N125" s="301">
        <v>39271</v>
      </c>
      <c r="O125" s="376">
        <f t="shared" si="14"/>
        <v>468216</v>
      </c>
    </row>
    <row r="126" spans="1:18">
      <c r="A126" s="373">
        <v>3</v>
      </c>
      <c r="B126" s="300" t="str">
        <f t="shared" si="12"/>
        <v>ROTIA</v>
      </c>
      <c r="C126" s="375">
        <f t="shared" si="15"/>
        <v>38766</v>
      </c>
      <c r="D126" s="375">
        <f t="shared" si="13"/>
        <v>38766</v>
      </c>
      <c r="E126" s="375">
        <f t="shared" si="13"/>
        <v>38766</v>
      </c>
      <c r="F126" s="375">
        <f t="shared" si="13"/>
        <v>38766</v>
      </c>
      <c r="G126" s="375">
        <f t="shared" si="13"/>
        <v>38766</v>
      </c>
      <c r="H126" s="375">
        <f t="shared" si="13"/>
        <v>38766</v>
      </c>
      <c r="I126" s="301">
        <v>39300</v>
      </c>
      <c r="J126" s="301">
        <v>39306</v>
      </c>
      <c r="K126" s="301">
        <v>39306</v>
      </c>
      <c r="L126" s="301">
        <v>39341</v>
      </c>
      <c r="M126" s="301">
        <v>39341</v>
      </c>
      <c r="N126" s="301">
        <v>39341</v>
      </c>
      <c r="O126" s="376">
        <f t="shared" si="14"/>
        <v>468531</v>
      </c>
    </row>
    <row r="127" spans="1:18">
      <c r="A127" s="373">
        <v>4</v>
      </c>
      <c r="B127" s="300" t="str">
        <f t="shared" si="12"/>
        <v>SURYANI</v>
      </c>
      <c r="C127" s="375">
        <f t="shared" si="15"/>
        <v>38766</v>
      </c>
      <c r="D127" s="375">
        <f t="shared" si="13"/>
        <v>38766</v>
      </c>
      <c r="E127" s="375">
        <f t="shared" si="13"/>
        <v>38766</v>
      </c>
      <c r="F127" s="375">
        <f t="shared" si="13"/>
        <v>38766</v>
      </c>
      <c r="G127" s="375">
        <f t="shared" si="13"/>
        <v>38766</v>
      </c>
      <c r="H127" s="375">
        <f t="shared" si="13"/>
        <v>38766</v>
      </c>
      <c r="I127" s="301">
        <v>39300</v>
      </c>
      <c r="J127" s="301">
        <v>39306</v>
      </c>
      <c r="K127" s="301">
        <v>39306</v>
      </c>
      <c r="L127" s="301">
        <v>39306</v>
      </c>
      <c r="M127" s="301">
        <v>39306</v>
      </c>
      <c r="N127" s="301">
        <v>39306</v>
      </c>
      <c r="O127" s="376">
        <f t="shared" si="14"/>
        <v>468426</v>
      </c>
    </row>
    <row r="128" spans="1:18">
      <c r="A128" s="373">
        <v>5</v>
      </c>
      <c r="B128" s="300" t="str">
        <f t="shared" si="12"/>
        <v>SAHINA YUNI</v>
      </c>
      <c r="C128" s="375">
        <f t="shared" si="15"/>
        <v>38766</v>
      </c>
      <c r="D128" s="375">
        <f t="shared" si="13"/>
        <v>38766</v>
      </c>
      <c r="E128" s="375">
        <f t="shared" si="13"/>
        <v>38766</v>
      </c>
      <c r="F128" s="375">
        <f t="shared" si="13"/>
        <v>38766</v>
      </c>
      <c r="G128" s="375">
        <f t="shared" si="13"/>
        <v>38766</v>
      </c>
      <c r="H128" s="375">
        <f t="shared" si="13"/>
        <v>38766</v>
      </c>
      <c r="I128" s="301">
        <v>39265</v>
      </c>
      <c r="J128" s="301">
        <v>39271</v>
      </c>
      <c r="K128" s="301">
        <v>39271</v>
      </c>
      <c r="L128" s="301">
        <v>39271</v>
      </c>
      <c r="M128" s="301">
        <v>39271</v>
      </c>
      <c r="N128" s="301">
        <v>39306</v>
      </c>
      <c r="O128" s="376">
        <f t="shared" si="14"/>
        <v>468251</v>
      </c>
    </row>
    <row r="129" spans="1:15">
      <c r="A129" s="373">
        <v>6</v>
      </c>
      <c r="B129" s="300" t="str">
        <f t="shared" si="12"/>
        <v>NURLELA</v>
      </c>
      <c r="C129" s="375">
        <f t="shared" si="15"/>
        <v>38766</v>
      </c>
      <c r="D129" s="375">
        <f t="shared" si="13"/>
        <v>38766</v>
      </c>
      <c r="E129" s="375">
        <f t="shared" si="13"/>
        <v>38766</v>
      </c>
      <c r="F129" s="375">
        <f t="shared" si="13"/>
        <v>38766</v>
      </c>
      <c r="G129" s="375">
        <f t="shared" si="13"/>
        <v>38766</v>
      </c>
      <c r="H129" s="375">
        <f t="shared" si="13"/>
        <v>38766</v>
      </c>
      <c r="I129" s="301">
        <v>39720</v>
      </c>
      <c r="J129" s="301">
        <v>39726</v>
      </c>
      <c r="K129" s="301">
        <v>39726</v>
      </c>
      <c r="L129" s="301">
        <v>39726</v>
      </c>
      <c r="M129" s="301">
        <v>39726</v>
      </c>
      <c r="N129" s="301">
        <v>39726</v>
      </c>
      <c r="O129" s="376">
        <f t="shared" si="14"/>
        <v>470946</v>
      </c>
    </row>
    <row r="130" spans="1:15">
      <c r="A130" s="373">
        <v>7</v>
      </c>
      <c r="B130" s="300" t="str">
        <f t="shared" si="12"/>
        <v>SUSINARTI</v>
      </c>
      <c r="C130" s="375">
        <f t="shared" si="15"/>
        <v>38766</v>
      </c>
      <c r="D130" s="375">
        <f t="shared" si="13"/>
        <v>38766</v>
      </c>
      <c r="E130" s="375">
        <f t="shared" si="13"/>
        <v>38766</v>
      </c>
      <c r="F130" s="375">
        <f t="shared" si="13"/>
        <v>38766</v>
      </c>
      <c r="G130" s="375">
        <f t="shared" si="13"/>
        <v>38766</v>
      </c>
      <c r="H130" s="375">
        <f t="shared" si="13"/>
        <v>38766</v>
      </c>
      <c r="I130" s="301">
        <v>39230</v>
      </c>
      <c r="J130" s="301">
        <v>39236</v>
      </c>
      <c r="K130" s="301">
        <v>39236</v>
      </c>
      <c r="L130" s="301">
        <v>39271</v>
      </c>
      <c r="M130" s="301">
        <v>39271</v>
      </c>
      <c r="N130" s="301">
        <v>39271</v>
      </c>
      <c r="O130" s="376">
        <f t="shared" si="14"/>
        <v>468111</v>
      </c>
    </row>
    <row r="131" spans="1:15">
      <c r="A131" s="373">
        <v>8</v>
      </c>
      <c r="B131" s="300" t="str">
        <f t="shared" si="12"/>
        <v>JAHIMIN</v>
      </c>
      <c r="C131" s="375">
        <f t="shared" si="15"/>
        <v>38766</v>
      </c>
      <c r="D131" s="375">
        <f t="shared" si="13"/>
        <v>38766</v>
      </c>
      <c r="E131" s="375">
        <f t="shared" si="13"/>
        <v>38766</v>
      </c>
      <c r="F131" s="375">
        <f t="shared" si="13"/>
        <v>38766</v>
      </c>
      <c r="G131" s="375">
        <f t="shared" si="13"/>
        <v>38766</v>
      </c>
      <c r="H131" s="375">
        <f t="shared" si="13"/>
        <v>38766</v>
      </c>
      <c r="I131" s="301">
        <v>39615</v>
      </c>
      <c r="J131" s="301">
        <v>39621</v>
      </c>
      <c r="K131" s="301">
        <v>39621</v>
      </c>
      <c r="L131" s="301">
        <v>39621</v>
      </c>
      <c r="M131" s="301">
        <v>39621</v>
      </c>
      <c r="N131" s="301">
        <v>39621</v>
      </c>
      <c r="O131" s="376">
        <f t="shared" si="14"/>
        <v>470316</v>
      </c>
    </row>
    <row r="132" spans="1:15">
      <c r="A132" s="373">
        <v>9</v>
      </c>
      <c r="B132" s="300" t="str">
        <f t="shared" si="12"/>
        <v>GUSTAMI</v>
      </c>
      <c r="C132" s="375">
        <f t="shared" si="15"/>
        <v>38766</v>
      </c>
      <c r="D132" s="375">
        <f t="shared" si="13"/>
        <v>38766</v>
      </c>
      <c r="E132" s="375">
        <f t="shared" si="13"/>
        <v>38766</v>
      </c>
      <c r="F132" s="375">
        <f t="shared" si="13"/>
        <v>38766</v>
      </c>
      <c r="G132" s="375">
        <f t="shared" si="13"/>
        <v>38766</v>
      </c>
      <c r="H132" s="375">
        <f t="shared" si="13"/>
        <v>38766</v>
      </c>
      <c r="I132" s="301">
        <v>39090</v>
      </c>
      <c r="J132" s="301">
        <v>39096</v>
      </c>
      <c r="K132" s="301">
        <v>39096</v>
      </c>
      <c r="L132" s="301">
        <v>39096</v>
      </c>
      <c r="M132" s="301">
        <v>39096</v>
      </c>
      <c r="N132" s="301">
        <v>39131</v>
      </c>
      <c r="O132" s="376">
        <f t="shared" si="14"/>
        <v>467201</v>
      </c>
    </row>
    <row r="133" spans="1:15">
      <c r="A133" s="373">
        <v>10</v>
      </c>
      <c r="B133" s="300" t="str">
        <f t="shared" si="12"/>
        <v>AGUS TRIANTIKA</v>
      </c>
      <c r="C133" s="375">
        <f t="shared" si="15"/>
        <v>38766</v>
      </c>
      <c r="D133" s="375">
        <f t="shared" si="13"/>
        <v>38766</v>
      </c>
      <c r="E133" s="375">
        <f t="shared" si="13"/>
        <v>38766</v>
      </c>
      <c r="F133" s="375">
        <f t="shared" si="13"/>
        <v>38766</v>
      </c>
      <c r="G133" s="375">
        <f t="shared" si="13"/>
        <v>38766</v>
      </c>
      <c r="H133" s="375">
        <f t="shared" si="13"/>
        <v>38766</v>
      </c>
      <c r="I133" s="301">
        <v>39000</v>
      </c>
      <c r="J133" s="301">
        <v>39036</v>
      </c>
      <c r="K133" s="301">
        <v>39036</v>
      </c>
      <c r="L133" s="301">
        <v>39036</v>
      </c>
      <c r="M133" s="301">
        <v>39036</v>
      </c>
      <c r="N133" s="301">
        <v>39036</v>
      </c>
      <c r="O133" s="376">
        <f t="shared" si="14"/>
        <v>466776</v>
      </c>
    </row>
    <row r="134" spans="1:15">
      <c r="A134" s="373">
        <v>11</v>
      </c>
      <c r="B134" s="300" t="str">
        <f t="shared" si="12"/>
        <v>FIKA HOIRI</v>
      </c>
      <c r="C134" s="375">
        <f t="shared" si="15"/>
        <v>38766</v>
      </c>
      <c r="D134" s="375">
        <f t="shared" si="13"/>
        <v>38766</v>
      </c>
      <c r="E134" s="375">
        <f t="shared" si="13"/>
        <v>38766</v>
      </c>
      <c r="F134" s="375">
        <f t="shared" si="13"/>
        <v>38766</v>
      </c>
      <c r="G134" s="375">
        <f t="shared" si="13"/>
        <v>38766</v>
      </c>
      <c r="H134" s="375">
        <f t="shared" si="13"/>
        <v>38766</v>
      </c>
      <c r="I134" s="301">
        <v>38860</v>
      </c>
      <c r="J134" s="301">
        <v>38866</v>
      </c>
      <c r="K134" s="301">
        <v>38866</v>
      </c>
      <c r="L134" s="301">
        <v>38866</v>
      </c>
      <c r="M134" s="301">
        <v>38891</v>
      </c>
      <c r="N134" s="301">
        <v>38891</v>
      </c>
      <c r="O134" s="376">
        <f t="shared" si="14"/>
        <v>465836</v>
      </c>
    </row>
    <row r="135" spans="1:15">
      <c r="A135" s="373">
        <v>12</v>
      </c>
      <c r="B135" s="300" t="str">
        <f t="shared" si="12"/>
        <v>NOPI HARIKA</v>
      </c>
      <c r="C135" s="375">
        <f t="shared" si="15"/>
        <v>38766</v>
      </c>
      <c r="D135" s="375">
        <f t="shared" si="13"/>
        <v>38766</v>
      </c>
      <c r="E135" s="375">
        <f t="shared" si="13"/>
        <v>38766</v>
      </c>
      <c r="F135" s="375">
        <f t="shared" si="13"/>
        <v>38766</v>
      </c>
      <c r="G135" s="375">
        <f t="shared" si="13"/>
        <v>38766</v>
      </c>
      <c r="H135" s="375">
        <f t="shared" si="13"/>
        <v>38766</v>
      </c>
      <c r="I135" s="301">
        <v>39265</v>
      </c>
      <c r="J135" s="301">
        <v>39271</v>
      </c>
      <c r="K135" s="301">
        <v>39271</v>
      </c>
      <c r="L135" s="301">
        <v>39271</v>
      </c>
      <c r="M135" s="301">
        <v>39271</v>
      </c>
      <c r="N135" s="301">
        <v>39271</v>
      </c>
      <c r="O135" s="376">
        <f t="shared" si="14"/>
        <v>468216</v>
      </c>
    </row>
    <row r="136" spans="1:15">
      <c r="A136" s="373">
        <v>13</v>
      </c>
      <c r="B136" s="300" t="str">
        <f t="shared" si="12"/>
        <v>SARI IRIANTI</v>
      </c>
      <c r="C136" s="375">
        <f t="shared" si="15"/>
        <v>38766</v>
      </c>
      <c r="D136" s="375">
        <f t="shared" si="13"/>
        <v>38766</v>
      </c>
      <c r="E136" s="375">
        <f t="shared" si="13"/>
        <v>38766</v>
      </c>
      <c r="F136" s="375">
        <f t="shared" si="13"/>
        <v>38766</v>
      </c>
      <c r="G136" s="375">
        <f t="shared" si="13"/>
        <v>38766</v>
      </c>
      <c r="H136" s="375">
        <f t="shared" si="13"/>
        <v>38766</v>
      </c>
      <c r="I136" s="301">
        <v>39030</v>
      </c>
      <c r="J136" s="301">
        <v>39066</v>
      </c>
      <c r="K136" s="301">
        <v>39066</v>
      </c>
      <c r="L136" s="301">
        <v>39066</v>
      </c>
      <c r="M136" s="301">
        <v>39066</v>
      </c>
      <c r="N136" s="301">
        <v>39066</v>
      </c>
      <c r="O136" s="376">
        <f t="shared" si="14"/>
        <v>466956</v>
      </c>
    </row>
    <row r="137" spans="1:15">
      <c r="A137" s="373">
        <v>14</v>
      </c>
      <c r="B137" s="300" t="str">
        <f t="shared" si="12"/>
        <v>ROSNANI</v>
      </c>
      <c r="C137" s="375">
        <f t="shared" si="15"/>
        <v>38766</v>
      </c>
      <c r="D137" s="375">
        <f t="shared" si="13"/>
        <v>38766</v>
      </c>
      <c r="E137" s="375">
        <f t="shared" si="13"/>
        <v>38766</v>
      </c>
      <c r="F137" s="375">
        <f t="shared" si="13"/>
        <v>38766</v>
      </c>
      <c r="G137" s="375">
        <f t="shared" si="13"/>
        <v>38766</v>
      </c>
      <c r="H137" s="375">
        <f t="shared" si="13"/>
        <v>38766</v>
      </c>
      <c r="I137" s="301">
        <v>39300</v>
      </c>
      <c r="J137" s="301">
        <v>39306</v>
      </c>
      <c r="K137" s="301">
        <v>39306</v>
      </c>
      <c r="L137" s="378">
        <v>39341</v>
      </c>
      <c r="M137" s="378">
        <v>39341</v>
      </c>
      <c r="N137" s="378">
        <v>39341</v>
      </c>
      <c r="O137" s="376">
        <f t="shared" si="14"/>
        <v>468531</v>
      </c>
    </row>
    <row r="138" spans="1:15">
      <c r="A138" s="373">
        <v>15</v>
      </c>
      <c r="B138" s="300" t="str">
        <f t="shared" si="12"/>
        <v>YESI</v>
      </c>
      <c r="C138" s="375">
        <f t="shared" si="15"/>
        <v>38766</v>
      </c>
      <c r="D138" s="375">
        <f t="shared" si="13"/>
        <v>38766</v>
      </c>
      <c r="E138" s="375">
        <f t="shared" si="13"/>
        <v>38766</v>
      </c>
      <c r="F138" s="375">
        <f t="shared" si="13"/>
        <v>38766</v>
      </c>
      <c r="G138" s="375">
        <f t="shared" si="13"/>
        <v>38766</v>
      </c>
      <c r="H138" s="375">
        <f t="shared" si="13"/>
        <v>38766</v>
      </c>
      <c r="I138" s="301">
        <v>38970</v>
      </c>
      <c r="J138" s="301">
        <v>38976</v>
      </c>
      <c r="K138" s="301">
        <v>38976</v>
      </c>
      <c r="L138" s="301">
        <v>38976</v>
      </c>
      <c r="M138" s="301">
        <v>38976</v>
      </c>
      <c r="N138" s="301">
        <v>38976</v>
      </c>
      <c r="O138" s="376">
        <f t="shared" si="14"/>
        <v>466446</v>
      </c>
    </row>
    <row r="139" spans="1:15">
      <c r="A139" s="373">
        <v>16</v>
      </c>
      <c r="B139" s="300" t="str">
        <f t="shared" si="12"/>
        <v>WAKINI</v>
      </c>
      <c r="C139" s="375">
        <f t="shared" si="15"/>
        <v>38766</v>
      </c>
      <c r="D139" s="375">
        <f t="shared" si="15"/>
        <v>38766</v>
      </c>
      <c r="E139" s="375">
        <f t="shared" si="15"/>
        <v>38766</v>
      </c>
      <c r="F139" s="375">
        <f t="shared" si="15"/>
        <v>38766</v>
      </c>
      <c r="G139" s="375">
        <f t="shared" si="15"/>
        <v>38766</v>
      </c>
      <c r="H139" s="375">
        <f t="shared" si="15"/>
        <v>38766</v>
      </c>
      <c r="I139" s="301">
        <v>38970</v>
      </c>
      <c r="J139" s="301">
        <v>38976</v>
      </c>
      <c r="K139" s="301">
        <v>38976</v>
      </c>
      <c r="L139" s="378">
        <v>38976</v>
      </c>
      <c r="M139" s="378">
        <v>38976</v>
      </c>
      <c r="N139" s="378">
        <v>38976</v>
      </c>
      <c r="O139" s="376">
        <f t="shared" si="14"/>
        <v>466446</v>
      </c>
    </row>
    <row r="140" spans="1:15">
      <c r="A140" s="373">
        <v>17</v>
      </c>
      <c r="B140" s="300" t="str">
        <f t="shared" si="12"/>
        <v>WITA SARI</v>
      </c>
      <c r="C140" s="375">
        <f t="shared" ref="C140:H155" si="16">3876600*1%</f>
        <v>38766</v>
      </c>
      <c r="D140" s="375">
        <f t="shared" si="16"/>
        <v>38766</v>
      </c>
      <c r="E140" s="375">
        <f t="shared" si="16"/>
        <v>38766</v>
      </c>
      <c r="F140" s="375">
        <f t="shared" si="16"/>
        <v>38766</v>
      </c>
      <c r="G140" s="375">
        <f t="shared" si="16"/>
        <v>38766</v>
      </c>
      <c r="H140" s="375">
        <f t="shared" si="16"/>
        <v>38766</v>
      </c>
      <c r="I140" s="301">
        <v>38970</v>
      </c>
      <c r="J140" s="301">
        <v>38976</v>
      </c>
      <c r="K140" s="301">
        <v>38976</v>
      </c>
      <c r="L140" s="378">
        <v>38976</v>
      </c>
      <c r="M140" s="378">
        <v>38976</v>
      </c>
      <c r="N140" s="378">
        <v>38976</v>
      </c>
      <c r="O140" s="376">
        <f t="shared" si="14"/>
        <v>466446</v>
      </c>
    </row>
    <row r="141" spans="1:15">
      <c r="A141" s="373">
        <v>18</v>
      </c>
      <c r="B141" s="300" t="str">
        <f t="shared" si="12"/>
        <v>SARWANDI</v>
      </c>
      <c r="C141" s="375">
        <f t="shared" si="16"/>
        <v>38766</v>
      </c>
      <c r="D141" s="375">
        <f t="shared" si="16"/>
        <v>38766</v>
      </c>
      <c r="E141" s="375">
        <f t="shared" si="16"/>
        <v>38766</v>
      </c>
      <c r="F141" s="375">
        <f t="shared" si="16"/>
        <v>38766</v>
      </c>
      <c r="G141" s="375">
        <f t="shared" si="16"/>
        <v>38766</v>
      </c>
      <c r="H141" s="375">
        <f t="shared" si="16"/>
        <v>38766</v>
      </c>
      <c r="I141" s="301">
        <v>39125</v>
      </c>
      <c r="J141" s="301">
        <v>39131</v>
      </c>
      <c r="K141" s="301">
        <v>39131</v>
      </c>
      <c r="L141" s="301">
        <v>39131</v>
      </c>
      <c r="M141" s="537">
        <v>39166</v>
      </c>
      <c r="N141" s="301">
        <v>39166</v>
      </c>
      <c r="O141" s="376">
        <f t="shared" si="14"/>
        <v>467446</v>
      </c>
    </row>
    <row r="142" spans="1:15">
      <c r="A142" s="373">
        <v>19</v>
      </c>
      <c r="B142" s="300" t="str">
        <f t="shared" si="12"/>
        <v>ANI MARIA</v>
      </c>
      <c r="C142" s="375">
        <f t="shared" si="16"/>
        <v>38766</v>
      </c>
      <c r="D142" s="375">
        <f t="shared" si="16"/>
        <v>38766</v>
      </c>
      <c r="E142" s="375">
        <f t="shared" si="16"/>
        <v>38766</v>
      </c>
      <c r="F142" s="375">
        <f t="shared" si="16"/>
        <v>38766</v>
      </c>
      <c r="G142" s="375">
        <f t="shared" si="16"/>
        <v>38766</v>
      </c>
      <c r="H142" s="375">
        <f t="shared" si="16"/>
        <v>38766</v>
      </c>
      <c r="I142" s="301">
        <v>39265</v>
      </c>
      <c r="J142" s="301">
        <v>39271</v>
      </c>
      <c r="K142" s="301">
        <v>39271</v>
      </c>
      <c r="L142" s="378">
        <v>39271</v>
      </c>
      <c r="M142" s="538">
        <v>39271</v>
      </c>
      <c r="N142" s="378">
        <v>39271</v>
      </c>
      <c r="O142" s="376">
        <f t="shared" si="14"/>
        <v>468216</v>
      </c>
    </row>
    <row r="143" spans="1:15">
      <c r="A143" s="373">
        <v>20</v>
      </c>
      <c r="B143" s="300" t="str">
        <f t="shared" si="12"/>
        <v>YULIARDI</v>
      </c>
      <c r="C143" s="375">
        <f t="shared" si="16"/>
        <v>38766</v>
      </c>
      <c r="D143" s="375">
        <f t="shared" si="16"/>
        <v>38766</v>
      </c>
      <c r="E143" s="375">
        <f t="shared" si="16"/>
        <v>38766</v>
      </c>
      <c r="F143" s="375">
        <f t="shared" si="16"/>
        <v>38766</v>
      </c>
      <c r="G143" s="375">
        <f t="shared" si="16"/>
        <v>38766</v>
      </c>
      <c r="H143" s="375">
        <f t="shared" si="16"/>
        <v>38766</v>
      </c>
      <c r="I143" s="301">
        <v>39265</v>
      </c>
      <c r="J143" s="301">
        <v>39271</v>
      </c>
      <c r="K143" s="301">
        <v>39271</v>
      </c>
      <c r="L143" s="301">
        <v>39271</v>
      </c>
      <c r="M143" s="537">
        <v>39271</v>
      </c>
      <c r="N143" s="301">
        <v>39271</v>
      </c>
      <c r="O143" s="376">
        <f t="shared" si="14"/>
        <v>468216</v>
      </c>
    </row>
    <row r="144" spans="1:15">
      <c r="A144" s="373">
        <v>21</v>
      </c>
      <c r="B144" s="300" t="str">
        <f t="shared" si="12"/>
        <v>YADI</v>
      </c>
      <c r="C144" s="375">
        <f t="shared" si="16"/>
        <v>38766</v>
      </c>
      <c r="D144" s="375">
        <f t="shared" si="16"/>
        <v>38766</v>
      </c>
      <c r="E144" s="375">
        <f t="shared" si="16"/>
        <v>38766</v>
      </c>
      <c r="F144" s="375">
        <f t="shared" si="16"/>
        <v>38766</v>
      </c>
      <c r="G144" s="375">
        <f t="shared" si="16"/>
        <v>38766</v>
      </c>
      <c r="H144" s="375">
        <f t="shared" si="16"/>
        <v>38766</v>
      </c>
      <c r="I144" s="301">
        <v>39030</v>
      </c>
      <c r="J144" s="301">
        <v>39036</v>
      </c>
      <c r="K144" s="301">
        <v>39036</v>
      </c>
      <c r="L144" s="378">
        <v>39036</v>
      </c>
      <c r="M144" s="537">
        <v>39036</v>
      </c>
      <c r="N144" s="301">
        <v>39036</v>
      </c>
      <c r="O144" s="376">
        <f t="shared" si="14"/>
        <v>466806</v>
      </c>
    </row>
    <row r="145" spans="1:15">
      <c r="A145" s="373">
        <v>22</v>
      </c>
      <c r="B145" s="300" t="str">
        <f t="shared" si="12"/>
        <v>YEKILIA</v>
      </c>
      <c r="C145" s="375">
        <f t="shared" si="16"/>
        <v>38766</v>
      </c>
      <c r="D145" s="375">
        <f t="shared" si="16"/>
        <v>38766</v>
      </c>
      <c r="E145" s="375">
        <f t="shared" si="16"/>
        <v>38766</v>
      </c>
      <c r="F145" s="375">
        <f t="shared" si="16"/>
        <v>38766</v>
      </c>
      <c r="G145" s="375">
        <f t="shared" si="16"/>
        <v>38766</v>
      </c>
      <c r="H145" s="375">
        <f t="shared" si="16"/>
        <v>38766</v>
      </c>
      <c r="I145" s="375">
        <v>38970</v>
      </c>
      <c r="J145" s="375">
        <v>38976</v>
      </c>
      <c r="K145" s="375">
        <v>38976</v>
      </c>
      <c r="L145" s="378">
        <v>38976</v>
      </c>
      <c r="M145" s="538">
        <v>38976</v>
      </c>
      <c r="N145" s="378">
        <v>38976</v>
      </c>
      <c r="O145" s="376">
        <f t="shared" si="14"/>
        <v>466446</v>
      </c>
    </row>
    <row r="146" spans="1:15">
      <c r="A146" s="373">
        <v>23</v>
      </c>
      <c r="B146" s="300" t="str">
        <f t="shared" si="12"/>
        <v>LESMANA GIRI</v>
      </c>
      <c r="C146" s="375">
        <f t="shared" si="16"/>
        <v>38766</v>
      </c>
      <c r="D146" s="375">
        <f t="shared" si="16"/>
        <v>38766</v>
      </c>
      <c r="E146" s="375">
        <f t="shared" si="16"/>
        <v>38766</v>
      </c>
      <c r="F146" s="375">
        <f t="shared" si="16"/>
        <v>38766</v>
      </c>
      <c r="G146" s="375">
        <f t="shared" si="16"/>
        <v>38766</v>
      </c>
      <c r="H146" s="375">
        <f t="shared" si="16"/>
        <v>38766</v>
      </c>
      <c r="I146" s="301">
        <v>38785</v>
      </c>
      <c r="J146" s="301">
        <v>38816</v>
      </c>
      <c r="K146" s="301">
        <v>38816</v>
      </c>
      <c r="L146" s="378">
        <v>38816</v>
      </c>
      <c r="M146" s="538">
        <v>38816</v>
      </c>
      <c r="N146" s="378">
        <v>38816</v>
      </c>
      <c r="O146" s="376">
        <f t="shared" si="14"/>
        <v>465461</v>
      </c>
    </row>
    <row r="147" spans="1:15">
      <c r="A147" s="373">
        <v>24</v>
      </c>
      <c r="B147" s="300" t="str">
        <f t="shared" si="12"/>
        <v>RAFIKA UDIN</v>
      </c>
      <c r="C147" s="375">
        <f t="shared" si="16"/>
        <v>38766</v>
      </c>
      <c r="D147" s="375">
        <f t="shared" si="16"/>
        <v>38766</v>
      </c>
      <c r="E147" s="375">
        <f t="shared" si="16"/>
        <v>38766</v>
      </c>
      <c r="F147" s="375">
        <f t="shared" si="16"/>
        <v>38766</v>
      </c>
      <c r="G147" s="375">
        <f t="shared" si="16"/>
        <v>38766</v>
      </c>
      <c r="H147" s="375">
        <f t="shared" si="16"/>
        <v>38766</v>
      </c>
      <c r="I147" s="393">
        <v>39030</v>
      </c>
      <c r="J147" s="393">
        <v>39036</v>
      </c>
      <c r="K147" s="393">
        <v>39036</v>
      </c>
      <c r="L147" s="393">
        <v>39036</v>
      </c>
      <c r="M147" s="539">
        <v>39036</v>
      </c>
      <c r="N147" s="393">
        <v>39036</v>
      </c>
      <c r="O147" s="394">
        <f t="shared" si="14"/>
        <v>466806</v>
      </c>
    </row>
    <row r="148" spans="1:15">
      <c r="A148" s="373">
        <v>25</v>
      </c>
      <c r="B148" s="300" t="str">
        <f t="shared" si="12"/>
        <v>MARDIANSYAH</v>
      </c>
      <c r="C148" s="375">
        <f t="shared" si="16"/>
        <v>38766</v>
      </c>
      <c r="D148" s="375">
        <f t="shared" si="16"/>
        <v>38766</v>
      </c>
      <c r="E148" s="375">
        <f t="shared" si="16"/>
        <v>38766</v>
      </c>
      <c r="F148" s="375">
        <f t="shared" si="16"/>
        <v>38766</v>
      </c>
      <c r="G148" s="375">
        <f t="shared" si="16"/>
        <v>38766</v>
      </c>
      <c r="H148" s="375">
        <f t="shared" si="16"/>
        <v>38766</v>
      </c>
      <c r="I148" s="378">
        <v>39125</v>
      </c>
      <c r="J148" s="396">
        <v>39131</v>
      </c>
      <c r="K148" s="378">
        <v>39131</v>
      </c>
      <c r="L148" s="378">
        <v>39131</v>
      </c>
      <c r="M148" s="540">
        <v>39166</v>
      </c>
      <c r="N148" s="378">
        <v>39166</v>
      </c>
      <c r="O148" s="397">
        <f t="shared" si="14"/>
        <v>467446</v>
      </c>
    </row>
    <row r="149" spans="1:15">
      <c r="A149" s="373">
        <v>26</v>
      </c>
      <c r="B149" s="300" t="str">
        <f t="shared" si="12"/>
        <v>SUTRISNO</v>
      </c>
      <c r="C149" s="375">
        <f t="shared" si="16"/>
        <v>38766</v>
      </c>
      <c r="D149" s="375">
        <f t="shared" si="16"/>
        <v>38766</v>
      </c>
      <c r="E149" s="375">
        <f t="shared" si="16"/>
        <v>38766</v>
      </c>
      <c r="F149" s="375">
        <f t="shared" si="16"/>
        <v>38766</v>
      </c>
      <c r="G149" s="375">
        <f t="shared" si="16"/>
        <v>38766</v>
      </c>
      <c r="H149" s="375">
        <f t="shared" si="16"/>
        <v>38766</v>
      </c>
      <c r="I149" s="491">
        <v>39230</v>
      </c>
      <c r="J149" s="491">
        <v>39236</v>
      </c>
      <c r="K149" s="491">
        <v>39236</v>
      </c>
      <c r="L149" s="491">
        <v>39236</v>
      </c>
      <c r="M149" s="541">
        <v>39271</v>
      </c>
      <c r="N149" s="398">
        <v>39271</v>
      </c>
      <c r="O149" s="397">
        <f t="shared" si="14"/>
        <v>468076</v>
      </c>
    </row>
    <row r="150" spans="1:15">
      <c r="A150" s="373">
        <v>27</v>
      </c>
      <c r="B150" s="300" t="str">
        <f t="shared" si="12"/>
        <v>SLAMET UNTUNG</v>
      </c>
      <c r="C150" s="375">
        <f t="shared" si="16"/>
        <v>38766</v>
      </c>
      <c r="D150" s="375">
        <f t="shared" si="16"/>
        <v>38766</v>
      </c>
      <c r="E150" s="375">
        <f t="shared" si="16"/>
        <v>38766</v>
      </c>
      <c r="F150" s="375">
        <f t="shared" si="16"/>
        <v>38766</v>
      </c>
      <c r="G150" s="375">
        <f t="shared" si="16"/>
        <v>38766</v>
      </c>
      <c r="H150" s="375">
        <f t="shared" si="16"/>
        <v>38766</v>
      </c>
      <c r="I150" s="491">
        <v>38970</v>
      </c>
      <c r="J150" s="491">
        <v>38976</v>
      </c>
      <c r="K150" s="491">
        <v>38976</v>
      </c>
      <c r="L150" s="491">
        <v>38976</v>
      </c>
      <c r="M150" s="541">
        <v>38976</v>
      </c>
      <c r="N150" s="398">
        <v>38976</v>
      </c>
      <c r="O150" s="397">
        <f t="shared" si="14"/>
        <v>466446</v>
      </c>
    </row>
    <row r="151" spans="1:15">
      <c r="A151" s="373">
        <v>28</v>
      </c>
      <c r="B151" s="300" t="str">
        <f t="shared" si="12"/>
        <v>WAFIQ AMANDA</v>
      </c>
      <c r="C151" s="375">
        <f t="shared" si="16"/>
        <v>38766</v>
      </c>
      <c r="D151" s="375">
        <f t="shared" si="16"/>
        <v>38766</v>
      </c>
      <c r="E151" s="375">
        <f t="shared" si="16"/>
        <v>38766</v>
      </c>
      <c r="F151" s="375">
        <f t="shared" si="16"/>
        <v>38766</v>
      </c>
      <c r="G151" s="375">
        <f t="shared" si="16"/>
        <v>38766</v>
      </c>
      <c r="H151" s="375">
        <f t="shared" si="16"/>
        <v>38766</v>
      </c>
      <c r="I151" s="375">
        <v>38760</v>
      </c>
      <c r="J151" s="375">
        <v>38791</v>
      </c>
      <c r="K151" s="375">
        <v>38791</v>
      </c>
      <c r="L151" s="301">
        <v>38791</v>
      </c>
      <c r="M151" s="375">
        <v>38791</v>
      </c>
      <c r="N151" s="301">
        <v>38791</v>
      </c>
      <c r="O151" s="395">
        <f t="shared" si="14"/>
        <v>465311</v>
      </c>
    </row>
    <row r="152" spans="1:15">
      <c r="A152" s="373">
        <v>29</v>
      </c>
      <c r="B152" s="300" t="str">
        <f t="shared" si="12"/>
        <v>HERI GUNAWAN</v>
      </c>
      <c r="C152" s="375">
        <f t="shared" si="16"/>
        <v>38766</v>
      </c>
      <c r="D152" s="375">
        <f t="shared" si="16"/>
        <v>38766</v>
      </c>
      <c r="E152" s="375">
        <f t="shared" si="16"/>
        <v>38766</v>
      </c>
      <c r="F152" s="375">
        <f t="shared" si="16"/>
        <v>38766</v>
      </c>
      <c r="G152" s="375">
        <f t="shared" si="16"/>
        <v>38766</v>
      </c>
      <c r="H152" s="375">
        <f t="shared" si="16"/>
        <v>38766</v>
      </c>
      <c r="I152" s="375">
        <v>39265</v>
      </c>
      <c r="J152" s="375">
        <v>39271</v>
      </c>
      <c r="K152" s="375">
        <v>39271</v>
      </c>
      <c r="L152" s="301">
        <v>39271</v>
      </c>
      <c r="M152" s="301">
        <v>39306</v>
      </c>
      <c r="N152" s="301">
        <v>39306</v>
      </c>
      <c r="O152" s="376">
        <f t="shared" si="14"/>
        <v>468286</v>
      </c>
    </row>
    <row r="153" spans="1:15">
      <c r="A153" s="373">
        <v>30</v>
      </c>
      <c r="B153" s="300" t="str">
        <f t="shared" si="12"/>
        <v>BOBI SAPUTRA</v>
      </c>
      <c r="C153" s="375">
        <f t="shared" si="16"/>
        <v>38766</v>
      </c>
      <c r="D153" s="375">
        <f t="shared" si="16"/>
        <v>38766</v>
      </c>
      <c r="E153" s="375">
        <f t="shared" si="16"/>
        <v>38766</v>
      </c>
      <c r="F153" s="375">
        <f t="shared" si="16"/>
        <v>38766</v>
      </c>
      <c r="G153" s="375">
        <f t="shared" si="16"/>
        <v>38766</v>
      </c>
      <c r="H153" s="375">
        <f t="shared" si="16"/>
        <v>38766</v>
      </c>
      <c r="I153" s="378">
        <v>39060</v>
      </c>
      <c r="J153" s="378">
        <v>39066</v>
      </c>
      <c r="K153" s="378">
        <v>39066</v>
      </c>
      <c r="L153" s="378">
        <v>39066</v>
      </c>
      <c r="M153" s="378">
        <v>39096</v>
      </c>
      <c r="N153" s="378">
        <v>39096</v>
      </c>
      <c r="O153" s="376">
        <f t="shared" si="14"/>
        <v>467046</v>
      </c>
    </row>
    <row r="154" spans="1:15">
      <c r="A154" s="373">
        <v>31</v>
      </c>
      <c r="B154" s="300" t="str">
        <f t="shared" si="12"/>
        <v>JULIANSYAH</v>
      </c>
      <c r="C154" s="375">
        <f t="shared" si="16"/>
        <v>38766</v>
      </c>
      <c r="D154" s="375">
        <f t="shared" si="16"/>
        <v>38766</v>
      </c>
      <c r="E154" s="375">
        <f t="shared" si="16"/>
        <v>38766</v>
      </c>
      <c r="F154" s="375">
        <f t="shared" si="16"/>
        <v>38766</v>
      </c>
      <c r="G154" s="375">
        <f t="shared" si="16"/>
        <v>38766</v>
      </c>
      <c r="H154" s="375">
        <f t="shared" si="16"/>
        <v>38766</v>
      </c>
      <c r="I154" s="378">
        <v>39300</v>
      </c>
      <c r="J154" s="378">
        <v>39306</v>
      </c>
      <c r="K154" s="378">
        <v>39306</v>
      </c>
      <c r="L154" s="378">
        <v>39341</v>
      </c>
      <c r="M154" s="378">
        <v>39341</v>
      </c>
      <c r="N154" s="378">
        <v>39341</v>
      </c>
      <c r="O154" s="376">
        <f t="shared" si="14"/>
        <v>468531</v>
      </c>
    </row>
    <row r="155" spans="1:15">
      <c r="A155" s="373">
        <v>32</v>
      </c>
      <c r="B155" s="300" t="str">
        <f t="shared" si="12"/>
        <v>ARDIANTO</v>
      </c>
      <c r="C155" s="375">
        <f t="shared" si="16"/>
        <v>38766</v>
      </c>
      <c r="D155" s="375">
        <f t="shared" si="16"/>
        <v>38766</v>
      </c>
      <c r="E155" s="375">
        <f t="shared" si="16"/>
        <v>38766</v>
      </c>
      <c r="F155" s="375">
        <f t="shared" si="16"/>
        <v>38766</v>
      </c>
      <c r="G155" s="375">
        <f t="shared" si="16"/>
        <v>38766</v>
      </c>
      <c r="H155" s="375">
        <f t="shared" si="16"/>
        <v>38766</v>
      </c>
      <c r="I155" s="301">
        <v>39685</v>
      </c>
      <c r="J155" s="301">
        <v>39691</v>
      </c>
      <c r="K155" s="301">
        <v>39691</v>
      </c>
      <c r="L155" s="301">
        <v>39691</v>
      </c>
      <c r="M155" s="301">
        <v>39691</v>
      </c>
      <c r="N155" s="301">
        <v>39691</v>
      </c>
      <c r="O155" s="376">
        <f t="shared" ref="O155:O186" si="17">SUM(C155:N155)</f>
        <v>470736</v>
      </c>
    </row>
    <row r="156" spans="1:15">
      <c r="A156" s="373">
        <v>33</v>
      </c>
      <c r="B156" s="300" t="str">
        <f t="shared" ref="B156:B187" si="18">+B37</f>
        <v xml:space="preserve">JUNI </v>
      </c>
      <c r="C156" s="375">
        <f t="shared" ref="C156:H171" si="19">3876600*1%</f>
        <v>38766</v>
      </c>
      <c r="D156" s="375">
        <f t="shared" si="19"/>
        <v>38766</v>
      </c>
      <c r="E156" s="375">
        <f t="shared" si="19"/>
        <v>38766</v>
      </c>
      <c r="F156" s="375">
        <f t="shared" si="19"/>
        <v>38766</v>
      </c>
      <c r="G156" s="375">
        <f t="shared" si="19"/>
        <v>38766</v>
      </c>
      <c r="H156" s="375">
        <f t="shared" si="19"/>
        <v>38766</v>
      </c>
      <c r="I156" s="301">
        <v>39650</v>
      </c>
      <c r="J156" s="301">
        <v>39656</v>
      </c>
      <c r="K156" s="301">
        <v>39656</v>
      </c>
      <c r="L156" s="301">
        <v>39656</v>
      </c>
      <c r="M156" s="301">
        <v>39656</v>
      </c>
      <c r="N156" s="301">
        <v>39656</v>
      </c>
      <c r="O156" s="376">
        <f t="shared" si="17"/>
        <v>470526</v>
      </c>
    </row>
    <row r="157" spans="1:15">
      <c r="A157" s="373">
        <v>34</v>
      </c>
      <c r="B157" s="300" t="str">
        <f t="shared" si="18"/>
        <v>DARMAWAN</v>
      </c>
      <c r="C157" s="375">
        <f t="shared" si="19"/>
        <v>38766</v>
      </c>
      <c r="D157" s="375">
        <f t="shared" si="19"/>
        <v>38766</v>
      </c>
      <c r="E157" s="375">
        <f t="shared" si="19"/>
        <v>38766</v>
      </c>
      <c r="F157" s="375">
        <f t="shared" si="19"/>
        <v>38766</v>
      </c>
      <c r="G157" s="375">
        <f t="shared" si="19"/>
        <v>38766</v>
      </c>
      <c r="H157" s="375">
        <f t="shared" si="19"/>
        <v>38766</v>
      </c>
      <c r="I157" s="301">
        <v>39650</v>
      </c>
      <c r="J157" s="301">
        <v>39656</v>
      </c>
      <c r="K157" s="301">
        <v>39656</v>
      </c>
      <c r="L157" s="301">
        <v>39691</v>
      </c>
      <c r="M157" s="301">
        <v>39691</v>
      </c>
      <c r="N157" s="301">
        <v>39691</v>
      </c>
      <c r="O157" s="376">
        <f t="shared" si="17"/>
        <v>470631</v>
      </c>
    </row>
    <row r="158" spans="1:15">
      <c r="A158" s="373">
        <v>35</v>
      </c>
      <c r="B158" s="300" t="str">
        <f t="shared" si="18"/>
        <v>DEDI NOPRIADI</v>
      </c>
      <c r="C158" s="375">
        <f t="shared" si="19"/>
        <v>38766</v>
      </c>
      <c r="D158" s="375">
        <f t="shared" si="19"/>
        <v>38766</v>
      </c>
      <c r="E158" s="375">
        <f t="shared" si="19"/>
        <v>38766</v>
      </c>
      <c r="F158" s="375">
        <f t="shared" si="19"/>
        <v>38766</v>
      </c>
      <c r="G158" s="375">
        <f t="shared" si="19"/>
        <v>38766</v>
      </c>
      <c r="H158" s="375">
        <f t="shared" si="19"/>
        <v>38766</v>
      </c>
      <c r="I158" s="301">
        <v>38940</v>
      </c>
      <c r="J158" s="301">
        <v>38946</v>
      </c>
      <c r="K158" s="301">
        <v>38976</v>
      </c>
      <c r="L158" s="301">
        <v>38976</v>
      </c>
      <c r="M158" s="301">
        <v>38976</v>
      </c>
      <c r="N158" s="301">
        <v>38976</v>
      </c>
      <c r="O158" s="376">
        <f t="shared" si="17"/>
        <v>466386</v>
      </c>
    </row>
    <row r="159" spans="1:15">
      <c r="A159" s="373">
        <v>36</v>
      </c>
      <c r="B159" s="300" t="str">
        <f t="shared" si="18"/>
        <v>IRWANTO</v>
      </c>
      <c r="C159" s="375">
        <f t="shared" si="19"/>
        <v>38766</v>
      </c>
      <c r="D159" s="375">
        <f t="shared" si="19"/>
        <v>38766</v>
      </c>
      <c r="E159" s="375">
        <f t="shared" si="19"/>
        <v>38766</v>
      </c>
      <c r="F159" s="375">
        <f t="shared" si="19"/>
        <v>38766</v>
      </c>
      <c r="G159" s="375">
        <f t="shared" si="19"/>
        <v>38766</v>
      </c>
      <c r="H159" s="375">
        <f t="shared" si="19"/>
        <v>38766</v>
      </c>
      <c r="I159" s="301">
        <v>39265</v>
      </c>
      <c r="J159" s="301">
        <v>39271</v>
      </c>
      <c r="K159" s="301">
        <v>39271</v>
      </c>
      <c r="L159" s="301">
        <v>39271</v>
      </c>
      <c r="M159" s="301">
        <v>39271</v>
      </c>
      <c r="N159" s="301">
        <v>39271</v>
      </c>
      <c r="O159" s="376">
        <f t="shared" si="17"/>
        <v>468216</v>
      </c>
    </row>
    <row r="160" spans="1:15">
      <c r="A160" s="373">
        <v>37</v>
      </c>
      <c r="B160" s="300" t="str">
        <f t="shared" si="18"/>
        <v>ISRIN YUNUPITA</v>
      </c>
      <c r="C160" s="375">
        <f t="shared" si="19"/>
        <v>38766</v>
      </c>
      <c r="D160" s="375">
        <f t="shared" si="19"/>
        <v>38766</v>
      </c>
      <c r="E160" s="375">
        <f t="shared" si="19"/>
        <v>38766</v>
      </c>
      <c r="F160" s="375">
        <f t="shared" si="19"/>
        <v>38766</v>
      </c>
      <c r="G160" s="375">
        <f t="shared" si="19"/>
        <v>38766</v>
      </c>
      <c r="H160" s="375">
        <f t="shared" si="19"/>
        <v>38766</v>
      </c>
      <c r="I160" s="301">
        <v>39090</v>
      </c>
      <c r="J160" s="301">
        <v>39131</v>
      </c>
      <c r="K160" s="301">
        <v>39131</v>
      </c>
      <c r="L160" s="301">
        <v>39131</v>
      </c>
      <c r="M160" s="301">
        <v>39131</v>
      </c>
      <c r="N160" s="301">
        <v>39131</v>
      </c>
      <c r="O160" s="376">
        <f t="shared" si="17"/>
        <v>467341</v>
      </c>
    </row>
    <row r="161" spans="1:15">
      <c r="A161" s="373">
        <v>38</v>
      </c>
      <c r="B161" s="300" t="str">
        <f t="shared" si="18"/>
        <v>ARYANI.K</v>
      </c>
      <c r="C161" s="375">
        <f t="shared" si="19"/>
        <v>38766</v>
      </c>
      <c r="D161" s="375">
        <f t="shared" si="19"/>
        <v>38766</v>
      </c>
      <c r="E161" s="375">
        <f t="shared" si="19"/>
        <v>38766</v>
      </c>
      <c r="F161" s="375">
        <f t="shared" si="19"/>
        <v>38766</v>
      </c>
      <c r="G161" s="375">
        <f t="shared" si="19"/>
        <v>38766</v>
      </c>
      <c r="H161" s="375">
        <f t="shared" si="19"/>
        <v>38766</v>
      </c>
      <c r="I161" s="301">
        <v>39030</v>
      </c>
      <c r="J161" s="301">
        <v>39066</v>
      </c>
      <c r="K161" s="301">
        <v>39066</v>
      </c>
      <c r="L161" s="301">
        <v>39066</v>
      </c>
      <c r="M161" s="301">
        <v>39066</v>
      </c>
      <c r="N161" s="301">
        <v>39066</v>
      </c>
      <c r="O161" s="376">
        <f t="shared" si="17"/>
        <v>466956</v>
      </c>
    </row>
    <row r="162" spans="1:15">
      <c r="A162" s="373">
        <v>39</v>
      </c>
      <c r="B162" s="300" t="str">
        <f t="shared" si="18"/>
        <v>HARYANTI ( K )</v>
      </c>
      <c r="C162" s="375">
        <f t="shared" si="19"/>
        <v>38766</v>
      </c>
      <c r="D162" s="375">
        <f t="shared" si="19"/>
        <v>38766</v>
      </c>
      <c r="E162" s="375">
        <f t="shared" si="19"/>
        <v>38766</v>
      </c>
      <c r="F162" s="375">
        <f t="shared" si="19"/>
        <v>38766</v>
      </c>
      <c r="G162" s="375">
        <f t="shared" si="19"/>
        <v>38766</v>
      </c>
      <c r="H162" s="375">
        <f t="shared" si="19"/>
        <v>38766</v>
      </c>
      <c r="I162" s="301">
        <v>39090</v>
      </c>
      <c r="J162" s="301">
        <v>39131</v>
      </c>
      <c r="K162" s="301">
        <v>39131</v>
      </c>
      <c r="L162" s="301">
        <v>39131</v>
      </c>
      <c r="M162" s="301">
        <v>39131</v>
      </c>
      <c r="N162" s="301">
        <v>39131</v>
      </c>
      <c r="O162" s="376">
        <f t="shared" si="17"/>
        <v>467341</v>
      </c>
    </row>
    <row r="163" spans="1:15">
      <c r="A163" s="373">
        <v>40</v>
      </c>
      <c r="B163" s="300" t="str">
        <f t="shared" si="18"/>
        <v>YUNIAR</v>
      </c>
      <c r="C163" s="375">
        <f t="shared" si="19"/>
        <v>38766</v>
      </c>
      <c r="D163" s="375">
        <f t="shared" si="19"/>
        <v>38766</v>
      </c>
      <c r="E163" s="375">
        <f t="shared" si="19"/>
        <v>38766</v>
      </c>
      <c r="F163" s="375">
        <f t="shared" si="19"/>
        <v>38766</v>
      </c>
      <c r="G163" s="375">
        <f t="shared" si="19"/>
        <v>38766</v>
      </c>
      <c r="H163" s="375">
        <f t="shared" si="19"/>
        <v>38766</v>
      </c>
      <c r="I163" s="301">
        <v>39300</v>
      </c>
      <c r="J163" s="301">
        <v>39306</v>
      </c>
      <c r="K163" s="301">
        <v>39306</v>
      </c>
      <c r="L163" s="301">
        <v>39306</v>
      </c>
      <c r="M163" s="301">
        <v>39306</v>
      </c>
      <c r="N163" s="301">
        <v>39306</v>
      </c>
      <c r="O163" s="376">
        <f t="shared" si="17"/>
        <v>468426</v>
      </c>
    </row>
    <row r="164" spans="1:15">
      <c r="A164" s="373">
        <v>41</v>
      </c>
      <c r="B164" s="300" t="str">
        <f t="shared" si="18"/>
        <v>NOVELA SYAKUR</v>
      </c>
      <c r="C164" s="375">
        <f t="shared" si="19"/>
        <v>38766</v>
      </c>
      <c r="D164" s="375">
        <f t="shared" si="19"/>
        <v>38766</v>
      </c>
      <c r="E164" s="375">
        <f t="shared" si="19"/>
        <v>38766</v>
      </c>
      <c r="F164" s="375">
        <f t="shared" si="19"/>
        <v>38766</v>
      </c>
      <c r="G164" s="375">
        <f t="shared" si="19"/>
        <v>38766</v>
      </c>
      <c r="H164" s="375">
        <f t="shared" si="19"/>
        <v>38766</v>
      </c>
      <c r="I164" s="301">
        <v>39000</v>
      </c>
      <c r="J164" s="301">
        <v>39006</v>
      </c>
      <c r="K164" s="301">
        <v>39006</v>
      </c>
      <c r="L164" s="301">
        <v>39006</v>
      </c>
      <c r="M164" s="301">
        <v>39006</v>
      </c>
      <c r="N164" s="301">
        <v>39006</v>
      </c>
      <c r="O164" s="376">
        <f t="shared" si="17"/>
        <v>466626</v>
      </c>
    </row>
    <row r="165" spans="1:15">
      <c r="A165" s="373">
        <v>42</v>
      </c>
      <c r="B165" s="300" t="str">
        <f t="shared" si="18"/>
        <v>KUDIN</v>
      </c>
      <c r="C165" s="375">
        <f t="shared" si="19"/>
        <v>38766</v>
      </c>
      <c r="D165" s="375">
        <f t="shared" si="19"/>
        <v>38766</v>
      </c>
      <c r="E165" s="375">
        <f t="shared" si="19"/>
        <v>38766</v>
      </c>
      <c r="F165" s="375">
        <f t="shared" si="19"/>
        <v>38766</v>
      </c>
      <c r="G165" s="375">
        <f t="shared" si="19"/>
        <v>38766</v>
      </c>
      <c r="H165" s="375">
        <f t="shared" si="19"/>
        <v>38766</v>
      </c>
      <c r="I165" s="301">
        <v>38940</v>
      </c>
      <c r="J165" s="499"/>
      <c r="K165" s="499"/>
      <c r="L165" s="499"/>
      <c r="M165" s="499"/>
      <c r="N165" s="499"/>
      <c r="O165" s="376">
        <f t="shared" si="17"/>
        <v>271536</v>
      </c>
    </row>
    <row r="166" spans="1:15">
      <c r="A166" s="373">
        <v>43</v>
      </c>
      <c r="B166" s="300" t="str">
        <f t="shared" si="18"/>
        <v>YULIATI</v>
      </c>
      <c r="C166" s="375">
        <f t="shared" si="19"/>
        <v>38766</v>
      </c>
      <c r="D166" s="375">
        <f t="shared" si="19"/>
        <v>38766</v>
      </c>
      <c r="E166" s="375">
        <f t="shared" si="19"/>
        <v>38766</v>
      </c>
      <c r="F166" s="375">
        <f t="shared" si="19"/>
        <v>38766</v>
      </c>
      <c r="G166" s="375">
        <f t="shared" si="19"/>
        <v>38766</v>
      </c>
      <c r="H166" s="375">
        <f t="shared" si="19"/>
        <v>38766</v>
      </c>
      <c r="I166" s="301">
        <v>39060</v>
      </c>
      <c r="J166" s="301">
        <v>39066</v>
      </c>
      <c r="K166" s="301">
        <v>39096</v>
      </c>
      <c r="L166" s="301">
        <v>39096</v>
      </c>
      <c r="M166" s="301">
        <v>39096</v>
      </c>
      <c r="N166" s="301">
        <v>39096</v>
      </c>
      <c r="O166" s="376">
        <f t="shared" si="17"/>
        <v>467106</v>
      </c>
    </row>
    <row r="167" spans="1:15">
      <c r="A167" s="373">
        <v>44</v>
      </c>
      <c r="B167" s="300" t="str">
        <f t="shared" si="18"/>
        <v>ROHAYA</v>
      </c>
      <c r="C167" s="375">
        <f t="shared" si="19"/>
        <v>38766</v>
      </c>
      <c r="D167" s="375">
        <f t="shared" si="19"/>
        <v>38766</v>
      </c>
      <c r="E167" s="375">
        <f t="shared" si="19"/>
        <v>38766</v>
      </c>
      <c r="F167" s="375">
        <f t="shared" si="19"/>
        <v>38766</v>
      </c>
      <c r="G167" s="375">
        <f t="shared" si="19"/>
        <v>38766</v>
      </c>
      <c r="H167" s="375">
        <f t="shared" si="19"/>
        <v>38766</v>
      </c>
      <c r="I167" s="301">
        <v>39000</v>
      </c>
      <c r="J167" s="301">
        <v>39036</v>
      </c>
      <c r="K167" s="301">
        <v>39036</v>
      </c>
      <c r="L167" s="301">
        <v>39036</v>
      </c>
      <c r="M167" s="301">
        <v>39036</v>
      </c>
      <c r="N167" s="301">
        <v>39036</v>
      </c>
      <c r="O167" s="376">
        <f t="shared" si="17"/>
        <v>466776</v>
      </c>
    </row>
    <row r="168" spans="1:15">
      <c r="A168" s="373">
        <v>45</v>
      </c>
      <c r="B168" s="300" t="str">
        <f t="shared" si="18"/>
        <v>ROSMIATI</v>
      </c>
      <c r="C168" s="375">
        <f t="shared" si="19"/>
        <v>38766</v>
      </c>
      <c r="D168" s="375">
        <f t="shared" si="19"/>
        <v>38766</v>
      </c>
      <c r="E168" s="375">
        <f t="shared" si="19"/>
        <v>38766</v>
      </c>
      <c r="F168" s="375">
        <f t="shared" si="19"/>
        <v>38766</v>
      </c>
      <c r="G168" s="375">
        <f t="shared" si="19"/>
        <v>38766</v>
      </c>
      <c r="H168" s="375">
        <f t="shared" si="19"/>
        <v>38766</v>
      </c>
      <c r="I168" s="301">
        <v>39060</v>
      </c>
      <c r="J168" s="301">
        <v>39066</v>
      </c>
      <c r="K168" s="301">
        <v>39066</v>
      </c>
      <c r="L168" s="301">
        <v>39066</v>
      </c>
      <c r="M168" s="301">
        <v>39096</v>
      </c>
      <c r="N168" s="301">
        <v>39096</v>
      </c>
      <c r="O168" s="376">
        <f t="shared" si="17"/>
        <v>467046</v>
      </c>
    </row>
    <row r="169" spans="1:15">
      <c r="A169" s="373">
        <v>46</v>
      </c>
      <c r="B169" s="300" t="str">
        <f t="shared" si="18"/>
        <v>ROSMINI</v>
      </c>
      <c r="C169" s="375">
        <f t="shared" si="19"/>
        <v>38766</v>
      </c>
      <c r="D169" s="375">
        <f t="shared" si="19"/>
        <v>38766</v>
      </c>
      <c r="E169" s="375">
        <f t="shared" si="19"/>
        <v>38766</v>
      </c>
      <c r="F169" s="375">
        <f t="shared" si="19"/>
        <v>38766</v>
      </c>
      <c r="G169" s="375">
        <f t="shared" si="19"/>
        <v>38766</v>
      </c>
      <c r="H169" s="375">
        <f t="shared" si="19"/>
        <v>38766</v>
      </c>
      <c r="I169" s="301">
        <v>39000</v>
      </c>
      <c r="J169" s="301">
        <v>39006</v>
      </c>
      <c r="K169" s="301">
        <v>39006</v>
      </c>
      <c r="L169" s="301">
        <v>39006</v>
      </c>
      <c r="M169" s="301">
        <v>39036</v>
      </c>
      <c r="N169" s="301">
        <v>39036</v>
      </c>
      <c r="O169" s="376">
        <f t="shared" si="17"/>
        <v>466686</v>
      </c>
    </row>
    <row r="170" spans="1:15">
      <c r="A170" s="373">
        <v>47</v>
      </c>
      <c r="B170" s="300" t="str">
        <f t="shared" si="18"/>
        <v>KURI</v>
      </c>
      <c r="C170" s="375">
        <f t="shared" si="19"/>
        <v>38766</v>
      </c>
      <c r="D170" s="375">
        <f t="shared" si="19"/>
        <v>38766</v>
      </c>
      <c r="E170" s="375">
        <f t="shared" si="19"/>
        <v>38766</v>
      </c>
      <c r="F170" s="375">
        <f t="shared" si="19"/>
        <v>38766</v>
      </c>
      <c r="G170" s="375">
        <f t="shared" si="19"/>
        <v>38766</v>
      </c>
      <c r="H170" s="375">
        <f t="shared" si="19"/>
        <v>38766</v>
      </c>
      <c r="I170" s="301">
        <v>39650</v>
      </c>
      <c r="J170" s="301">
        <v>39656</v>
      </c>
      <c r="K170" s="301">
        <v>39656</v>
      </c>
      <c r="L170" s="301">
        <v>39656</v>
      </c>
      <c r="M170" s="301">
        <v>39656</v>
      </c>
      <c r="N170" s="301">
        <v>39656</v>
      </c>
      <c r="O170" s="376">
        <f t="shared" si="17"/>
        <v>470526</v>
      </c>
    </row>
    <row r="171" spans="1:15">
      <c r="A171" s="373">
        <v>48</v>
      </c>
      <c r="B171" s="300" t="str">
        <f t="shared" si="18"/>
        <v>BASTIAR</v>
      </c>
      <c r="C171" s="375">
        <f t="shared" si="19"/>
        <v>38766</v>
      </c>
      <c r="D171" s="375">
        <f t="shared" si="19"/>
        <v>38766</v>
      </c>
      <c r="E171" s="375">
        <f t="shared" si="19"/>
        <v>38766</v>
      </c>
      <c r="F171" s="375">
        <f t="shared" si="19"/>
        <v>38766</v>
      </c>
      <c r="G171" s="375">
        <f t="shared" si="19"/>
        <v>38766</v>
      </c>
      <c r="H171" s="375">
        <f t="shared" si="19"/>
        <v>38766</v>
      </c>
      <c r="I171" s="301">
        <v>39000</v>
      </c>
      <c r="J171" s="301">
        <v>39006</v>
      </c>
      <c r="K171" s="301">
        <v>39006</v>
      </c>
      <c r="L171" s="301">
        <v>39006</v>
      </c>
      <c r="M171" s="301">
        <v>39006</v>
      </c>
      <c r="N171" s="301">
        <v>39036</v>
      </c>
      <c r="O171" s="376">
        <f t="shared" si="17"/>
        <v>466656</v>
      </c>
    </row>
    <row r="172" spans="1:15">
      <c r="A172" s="373">
        <v>49</v>
      </c>
      <c r="B172" s="300" t="str">
        <f t="shared" si="18"/>
        <v>ADIYANSA</v>
      </c>
      <c r="C172" s="375">
        <f t="shared" ref="C172:H187" si="20">3876600*1%</f>
        <v>38766</v>
      </c>
      <c r="D172" s="375">
        <f t="shared" si="20"/>
        <v>38766</v>
      </c>
      <c r="E172" s="375">
        <f t="shared" si="20"/>
        <v>38766</v>
      </c>
      <c r="F172" s="375">
        <f t="shared" si="20"/>
        <v>38766</v>
      </c>
      <c r="G172" s="375">
        <f t="shared" si="20"/>
        <v>38766</v>
      </c>
      <c r="H172" s="375">
        <f t="shared" si="20"/>
        <v>38766</v>
      </c>
      <c r="I172" s="301">
        <v>38970</v>
      </c>
      <c r="J172" s="301">
        <v>38976</v>
      </c>
      <c r="K172" s="301">
        <v>38976</v>
      </c>
      <c r="L172" s="301">
        <v>38976</v>
      </c>
      <c r="M172" s="301">
        <v>38976</v>
      </c>
      <c r="N172" s="301">
        <v>38976</v>
      </c>
      <c r="O172" s="376">
        <f t="shared" si="17"/>
        <v>466446</v>
      </c>
    </row>
    <row r="173" spans="1:15">
      <c r="A173" s="373">
        <v>50</v>
      </c>
      <c r="B173" s="300" t="str">
        <f t="shared" si="18"/>
        <v>RUDI SETIAWAN</v>
      </c>
      <c r="C173" s="375">
        <f t="shared" si="20"/>
        <v>38766</v>
      </c>
      <c r="D173" s="375">
        <f t="shared" si="20"/>
        <v>38766</v>
      </c>
      <c r="E173" s="375">
        <f t="shared" si="20"/>
        <v>38766</v>
      </c>
      <c r="F173" s="375">
        <f t="shared" si="20"/>
        <v>38766</v>
      </c>
      <c r="G173" s="375">
        <f t="shared" si="20"/>
        <v>38766</v>
      </c>
      <c r="H173" s="375">
        <f t="shared" si="20"/>
        <v>38766</v>
      </c>
      <c r="I173" s="301">
        <v>38810</v>
      </c>
      <c r="J173" s="301">
        <v>38816</v>
      </c>
      <c r="K173" s="301">
        <v>38816</v>
      </c>
      <c r="L173" s="301">
        <v>38816</v>
      </c>
      <c r="M173" s="301">
        <v>38816</v>
      </c>
      <c r="N173" s="301">
        <v>38841</v>
      </c>
      <c r="O173" s="376">
        <f t="shared" si="17"/>
        <v>465511</v>
      </c>
    </row>
    <row r="174" spans="1:15">
      <c r="A174" s="373">
        <v>51</v>
      </c>
      <c r="B174" s="300" t="str">
        <f t="shared" si="18"/>
        <v>MARYANTO</v>
      </c>
      <c r="C174" s="375">
        <f t="shared" si="20"/>
        <v>38766</v>
      </c>
      <c r="D174" s="375">
        <f t="shared" si="20"/>
        <v>38766</v>
      </c>
      <c r="E174" s="375">
        <f t="shared" si="20"/>
        <v>38766</v>
      </c>
      <c r="F174" s="375">
        <f t="shared" si="20"/>
        <v>38766</v>
      </c>
      <c r="G174" s="375">
        <f t="shared" si="20"/>
        <v>38766</v>
      </c>
      <c r="H174" s="375">
        <f t="shared" si="20"/>
        <v>38766</v>
      </c>
      <c r="I174" s="301">
        <v>39230</v>
      </c>
      <c r="J174" s="301">
        <v>39236</v>
      </c>
      <c r="K174" s="301">
        <v>39236</v>
      </c>
      <c r="L174" s="301">
        <v>39271</v>
      </c>
      <c r="M174" s="301">
        <v>39271</v>
      </c>
      <c r="N174" s="301">
        <v>39271</v>
      </c>
      <c r="O174" s="376">
        <f t="shared" si="17"/>
        <v>468111</v>
      </c>
    </row>
    <row r="175" spans="1:15">
      <c r="A175" s="373">
        <v>52</v>
      </c>
      <c r="B175" s="300" t="str">
        <f t="shared" si="18"/>
        <v>SRI REJEKI</v>
      </c>
      <c r="C175" s="375">
        <f t="shared" si="20"/>
        <v>38766</v>
      </c>
      <c r="D175" s="375">
        <f t="shared" si="20"/>
        <v>38766</v>
      </c>
      <c r="E175" s="375">
        <f t="shared" si="20"/>
        <v>38766</v>
      </c>
      <c r="F175" s="375">
        <f t="shared" si="20"/>
        <v>38766</v>
      </c>
      <c r="G175" s="375">
        <f t="shared" si="20"/>
        <v>38766</v>
      </c>
      <c r="H175" s="375">
        <f t="shared" si="20"/>
        <v>38766</v>
      </c>
      <c r="I175" s="301">
        <v>39300</v>
      </c>
      <c r="J175" s="301">
        <v>39306</v>
      </c>
      <c r="K175" s="301">
        <v>39306</v>
      </c>
      <c r="L175" s="301">
        <v>39341</v>
      </c>
      <c r="M175" s="301">
        <v>39341</v>
      </c>
      <c r="N175" s="301">
        <v>39341</v>
      </c>
      <c r="O175" s="376">
        <f t="shared" si="17"/>
        <v>468531</v>
      </c>
    </row>
    <row r="176" spans="1:15">
      <c r="A176" s="373">
        <v>53</v>
      </c>
      <c r="B176" s="300" t="str">
        <f t="shared" si="18"/>
        <v>SARTIKA</v>
      </c>
      <c r="C176" s="375">
        <f t="shared" si="20"/>
        <v>38766</v>
      </c>
      <c r="D176" s="375">
        <f t="shared" si="20"/>
        <v>38766</v>
      </c>
      <c r="E176" s="375">
        <f t="shared" si="20"/>
        <v>38766</v>
      </c>
      <c r="F176" s="375">
        <f t="shared" si="20"/>
        <v>38766</v>
      </c>
      <c r="G176" s="375">
        <f t="shared" si="20"/>
        <v>38766</v>
      </c>
      <c r="H176" s="375">
        <f t="shared" si="20"/>
        <v>38766</v>
      </c>
      <c r="I176" s="301">
        <v>39230</v>
      </c>
      <c r="J176" s="301">
        <v>39236</v>
      </c>
      <c r="K176" s="301">
        <v>39236</v>
      </c>
      <c r="L176" s="301">
        <v>39271</v>
      </c>
      <c r="M176" s="301">
        <v>39271</v>
      </c>
      <c r="N176" s="301">
        <v>39271</v>
      </c>
      <c r="O176" s="376">
        <f t="shared" si="17"/>
        <v>468111</v>
      </c>
    </row>
    <row r="177" spans="1:15">
      <c r="A177" s="373">
        <v>54</v>
      </c>
      <c r="B177" s="300" t="str">
        <f t="shared" si="18"/>
        <v>MIRNA</v>
      </c>
      <c r="C177" s="375">
        <f t="shared" si="20"/>
        <v>38766</v>
      </c>
      <c r="D177" s="375">
        <f t="shared" si="20"/>
        <v>38766</v>
      </c>
      <c r="E177" s="375">
        <f t="shared" si="20"/>
        <v>38766</v>
      </c>
      <c r="F177" s="375">
        <f t="shared" si="20"/>
        <v>38766</v>
      </c>
      <c r="G177" s="375">
        <f t="shared" si="20"/>
        <v>38766</v>
      </c>
      <c r="H177" s="375">
        <f t="shared" si="20"/>
        <v>38766</v>
      </c>
      <c r="I177" s="301">
        <v>39090</v>
      </c>
      <c r="J177" s="301">
        <v>39131</v>
      </c>
      <c r="K177" s="301">
        <v>39131</v>
      </c>
      <c r="L177" s="301">
        <v>39131</v>
      </c>
      <c r="M177" s="301">
        <v>39131</v>
      </c>
      <c r="N177" s="301">
        <v>39131</v>
      </c>
      <c r="O177" s="376">
        <f t="shared" si="17"/>
        <v>467341</v>
      </c>
    </row>
    <row r="178" spans="1:15">
      <c r="A178" s="373">
        <v>55</v>
      </c>
      <c r="B178" s="300" t="str">
        <f t="shared" si="18"/>
        <v>ROZATI</v>
      </c>
      <c r="C178" s="375">
        <f t="shared" si="20"/>
        <v>38766</v>
      </c>
      <c r="D178" s="375">
        <f t="shared" si="20"/>
        <v>38766</v>
      </c>
      <c r="E178" s="375">
        <f t="shared" si="20"/>
        <v>38766</v>
      </c>
      <c r="F178" s="375">
        <f t="shared" si="20"/>
        <v>38766</v>
      </c>
      <c r="G178" s="375">
        <f t="shared" si="20"/>
        <v>38766</v>
      </c>
      <c r="H178" s="375">
        <f t="shared" si="20"/>
        <v>38766</v>
      </c>
      <c r="I178" s="301">
        <v>38970</v>
      </c>
      <c r="J178" s="301">
        <v>38976</v>
      </c>
      <c r="K178" s="301">
        <v>38976</v>
      </c>
      <c r="L178" s="301">
        <v>38976</v>
      </c>
      <c r="M178" s="301">
        <v>38976</v>
      </c>
      <c r="N178" s="301">
        <v>38976</v>
      </c>
      <c r="O178" s="376">
        <f t="shared" si="17"/>
        <v>466446</v>
      </c>
    </row>
    <row r="179" spans="1:15">
      <c r="A179" s="373">
        <v>56</v>
      </c>
      <c r="B179" s="300" t="str">
        <f t="shared" si="18"/>
        <v>SAHWEDI</v>
      </c>
      <c r="C179" s="375">
        <f t="shared" si="20"/>
        <v>38766</v>
      </c>
      <c r="D179" s="375">
        <f t="shared" si="20"/>
        <v>38766</v>
      </c>
      <c r="E179" s="375">
        <f t="shared" si="20"/>
        <v>38766</v>
      </c>
      <c r="F179" s="375">
        <f t="shared" si="20"/>
        <v>38766</v>
      </c>
      <c r="G179" s="375">
        <f t="shared" si="20"/>
        <v>38766</v>
      </c>
      <c r="H179" s="375">
        <f t="shared" si="20"/>
        <v>38766</v>
      </c>
      <c r="I179" s="301">
        <v>38835</v>
      </c>
      <c r="J179" s="301">
        <v>38841</v>
      </c>
      <c r="K179" s="301">
        <v>38841</v>
      </c>
      <c r="L179" s="301">
        <v>38841</v>
      </c>
      <c r="M179" s="301">
        <v>38841</v>
      </c>
      <c r="N179" s="301">
        <v>38841</v>
      </c>
      <c r="O179" s="376">
        <f t="shared" si="17"/>
        <v>465636</v>
      </c>
    </row>
    <row r="180" spans="1:15">
      <c r="A180" s="373">
        <v>57</v>
      </c>
      <c r="B180" s="300" t="str">
        <f t="shared" si="18"/>
        <v>RUKMAN</v>
      </c>
      <c r="C180" s="375">
        <f t="shared" si="20"/>
        <v>38766</v>
      </c>
      <c r="D180" s="375">
        <f t="shared" si="20"/>
        <v>38766</v>
      </c>
      <c r="E180" s="375">
        <f t="shared" si="20"/>
        <v>38766</v>
      </c>
      <c r="F180" s="375">
        <f t="shared" si="20"/>
        <v>38766</v>
      </c>
      <c r="G180" s="375">
        <f t="shared" si="20"/>
        <v>38766</v>
      </c>
      <c r="H180" s="375">
        <f t="shared" si="20"/>
        <v>38766</v>
      </c>
      <c r="I180" s="301">
        <v>39230</v>
      </c>
      <c r="J180" s="301">
        <v>39236</v>
      </c>
      <c r="K180" s="301">
        <v>39236</v>
      </c>
      <c r="L180" s="301">
        <v>39236</v>
      </c>
      <c r="M180" s="301">
        <v>39236</v>
      </c>
      <c r="N180" s="301">
        <v>39236</v>
      </c>
      <c r="O180" s="376">
        <f t="shared" si="17"/>
        <v>468006</v>
      </c>
    </row>
    <row r="181" spans="1:15">
      <c r="A181" s="373">
        <v>58</v>
      </c>
      <c r="B181" s="300" t="str">
        <f t="shared" si="18"/>
        <v>AGUSTIONO</v>
      </c>
      <c r="C181" s="375">
        <f t="shared" si="20"/>
        <v>38766</v>
      </c>
      <c r="D181" s="375">
        <f t="shared" si="20"/>
        <v>38766</v>
      </c>
      <c r="E181" s="375">
        <f t="shared" si="20"/>
        <v>38766</v>
      </c>
      <c r="F181" s="375">
        <f t="shared" si="20"/>
        <v>38766</v>
      </c>
      <c r="G181" s="375">
        <f t="shared" si="20"/>
        <v>38766</v>
      </c>
      <c r="H181" s="375">
        <f t="shared" si="20"/>
        <v>38766</v>
      </c>
      <c r="I181" s="301">
        <v>39265</v>
      </c>
      <c r="J181" s="301">
        <v>39271</v>
      </c>
      <c r="K181" s="301">
        <v>39271</v>
      </c>
      <c r="L181" s="301">
        <v>39271</v>
      </c>
      <c r="M181" s="301">
        <v>39271</v>
      </c>
      <c r="N181" s="301">
        <v>39271</v>
      </c>
      <c r="O181" s="376">
        <f t="shared" si="17"/>
        <v>468216</v>
      </c>
    </row>
    <row r="182" spans="1:15">
      <c r="A182" s="373">
        <v>59</v>
      </c>
      <c r="B182" s="300" t="str">
        <f t="shared" si="18"/>
        <v>TONGAM PARNINGTON SAMOSIR</v>
      </c>
      <c r="C182" s="375">
        <f t="shared" si="20"/>
        <v>38766</v>
      </c>
      <c r="D182" s="375">
        <f t="shared" si="20"/>
        <v>38766</v>
      </c>
      <c r="E182" s="375">
        <f t="shared" si="20"/>
        <v>38766</v>
      </c>
      <c r="F182" s="375">
        <f t="shared" si="20"/>
        <v>38766</v>
      </c>
      <c r="G182" s="375">
        <f t="shared" si="20"/>
        <v>38766</v>
      </c>
      <c r="H182" s="375">
        <f t="shared" si="20"/>
        <v>38766</v>
      </c>
      <c r="I182" s="301">
        <v>39160</v>
      </c>
      <c r="J182" s="301">
        <v>39166</v>
      </c>
      <c r="K182" s="301">
        <v>39166</v>
      </c>
      <c r="L182" s="301">
        <v>39166</v>
      </c>
      <c r="M182" s="301">
        <v>39201</v>
      </c>
      <c r="N182" s="301">
        <v>39201</v>
      </c>
      <c r="O182" s="376">
        <f t="shared" si="17"/>
        <v>467656</v>
      </c>
    </row>
    <row r="183" spans="1:15">
      <c r="A183" s="373">
        <v>60</v>
      </c>
      <c r="B183" s="300" t="str">
        <f t="shared" si="18"/>
        <v>ANUAR</v>
      </c>
      <c r="C183" s="375">
        <f t="shared" si="20"/>
        <v>38766</v>
      </c>
      <c r="D183" s="375">
        <f t="shared" si="20"/>
        <v>38766</v>
      </c>
      <c r="E183" s="375">
        <f t="shared" si="20"/>
        <v>38766</v>
      </c>
      <c r="F183" s="375">
        <f t="shared" si="20"/>
        <v>38766</v>
      </c>
      <c r="G183" s="375">
        <f t="shared" si="20"/>
        <v>38766</v>
      </c>
      <c r="H183" s="375">
        <f t="shared" si="20"/>
        <v>38766</v>
      </c>
      <c r="I183" s="301">
        <v>39265</v>
      </c>
      <c r="J183" s="301">
        <v>39271</v>
      </c>
      <c r="K183" s="301">
        <v>39271</v>
      </c>
      <c r="L183" s="301">
        <v>39271</v>
      </c>
      <c r="M183" s="301">
        <v>39271</v>
      </c>
      <c r="N183" s="301">
        <v>39271</v>
      </c>
      <c r="O183" s="376">
        <f t="shared" si="17"/>
        <v>468216</v>
      </c>
    </row>
    <row r="184" spans="1:15">
      <c r="A184" s="373">
        <v>61</v>
      </c>
      <c r="B184" s="300" t="str">
        <f t="shared" si="18"/>
        <v>YUNIAR ANDRIANTI</v>
      </c>
      <c r="C184" s="375">
        <f t="shared" si="20"/>
        <v>38766</v>
      </c>
      <c r="D184" s="375">
        <f t="shared" si="20"/>
        <v>38766</v>
      </c>
      <c r="E184" s="375">
        <f t="shared" si="20"/>
        <v>38766</v>
      </c>
      <c r="F184" s="375">
        <f t="shared" si="20"/>
        <v>38766</v>
      </c>
      <c r="G184" s="375">
        <f t="shared" si="20"/>
        <v>38766</v>
      </c>
      <c r="H184" s="375">
        <f t="shared" si="20"/>
        <v>38766</v>
      </c>
      <c r="I184" s="301">
        <v>39230</v>
      </c>
      <c r="J184" s="301">
        <v>39236</v>
      </c>
      <c r="K184" s="301">
        <v>39236</v>
      </c>
      <c r="L184" s="301">
        <v>39271</v>
      </c>
      <c r="M184" s="301">
        <v>39271</v>
      </c>
      <c r="N184" s="301">
        <v>39271</v>
      </c>
      <c r="O184" s="376">
        <f t="shared" si="17"/>
        <v>468111</v>
      </c>
    </row>
    <row r="185" spans="1:15">
      <c r="A185" s="373">
        <v>62</v>
      </c>
      <c r="B185" s="300" t="str">
        <f t="shared" si="18"/>
        <v>LISA JAYANTI</v>
      </c>
      <c r="C185" s="375">
        <f t="shared" si="20"/>
        <v>38766</v>
      </c>
      <c r="D185" s="375">
        <f t="shared" si="20"/>
        <v>38766</v>
      </c>
      <c r="E185" s="375">
        <f t="shared" si="20"/>
        <v>38766</v>
      </c>
      <c r="F185" s="375">
        <f t="shared" si="20"/>
        <v>38766</v>
      </c>
      <c r="G185" s="375">
        <f t="shared" si="20"/>
        <v>38766</v>
      </c>
      <c r="H185" s="375">
        <f t="shared" si="20"/>
        <v>38766</v>
      </c>
      <c r="I185" s="301">
        <v>39125</v>
      </c>
      <c r="J185" s="301">
        <v>39131</v>
      </c>
      <c r="K185" s="301">
        <v>39131</v>
      </c>
      <c r="L185" s="301">
        <v>39131</v>
      </c>
      <c r="M185" s="301">
        <v>39166</v>
      </c>
      <c r="N185" s="301">
        <v>39166</v>
      </c>
      <c r="O185" s="376">
        <f t="shared" si="17"/>
        <v>467446</v>
      </c>
    </row>
    <row r="186" spans="1:15">
      <c r="A186" s="373">
        <v>63</v>
      </c>
      <c r="B186" s="300" t="str">
        <f t="shared" si="18"/>
        <v>RUSDIN</v>
      </c>
      <c r="C186" s="375">
        <f t="shared" si="20"/>
        <v>38766</v>
      </c>
      <c r="D186" s="375">
        <f t="shared" si="20"/>
        <v>38766</v>
      </c>
      <c r="E186" s="375">
        <f t="shared" si="20"/>
        <v>38766</v>
      </c>
      <c r="F186" s="375">
        <f t="shared" si="20"/>
        <v>38766</v>
      </c>
      <c r="G186" s="375">
        <f t="shared" si="20"/>
        <v>38766</v>
      </c>
      <c r="H186" s="375">
        <f t="shared" si="20"/>
        <v>38766</v>
      </c>
      <c r="I186" s="301">
        <v>39265</v>
      </c>
      <c r="J186" s="301">
        <v>39271</v>
      </c>
      <c r="K186" s="301">
        <v>39271</v>
      </c>
      <c r="L186" s="301">
        <v>39271</v>
      </c>
      <c r="M186" s="301">
        <v>39271</v>
      </c>
      <c r="N186" s="301">
        <v>39306</v>
      </c>
      <c r="O186" s="376">
        <f t="shared" si="17"/>
        <v>468251</v>
      </c>
    </row>
    <row r="187" spans="1:15">
      <c r="A187" s="373">
        <v>64</v>
      </c>
      <c r="B187" s="300" t="str">
        <f t="shared" si="18"/>
        <v>FREDI S</v>
      </c>
      <c r="C187" s="375">
        <f t="shared" si="20"/>
        <v>38766</v>
      </c>
      <c r="D187" s="375">
        <f t="shared" si="20"/>
        <v>38766</v>
      </c>
      <c r="E187" s="375">
        <f t="shared" si="20"/>
        <v>38766</v>
      </c>
      <c r="F187" s="375">
        <f t="shared" si="20"/>
        <v>38766</v>
      </c>
      <c r="G187" s="375">
        <f t="shared" si="20"/>
        <v>38766</v>
      </c>
      <c r="H187" s="375">
        <f t="shared" si="20"/>
        <v>38766</v>
      </c>
      <c r="I187" s="301">
        <v>38810</v>
      </c>
      <c r="J187" s="301">
        <v>38816</v>
      </c>
      <c r="K187" s="499"/>
      <c r="L187" s="499"/>
      <c r="M187" s="499"/>
      <c r="N187" s="499"/>
      <c r="O187" s="376">
        <f t="shared" ref="O187:O217" si="21">SUM(C187:N187)</f>
        <v>310222</v>
      </c>
    </row>
    <row r="188" spans="1:15">
      <c r="A188" s="373">
        <v>65</v>
      </c>
      <c r="B188" s="300" t="str">
        <f t="shared" ref="B188:B219" si="22">+B69</f>
        <v>ARIPDAN</v>
      </c>
      <c r="C188" s="375">
        <f t="shared" ref="C188:H241" si="23">3876600*1%</f>
        <v>38766</v>
      </c>
      <c r="D188" s="375">
        <f t="shared" si="23"/>
        <v>38766</v>
      </c>
      <c r="E188" s="375">
        <f t="shared" si="23"/>
        <v>38766</v>
      </c>
      <c r="F188" s="375">
        <f t="shared" si="23"/>
        <v>38766</v>
      </c>
      <c r="G188" s="375">
        <f t="shared" si="23"/>
        <v>38766</v>
      </c>
      <c r="H188" s="375">
        <f t="shared" si="23"/>
        <v>38766</v>
      </c>
      <c r="I188" s="301">
        <v>39265</v>
      </c>
      <c r="J188" s="301">
        <v>39271</v>
      </c>
      <c r="K188" s="301">
        <v>39271</v>
      </c>
      <c r="L188" s="301">
        <v>39271</v>
      </c>
      <c r="M188" s="301">
        <v>39271</v>
      </c>
      <c r="N188" s="301">
        <v>39271</v>
      </c>
      <c r="O188" s="376">
        <f t="shared" si="21"/>
        <v>468216</v>
      </c>
    </row>
    <row r="189" spans="1:15">
      <c r="A189" s="373">
        <v>66</v>
      </c>
      <c r="B189" s="300" t="str">
        <f t="shared" si="22"/>
        <v>DEDI PURWANTO</v>
      </c>
      <c r="C189" s="375">
        <f t="shared" si="23"/>
        <v>38766</v>
      </c>
      <c r="D189" s="375">
        <f t="shared" si="23"/>
        <v>38766</v>
      </c>
      <c r="E189" s="375">
        <f t="shared" si="23"/>
        <v>38766</v>
      </c>
      <c r="F189" s="375">
        <f t="shared" si="23"/>
        <v>38766</v>
      </c>
      <c r="G189" s="375">
        <f t="shared" si="23"/>
        <v>38766</v>
      </c>
      <c r="H189" s="375">
        <f t="shared" si="23"/>
        <v>38766</v>
      </c>
      <c r="I189" s="301">
        <v>39265</v>
      </c>
      <c r="J189" s="301">
        <v>39271</v>
      </c>
      <c r="K189" s="301">
        <v>39271</v>
      </c>
      <c r="L189" s="301">
        <v>39271</v>
      </c>
      <c r="M189" s="301">
        <v>39271</v>
      </c>
      <c r="N189" s="301">
        <v>39271</v>
      </c>
      <c r="O189" s="376">
        <f t="shared" si="21"/>
        <v>468216</v>
      </c>
    </row>
    <row r="190" spans="1:15">
      <c r="A190" s="373">
        <v>67</v>
      </c>
      <c r="B190" s="300" t="str">
        <f t="shared" si="22"/>
        <v>HARSONO</v>
      </c>
      <c r="C190" s="375">
        <f t="shared" si="23"/>
        <v>38766</v>
      </c>
      <c r="D190" s="375">
        <f t="shared" si="23"/>
        <v>38766</v>
      </c>
      <c r="E190" s="375">
        <f t="shared" si="23"/>
        <v>38766</v>
      </c>
      <c r="F190" s="375">
        <f t="shared" si="23"/>
        <v>38766</v>
      </c>
      <c r="G190" s="375">
        <f t="shared" si="23"/>
        <v>38766</v>
      </c>
      <c r="H190" s="375">
        <f t="shared" si="23"/>
        <v>38766</v>
      </c>
      <c r="I190" s="301">
        <v>39265</v>
      </c>
      <c r="J190" s="301">
        <v>39271</v>
      </c>
      <c r="K190" s="301">
        <v>39271</v>
      </c>
      <c r="L190" s="301">
        <v>39271</v>
      </c>
      <c r="M190" s="301">
        <v>39271</v>
      </c>
      <c r="N190" s="301">
        <v>39271</v>
      </c>
      <c r="O190" s="376">
        <f t="shared" si="21"/>
        <v>468216</v>
      </c>
    </row>
    <row r="191" spans="1:15">
      <c r="A191" s="373">
        <v>68</v>
      </c>
      <c r="B191" s="300" t="str">
        <f t="shared" si="22"/>
        <v>MIKO AGNESTA</v>
      </c>
      <c r="C191" s="375">
        <f t="shared" si="23"/>
        <v>38766</v>
      </c>
      <c r="D191" s="375">
        <f t="shared" si="23"/>
        <v>38766</v>
      </c>
      <c r="E191" s="375">
        <f t="shared" si="23"/>
        <v>38766</v>
      </c>
      <c r="F191" s="375">
        <f t="shared" si="23"/>
        <v>38766</v>
      </c>
      <c r="G191" s="375">
        <f t="shared" si="23"/>
        <v>38766</v>
      </c>
      <c r="H191" s="375">
        <f t="shared" si="23"/>
        <v>38766</v>
      </c>
      <c r="I191" s="301">
        <v>38760</v>
      </c>
      <c r="J191" s="301">
        <v>38766</v>
      </c>
      <c r="K191" s="301">
        <v>38791</v>
      </c>
      <c r="L191" s="301">
        <v>38791</v>
      </c>
      <c r="M191" s="301">
        <v>38791</v>
      </c>
      <c r="N191" s="301">
        <v>38791</v>
      </c>
      <c r="O191" s="376">
        <f t="shared" si="21"/>
        <v>465286</v>
      </c>
    </row>
    <row r="192" spans="1:15">
      <c r="A192" s="373">
        <v>69</v>
      </c>
      <c r="B192" s="300" t="str">
        <f t="shared" si="22"/>
        <v>HERI GUNAWAN</v>
      </c>
      <c r="C192" s="375">
        <f t="shared" si="23"/>
        <v>38766</v>
      </c>
      <c r="D192" s="375">
        <f t="shared" si="23"/>
        <v>38766</v>
      </c>
      <c r="E192" s="375">
        <f t="shared" si="23"/>
        <v>38766</v>
      </c>
      <c r="F192" s="375">
        <f t="shared" si="23"/>
        <v>38766</v>
      </c>
      <c r="G192" s="375">
        <f t="shared" si="23"/>
        <v>38766</v>
      </c>
      <c r="H192" s="375">
        <f t="shared" si="23"/>
        <v>38766</v>
      </c>
      <c r="I192" s="301">
        <v>39000</v>
      </c>
      <c r="J192" s="301">
        <v>39006</v>
      </c>
      <c r="K192" s="301">
        <v>39006</v>
      </c>
      <c r="L192" s="301">
        <v>39006</v>
      </c>
      <c r="M192" s="301">
        <v>39006</v>
      </c>
      <c r="N192" s="301">
        <v>39006</v>
      </c>
      <c r="O192" s="376">
        <f t="shared" si="21"/>
        <v>466626</v>
      </c>
    </row>
    <row r="193" spans="1:15">
      <c r="A193" s="373">
        <v>70</v>
      </c>
      <c r="B193" s="300" t="str">
        <f t="shared" si="22"/>
        <v>LEPI ERWANSYAH</v>
      </c>
      <c r="C193" s="375">
        <f t="shared" si="23"/>
        <v>38766</v>
      </c>
      <c r="D193" s="375">
        <f t="shared" si="23"/>
        <v>38766</v>
      </c>
      <c r="E193" s="375">
        <f t="shared" si="23"/>
        <v>38766</v>
      </c>
      <c r="F193" s="375">
        <f t="shared" si="23"/>
        <v>38766</v>
      </c>
      <c r="G193" s="375">
        <f t="shared" si="23"/>
        <v>38766</v>
      </c>
      <c r="H193" s="375">
        <f t="shared" si="23"/>
        <v>38766</v>
      </c>
      <c r="I193" s="301">
        <v>39000</v>
      </c>
      <c r="J193" s="301">
        <v>39006</v>
      </c>
      <c r="K193" s="301">
        <v>39006</v>
      </c>
      <c r="L193" s="301">
        <v>39006</v>
      </c>
      <c r="M193" s="301">
        <v>39036</v>
      </c>
      <c r="N193" s="301">
        <v>39036</v>
      </c>
      <c r="O193" s="376">
        <f t="shared" si="21"/>
        <v>466686</v>
      </c>
    </row>
    <row r="194" spans="1:15">
      <c r="A194" s="373">
        <v>71</v>
      </c>
      <c r="B194" s="300" t="str">
        <f t="shared" si="22"/>
        <v>NOVA RIZAL</v>
      </c>
      <c r="C194" s="375">
        <f t="shared" si="23"/>
        <v>38766</v>
      </c>
      <c r="D194" s="375">
        <f t="shared" si="23"/>
        <v>38766</v>
      </c>
      <c r="E194" s="375">
        <f t="shared" si="23"/>
        <v>38766</v>
      </c>
      <c r="F194" s="375">
        <f t="shared" si="23"/>
        <v>38766</v>
      </c>
      <c r="G194" s="375">
        <f t="shared" si="23"/>
        <v>38766</v>
      </c>
      <c r="H194" s="375">
        <f t="shared" si="23"/>
        <v>38766</v>
      </c>
      <c r="I194" s="301">
        <v>39000</v>
      </c>
      <c r="J194" s="499"/>
      <c r="K194" s="499"/>
      <c r="L194" s="499"/>
      <c r="M194" s="499"/>
      <c r="N194" s="499"/>
      <c r="O194" s="376">
        <f t="shared" si="21"/>
        <v>271596</v>
      </c>
    </row>
    <row r="195" spans="1:15">
      <c r="A195" s="373">
        <v>72</v>
      </c>
      <c r="B195" s="300" t="str">
        <f t="shared" si="22"/>
        <v>MASKUR</v>
      </c>
      <c r="C195" s="375">
        <f t="shared" si="23"/>
        <v>38766</v>
      </c>
      <c r="D195" s="375">
        <f t="shared" si="23"/>
        <v>38766</v>
      </c>
      <c r="E195" s="375">
        <f t="shared" si="23"/>
        <v>38766</v>
      </c>
      <c r="F195" s="375">
        <f t="shared" si="23"/>
        <v>38766</v>
      </c>
      <c r="G195" s="375">
        <f t="shared" si="23"/>
        <v>38766</v>
      </c>
      <c r="H195" s="375">
        <f t="shared" si="23"/>
        <v>38766</v>
      </c>
      <c r="I195" s="301">
        <v>39000</v>
      </c>
      <c r="J195" s="301">
        <v>39006</v>
      </c>
      <c r="K195" s="301">
        <v>39006</v>
      </c>
      <c r="L195" s="301">
        <v>39006</v>
      </c>
      <c r="M195" s="301">
        <v>39006</v>
      </c>
      <c r="N195" s="301">
        <v>39006</v>
      </c>
      <c r="O195" s="376">
        <f t="shared" si="21"/>
        <v>466626</v>
      </c>
    </row>
    <row r="196" spans="1:15">
      <c r="A196" s="373">
        <v>73</v>
      </c>
      <c r="B196" s="300" t="str">
        <f t="shared" si="22"/>
        <v>SUTRISNO</v>
      </c>
      <c r="C196" s="375">
        <f t="shared" si="23"/>
        <v>38766</v>
      </c>
      <c r="D196" s="375">
        <f t="shared" si="23"/>
        <v>38766</v>
      </c>
      <c r="E196" s="375">
        <f t="shared" si="23"/>
        <v>38766</v>
      </c>
      <c r="F196" s="375">
        <f t="shared" si="23"/>
        <v>38766</v>
      </c>
      <c r="G196" s="375">
        <f t="shared" si="23"/>
        <v>38766</v>
      </c>
      <c r="H196" s="375">
        <f t="shared" si="23"/>
        <v>38766</v>
      </c>
      <c r="I196" s="301">
        <v>39300</v>
      </c>
      <c r="J196" s="301">
        <v>39306</v>
      </c>
      <c r="K196" s="301">
        <v>39306</v>
      </c>
      <c r="L196" s="301">
        <v>39306</v>
      </c>
      <c r="M196" s="301">
        <v>39306</v>
      </c>
      <c r="N196" s="301">
        <v>39306</v>
      </c>
      <c r="O196" s="376">
        <f t="shared" si="21"/>
        <v>468426</v>
      </c>
    </row>
    <row r="197" spans="1:15">
      <c r="A197" s="373">
        <v>74</v>
      </c>
      <c r="B197" s="300" t="str">
        <f t="shared" si="22"/>
        <v>SUHARDI</v>
      </c>
      <c r="C197" s="375">
        <f t="shared" si="23"/>
        <v>38766</v>
      </c>
      <c r="D197" s="375">
        <f t="shared" si="23"/>
        <v>38766</v>
      </c>
      <c r="E197" s="375">
        <f t="shared" si="23"/>
        <v>38766</v>
      </c>
      <c r="F197" s="375">
        <f t="shared" si="23"/>
        <v>38766</v>
      </c>
      <c r="G197" s="375">
        <f t="shared" si="23"/>
        <v>38766</v>
      </c>
      <c r="H197" s="375">
        <f t="shared" si="23"/>
        <v>38766</v>
      </c>
      <c r="I197" s="301">
        <v>39090</v>
      </c>
      <c r="J197" s="301">
        <v>39096</v>
      </c>
      <c r="K197" s="301">
        <v>39096</v>
      </c>
      <c r="L197" s="301">
        <v>39096</v>
      </c>
      <c r="M197" s="301">
        <v>39096</v>
      </c>
      <c r="N197" s="499"/>
      <c r="O197" s="376">
        <f t="shared" si="21"/>
        <v>428070</v>
      </c>
    </row>
    <row r="198" spans="1:15">
      <c r="A198" s="373">
        <v>75</v>
      </c>
      <c r="B198" s="300" t="str">
        <f t="shared" si="22"/>
        <v>RUSDI</v>
      </c>
      <c r="C198" s="375">
        <f t="shared" si="23"/>
        <v>38766</v>
      </c>
      <c r="D198" s="375">
        <f t="shared" si="23"/>
        <v>38766</v>
      </c>
      <c r="E198" s="375">
        <f t="shared" si="23"/>
        <v>38766</v>
      </c>
      <c r="F198" s="375">
        <f t="shared" si="23"/>
        <v>38766</v>
      </c>
      <c r="G198" s="375">
        <f t="shared" si="23"/>
        <v>38766</v>
      </c>
      <c r="H198" s="375">
        <f t="shared" si="23"/>
        <v>38766</v>
      </c>
      <c r="I198" s="301">
        <v>39300</v>
      </c>
      <c r="J198" s="301">
        <v>39306</v>
      </c>
      <c r="K198" s="301">
        <v>39306</v>
      </c>
      <c r="L198" s="301">
        <v>39306</v>
      </c>
      <c r="M198" s="301">
        <v>39306</v>
      </c>
      <c r="N198" s="301">
        <v>39306</v>
      </c>
      <c r="O198" s="376">
        <f t="shared" si="21"/>
        <v>468426</v>
      </c>
    </row>
    <row r="199" spans="1:15">
      <c r="A199" s="373">
        <v>76</v>
      </c>
      <c r="B199" s="300" t="str">
        <f t="shared" si="22"/>
        <v>MASJONI</v>
      </c>
      <c r="C199" s="375">
        <f t="shared" si="23"/>
        <v>38766</v>
      </c>
      <c r="D199" s="375">
        <f t="shared" si="23"/>
        <v>38766</v>
      </c>
      <c r="E199" s="375">
        <f t="shared" si="23"/>
        <v>38766</v>
      </c>
      <c r="F199" s="375">
        <f t="shared" si="23"/>
        <v>38766</v>
      </c>
      <c r="G199" s="375">
        <f t="shared" si="23"/>
        <v>38766</v>
      </c>
      <c r="H199" s="375">
        <f t="shared" si="23"/>
        <v>38766</v>
      </c>
      <c r="I199" s="301">
        <v>39615</v>
      </c>
      <c r="J199" s="301">
        <v>39621</v>
      </c>
      <c r="K199" s="301">
        <v>39621</v>
      </c>
      <c r="L199" s="301">
        <v>39621</v>
      </c>
      <c r="M199" s="301">
        <v>39621</v>
      </c>
      <c r="N199" s="301">
        <v>39621</v>
      </c>
      <c r="O199" s="376">
        <f t="shared" si="21"/>
        <v>470316</v>
      </c>
    </row>
    <row r="200" spans="1:15">
      <c r="A200" s="373">
        <v>77</v>
      </c>
      <c r="B200" s="300" t="str">
        <f t="shared" si="22"/>
        <v>ROSMAN</v>
      </c>
      <c r="C200" s="375">
        <f t="shared" si="23"/>
        <v>38766</v>
      </c>
      <c r="D200" s="375">
        <f t="shared" si="23"/>
        <v>38766</v>
      </c>
      <c r="E200" s="375">
        <f t="shared" si="23"/>
        <v>38766</v>
      </c>
      <c r="F200" s="375">
        <f t="shared" si="23"/>
        <v>38766</v>
      </c>
      <c r="G200" s="375">
        <f t="shared" si="23"/>
        <v>38766</v>
      </c>
      <c r="H200" s="375">
        <f t="shared" si="23"/>
        <v>38766</v>
      </c>
      <c r="I200" s="301">
        <v>39265</v>
      </c>
      <c r="J200" s="301">
        <v>39271</v>
      </c>
      <c r="K200" s="301">
        <v>39271</v>
      </c>
      <c r="L200" s="301">
        <v>39271</v>
      </c>
      <c r="M200" s="301">
        <v>39271</v>
      </c>
      <c r="N200" s="301">
        <v>39271</v>
      </c>
      <c r="O200" s="376">
        <f t="shared" si="21"/>
        <v>468216</v>
      </c>
    </row>
    <row r="201" spans="1:15">
      <c r="A201" s="373">
        <v>78</v>
      </c>
      <c r="B201" s="300" t="str">
        <f t="shared" si="22"/>
        <v>SUMARTO EVENDI</v>
      </c>
      <c r="C201" s="375">
        <f t="shared" si="23"/>
        <v>38766</v>
      </c>
      <c r="D201" s="375">
        <f t="shared" si="23"/>
        <v>38766</v>
      </c>
      <c r="E201" s="375">
        <f t="shared" si="23"/>
        <v>38766</v>
      </c>
      <c r="F201" s="375">
        <f t="shared" si="23"/>
        <v>38766</v>
      </c>
      <c r="G201" s="375">
        <f t="shared" si="23"/>
        <v>38766</v>
      </c>
      <c r="H201" s="375">
        <f t="shared" si="23"/>
        <v>38766</v>
      </c>
      <c r="I201" s="301">
        <v>39030</v>
      </c>
      <c r="J201" s="301">
        <v>39036</v>
      </c>
      <c r="K201" s="301">
        <v>39036</v>
      </c>
      <c r="L201" s="301">
        <v>39036</v>
      </c>
      <c r="M201" s="499"/>
      <c r="N201" s="499"/>
      <c r="O201" s="376">
        <f t="shared" si="21"/>
        <v>388734</v>
      </c>
    </row>
    <row r="202" spans="1:15">
      <c r="A202" s="373">
        <v>79</v>
      </c>
      <c r="B202" s="300" t="str">
        <f t="shared" si="22"/>
        <v>HERMAN</v>
      </c>
      <c r="C202" s="375">
        <f t="shared" si="23"/>
        <v>38766</v>
      </c>
      <c r="D202" s="375">
        <f t="shared" si="23"/>
        <v>38766</v>
      </c>
      <c r="E202" s="375">
        <f t="shared" si="23"/>
        <v>38766</v>
      </c>
      <c r="F202" s="375">
        <f t="shared" si="23"/>
        <v>38766</v>
      </c>
      <c r="G202" s="375">
        <f t="shared" si="23"/>
        <v>38766</v>
      </c>
      <c r="H202" s="375">
        <f t="shared" si="23"/>
        <v>38766</v>
      </c>
      <c r="I202" s="301">
        <v>38970</v>
      </c>
      <c r="J202" s="301">
        <v>39006</v>
      </c>
      <c r="K202" s="301">
        <v>39006</v>
      </c>
      <c r="L202" s="301">
        <v>39006</v>
      </c>
      <c r="M202" s="301">
        <v>39006</v>
      </c>
      <c r="N202" s="301">
        <v>39006</v>
      </c>
      <c r="O202" s="376">
        <f t="shared" si="21"/>
        <v>466596</v>
      </c>
    </row>
    <row r="203" spans="1:15">
      <c r="A203" s="373">
        <v>80</v>
      </c>
      <c r="B203" s="300" t="str">
        <f t="shared" si="22"/>
        <v>ANDRES CAHYADI</v>
      </c>
      <c r="C203" s="375">
        <f t="shared" ref="C203:H216" si="24">3876600*1%</f>
        <v>38766</v>
      </c>
      <c r="D203" s="375">
        <f t="shared" si="24"/>
        <v>38766</v>
      </c>
      <c r="E203" s="375">
        <f t="shared" si="24"/>
        <v>38766</v>
      </c>
      <c r="F203" s="375">
        <f t="shared" si="24"/>
        <v>38766</v>
      </c>
      <c r="G203" s="375">
        <f t="shared" si="24"/>
        <v>38766</v>
      </c>
      <c r="H203" s="375">
        <f t="shared" si="24"/>
        <v>38766</v>
      </c>
      <c r="I203" s="301">
        <v>38970</v>
      </c>
      <c r="J203" s="301">
        <v>38976</v>
      </c>
      <c r="K203" s="301">
        <v>38976</v>
      </c>
      <c r="L203" s="301">
        <v>38976</v>
      </c>
      <c r="M203" s="301">
        <v>38976</v>
      </c>
      <c r="N203" s="301">
        <v>39006</v>
      </c>
      <c r="O203" s="376">
        <f t="shared" si="21"/>
        <v>466476</v>
      </c>
    </row>
    <row r="204" spans="1:15">
      <c r="A204" s="373">
        <v>81</v>
      </c>
      <c r="B204" s="300" t="str">
        <f t="shared" si="22"/>
        <v>SAMSIR</v>
      </c>
      <c r="C204" s="375">
        <f t="shared" si="24"/>
        <v>38766</v>
      </c>
      <c r="D204" s="375">
        <f t="shared" si="24"/>
        <v>38766</v>
      </c>
      <c r="E204" s="375">
        <f t="shared" si="24"/>
        <v>38766</v>
      </c>
      <c r="F204" s="375">
        <f t="shared" si="24"/>
        <v>38766</v>
      </c>
      <c r="G204" s="375">
        <f t="shared" si="24"/>
        <v>38766</v>
      </c>
      <c r="H204" s="375">
        <f t="shared" si="24"/>
        <v>38766</v>
      </c>
      <c r="I204" s="301">
        <v>39030</v>
      </c>
      <c r="J204" s="301">
        <v>39036</v>
      </c>
      <c r="K204" s="301">
        <v>39036</v>
      </c>
      <c r="L204" s="301">
        <v>39036</v>
      </c>
      <c r="M204" s="301">
        <v>39036</v>
      </c>
      <c r="N204" s="499"/>
      <c r="O204" s="376">
        <f t="shared" si="21"/>
        <v>427770</v>
      </c>
    </row>
    <row r="205" spans="1:15">
      <c r="A205" s="373">
        <v>82</v>
      </c>
      <c r="B205" s="300" t="str">
        <f t="shared" si="22"/>
        <v>FEBRIANSYAH</v>
      </c>
      <c r="C205" s="375">
        <f t="shared" si="24"/>
        <v>38766</v>
      </c>
      <c r="D205" s="375">
        <f t="shared" si="24"/>
        <v>38766</v>
      </c>
      <c r="E205" s="375">
        <f t="shared" si="24"/>
        <v>38766</v>
      </c>
      <c r="F205" s="375">
        <f t="shared" si="24"/>
        <v>38766</v>
      </c>
      <c r="G205" s="375">
        <f t="shared" si="24"/>
        <v>38766</v>
      </c>
      <c r="H205" s="499"/>
      <c r="I205" s="499"/>
      <c r="J205" s="499"/>
      <c r="K205" s="499"/>
      <c r="L205" s="499"/>
      <c r="M205" s="499"/>
      <c r="N205" s="499"/>
      <c r="O205" s="376">
        <f t="shared" si="21"/>
        <v>193830</v>
      </c>
    </row>
    <row r="206" spans="1:15">
      <c r="A206" s="373">
        <v>83</v>
      </c>
      <c r="B206" s="300" t="str">
        <f t="shared" si="22"/>
        <v>WIDI JULIANSYAH</v>
      </c>
      <c r="C206" s="375">
        <f t="shared" si="24"/>
        <v>38766</v>
      </c>
      <c r="D206" s="375">
        <f t="shared" si="24"/>
        <v>38766</v>
      </c>
      <c r="E206" s="375">
        <f t="shared" si="24"/>
        <v>38766</v>
      </c>
      <c r="F206" s="375">
        <f t="shared" si="24"/>
        <v>38766</v>
      </c>
      <c r="G206" s="375">
        <f t="shared" si="24"/>
        <v>38766</v>
      </c>
      <c r="H206" s="375">
        <f t="shared" si="24"/>
        <v>38766</v>
      </c>
      <c r="I206" s="301">
        <v>38785</v>
      </c>
      <c r="J206" s="301">
        <v>38816</v>
      </c>
      <c r="K206" s="301">
        <v>38816</v>
      </c>
      <c r="L206" s="301">
        <v>38816</v>
      </c>
      <c r="M206" s="301">
        <v>38816</v>
      </c>
      <c r="N206" s="301">
        <v>38816</v>
      </c>
      <c r="O206" s="376">
        <f t="shared" si="21"/>
        <v>465461</v>
      </c>
    </row>
    <row r="207" spans="1:15">
      <c r="A207" s="373">
        <v>84</v>
      </c>
      <c r="B207" s="300" t="str">
        <f t="shared" si="22"/>
        <v>ANGGA NURDIANSYAH</v>
      </c>
      <c r="C207" s="375">
        <f t="shared" si="24"/>
        <v>38766</v>
      </c>
      <c r="D207" s="375">
        <f t="shared" si="24"/>
        <v>38766</v>
      </c>
      <c r="E207" s="375">
        <f t="shared" si="24"/>
        <v>38766</v>
      </c>
      <c r="F207" s="375">
        <f t="shared" si="24"/>
        <v>38766</v>
      </c>
      <c r="G207" s="375">
        <f t="shared" si="24"/>
        <v>38766</v>
      </c>
      <c r="H207" s="375">
        <f t="shared" si="24"/>
        <v>38766</v>
      </c>
      <c r="I207" s="301">
        <v>38885</v>
      </c>
      <c r="J207" s="301">
        <v>38891</v>
      </c>
      <c r="K207" s="301">
        <v>38891</v>
      </c>
      <c r="L207" s="301">
        <v>38891</v>
      </c>
      <c r="M207" s="301">
        <v>38916</v>
      </c>
      <c r="N207" s="499"/>
      <c r="O207" s="376">
        <f t="shared" si="21"/>
        <v>427070</v>
      </c>
    </row>
    <row r="208" spans="1:15">
      <c r="A208" s="373">
        <v>85</v>
      </c>
      <c r="B208" s="300" t="str">
        <f t="shared" si="22"/>
        <v>ISMAIL</v>
      </c>
      <c r="C208" s="375">
        <f t="shared" si="24"/>
        <v>38766</v>
      </c>
      <c r="D208" s="375">
        <f t="shared" si="24"/>
        <v>38766</v>
      </c>
      <c r="E208" s="375">
        <f t="shared" si="24"/>
        <v>38766</v>
      </c>
      <c r="F208" s="375">
        <f t="shared" si="24"/>
        <v>38766</v>
      </c>
      <c r="G208" s="375">
        <f t="shared" si="24"/>
        <v>38766</v>
      </c>
      <c r="H208" s="375">
        <f t="shared" si="24"/>
        <v>38766</v>
      </c>
      <c r="I208" s="301">
        <v>38810</v>
      </c>
      <c r="J208" s="301">
        <v>38816</v>
      </c>
      <c r="K208" s="301">
        <v>38816</v>
      </c>
      <c r="L208" s="301">
        <v>38816</v>
      </c>
      <c r="M208" s="301">
        <v>38816</v>
      </c>
      <c r="N208" s="301">
        <v>38816</v>
      </c>
      <c r="O208" s="376">
        <f t="shared" si="21"/>
        <v>465486</v>
      </c>
    </row>
    <row r="209" spans="1:15">
      <c r="A209" s="373">
        <v>86</v>
      </c>
      <c r="B209" s="300" t="str">
        <f t="shared" si="22"/>
        <v>JOPI APRIAN HIDAYAT</v>
      </c>
      <c r="C209" s="375">
        <f t="shared" si="24"/>
        <v>38766</v>
      </c>
      <c r="D209" s="375">
        <f t="shared" si="24"/>
        <v>38766</v>
      </c>
      <c r="E209" s="375">
        <f t="shared" si="24"/>
        <v>38766</v>
      </c>
      <c r="F209" s="375">
        <f t="shared" si="24"/>
        <v>38766</v>
      </c>
      <c r="G209" s="375">
        <f t="shared" si="24"/>
        <v>38766</v>
      </c>
      <c r="H209" s="375">
        <f t="shared" si="24"/>
        <v>38766</v>
      </c>
      <c r="I209" s="301">
        <v>38810</v>
      </c>
      <c r="J209" s="301">
        <v>38816</v>
      </c>
      <c r="K209" s="301">
        <v>38816</v>
      </c>
      <c r="L209" s="301">
        <v>38816</v>
      </c>
      <c r="M209" s="301">
        <v>38816</v>
      </c>
      <c r="N209" s="499"/>
      <c r="O209" s="376">
        <f t="shared" si="21"/>
        <v>426670</v>
      </c>
    </row>
    <row r="210" spans="1:15">
      <c r="A210" s="373">
        <v>87</v>
      </c>
      <c r="B210" s="300" t="str">
        <f t="shared" si="22"/>
        <v>BINTANG ADITYA REVALDO</v>
      </c>
      <c r="C210" s="375">
        <f t="shared" si="24"/>
        <v>38766</v>
      </c>
      <c r="D210" s="375">
        <f t="shared" si="24"/>
        <v>38766</v>
      </c>
      <c r="E210" s="375">
        <f t="shared" si="24"/>
        <v>38766</v>
      </c>
      <c r="F210" s="375">
        <f t="shared" si="24"/>
        <v>38766</v>
      </c>
      <c r="G210" s="375">
        <f t="shared" si="24"/>
        <v>38766</v>
      </c>
      <c r="H210" s="499"/>
      <c r="I210" s="499"/>
      <c r="J210" s="499"/>
      <c r="K210" s="499"/>
      <c r="L210" s="499"/>
      <c r="M210" s="499"/>
      <c r="N210" s="499"/>
      <c r="O210" s="376">
        <f t="shared" si="21"/>
        <v>193830</v>
      </c>
    </row>
    <row r="211" spans="1:15">
      <c r="A211" s="373">
        <v>88</v>
      </c>
      <c r="B211" s="300" t="str">
        <f t="shared" si="22"/>
        <v>SOLEHAN</v>
      </c>
      <c r="C211" s="375">
        <f t="shared" si="24"/>
        <v>38766</v>
      </c>
      <c r="D211" s="375">
        <f t="shared" si="24"/>
        <v>38766</v>
      </c>
      <c r="E211" s="375">
        <f t="shared" si="24"/>
        <v>38766</v>
      </c>
      <c r="F211" s="375">
        <f t="shared" si="24"/>
        <v>38766</v>
      </c>
      <c r="G211" s="375">
        <f t="shared" si="24"/>
        <v>38766</v>
      </c>
      <c r="H211" s="375">
        <f t="shared" si="24"/>
        <v>38766</v>
      </c>
      <c r="I211" s="301">
        <v>38885</v>
      </c>
      <c r="J211" s="301">
        <v>38891</v>
      </c>
      <c r="K211" s="301">
        <v>38891</v>
      </c>
      <c r="L211" s="301">
        <v>38891</v>
      </c>
      <c r="M211" s="301">
        <v>38891</v>
      </c>
      <c r="N211" s="301">
        <v>38891</v>
      </c>
      <c r="O211" s="376">
        <f t="shared" si="21"/>
        <v>465936</v>
      </c>
    </row>
    <row r="212" spans="1:15">
      <c r="A212" s="373">
        <v>89</v>
      </c>
      <c r="B212" s="300" t="str">
        <f t="shared" si="22"/>
        <v>WIRANTO</v>
      </c>
      <c r="C212" s="375">
        <f t="shared" si="24"/>
        <v>38766</v>
      </c>
      <c r="D212" s="375">
        <f t="shared" si="24"/>
        <v>38766</v>
      </c>
      <c r="E212" s="375">
        <f t="shared" si="24"/>
        <v>38766</v>
      </c>
      <c r="F212" s="375">
        <f t="shared" si="24"/>
        <v>38766</v>
      </c>
      <c r="G212" s="375">
        <f t="shared" si="24"/>
        <v>38766</v>
      </c>
      <c r="H212" s="375">
        <f t="shared" si="24"/>
        <v>38766</v>
      </c>
      <c r="I212" s="301">
        <v>38910</v>
      </c>
      <c r="J212" s="301">
        <v>38916</v>
      </c>
      <c r="K212" s="301">
        <v>38916</v>
      </c>
      <c r="L212" s="301">
        <v>38916</v>
      </c>
      <c r="M212" s="301">
        <v>38916</v>
      </c>
      <c r="N212" s="301">
        <v>38916</v>
      </c>
      <c r="O212" s="376">
        <f t="shared" si="21"/>
        <v>466086</v>
      </c>
    </row>
    <row r="213" spans="1:15">
      <c r="A213" s="373">
        <v>90</v>
      </c>
      <c r="B213" s="300" t="str">
        <f t="shared" si="22"/>
        <v>RUSDIANA</v>
      </c>
      <c r="C213" s="375">
        <f t="shared" si="24"/>
        <v>38766</v>
      </c>
      <c r="D213" s="375">
        <f t="shared" si="24"/>
        <v>38766</v>
      </c>
      <c r="E213" s="375">
        <f t="shared" si="24"/>
        <v>38766</v>
      </c>
      <c r="F213" s="375">
        <f t="shared" si="24"/>
        <v>38766</v>
      </c>
      <c r="G213" s="375">
        <f t="shared" si="24"/>
        <v>38766</v>
      </c>
      <c r="H213" s="375">
        <f t="shared" si="24"/>
        <v>38766</v>
      </c>
      <c r="I213" s="301">
        <v>39000</v>
      </c>
      <c r="J213" s="301">
        <v>39006</v>
      </c>
      <c r="K213" s="301">
        <v>39006</v>
      </c>
      <c r="L213" s="499"/>
      <c r="M213" s="499"/>
      <c r="N213" s="499"/>
      <c r="O213" s="376">
        <f t="shared" si="21"/>
        <v>349608</v>
      </c>
    </row>
    <row r="214" spans="1:15">
      <c r="A214" s="373">
        <v>91</v>
      </c>
      <c r="B214" s="300" t="str">
        <f t="shared" si="22"/>
        <v>EDI ZULKARNADI</v>
      </c>
      <c r="C214" s="375">
        <f t="shared" si="24"/>
        <v>38766</v>
      </c>
      <c r="D214" s="375">
        <f t="shared" si="24"/>
        <v>38766</v>
      </c>
      <c r="E214" s="375">
        <f t="shared" si="24"/>
        <v>38766</v>
      </c>
      <c r="F214" s="375">
        <f t="shared" si="24"/>
        <v>38766</v>
      </c>
      <c r="G214" s="375">
        <f t="shared" si="24"/>
        <v>38766</v>
      </c>
      <c r="H214" s="375">
        <f t="shared" si="24"/>
        <v>38766</v>
      </c>
      <c r="I214" s="301">
        <v>39030</v>
      </c>
      <c r="J214" s="301">
        <v>39036</v>
      </c>
      <c r="K214" s="301">
        <v>39036</v>
      </c>
      <c r="L214" s="301">
        <v>39036</v>
      </c>
      <c r="M214" s="301">
        <v>39036</v>
      </c>
      <c r="N214" s="301">
        <v>39036</v>
      </c>
      <c r="O214" s="376">
        <f t="shared" si="21"/>
        <v>466806</v>
      </c>
    </row>
    <row r="215" spans="1:15">
      <c r="A215" s="373">
        <v>92</v>
      </c>
      <c r="B215" s="300" t="str">
        <f t="shared" si="22"/>
        <v>ERLANDA</v>
      </c>
      <c r="C215" s="375">
        <f t="shared" si="24"/>
        <v>38766</v>
      </c>
      <c r="D215" s="375">
        <f t="shared" si="24"/>
        <v>38766</v>
      </c>
      <c r="E215" s="375">
        <f t="shared" si="24"/>
        <v>38766</v>
      </c>
      <c r="F215" s="375">
        <f t="shared" si="24"/>
        <v>38766</v>
      </c>
      <c r="G215" s="375">
        <f t="shared" si="24"/>
        <v>38766</v>
      </c>
      <c r="H215" s="375">
        <f t="shared" si="24"/>
        <v>38766</v>
      </c>
      <c r="I215" s="301">
        <v>38810</v>
      </c>
      <c r="J215" s="301">
        <v>38816</v>
      </c>
      <c r="K215" s="301">
        <v>38816</v>
      </c>
      <c r="L215" s="301">
        <v>38816</v>
      </c>
      <c r="M215" s="301">
        <v>38841</v>
      </c>
      <c r="N215" s="301">
        <v>38841</v>
      </c>
      <c r="O215" s="376">
        <f t="shared" si="21"/>
        <v>465536</v>
      </c>
    </row>
    <row r="216" spans="1:15">
      <c r="A216" s="373">
        <v>93</v>
      </c>
      <c r="B216" s="300" t="str">
        <f t="shared" si="22"/>
        <v>SUNARDI</v>
      </c>
      <c r="C216" s="375">
        <f t="shared" si="24"/>
        <v>38766</v>
      </c>
      <c r="D216" s="375">
        <f t="shared" si="24"/>
        <v>38766</v>
      </c>
      <c r="E216" s="375">
        <f t="shared" si="24"/>
        <v>38766</v>
      </c>
      <c r="F216" s="375">
        <f t="shared" si="24"/>
        <v>38766</v>
      </c>
      <c r="G216" s="375">
        <f t="shared" si="24"/>
        <v>38766</v>
      </c>
      <c r="H216" s="375">
        <f t="shared" si="24"/>
        <v>38766</v>
      </c>
      <c r="I216" s="301">
        <v>38860</v>
      </c>
      <c r="J216" s="301">
        <v>38866</v>
      </c>
      <c r="K216" s="301">
        <v>38866</v>
      </c>
      <c r="L216" s="301">
        <v>38866</v>
      </c>
      <c r="M216" s="301">
        <v>38866</v>
      </c>
      <c r="N216" s="301">
        <v>38866</v>
      </c>
      <c r="O216" s="376">
        <f t="shared" si="21"/>
        <v>465786</v>
      </c>
    </row>
    <row r="217" spans="1:15">
      <c r="A217" s="373">
        <v>94</v>
      </c>
      <c r="B217" s="300" t="str">
        <f t="shared" si="22"/>
        <v>ANDRI GUNAWAN</v>
      </c>
      <c r="C217" s="499"/>
      <c r="D217" s="499"/>
      <c r="E217" s="301">
        <v>38766</v>
      </c>
      <c r="F217" s="301">
        <v>38766</v>
      </c>
      <c r="G217" s="301">
        <v>38766</v>
      </c>
      <c r="H217" s="301">
        <v>38766</v>
      </c>
      <c r="I217" s="301">
        <v>38766</v>
      </c>
      <c r="J217" s="301">
        <v>38766</v>
      </c>
      <c r="K217" s="301">
        <v>38766</v>
      </c>
      <c r="L217" s="301">
        <v>38766</v>
      </c>
      <c r="M217" s="301">
        <v>38766</v>
      </c>
      <c r="N217" s="301">
        <v>38766</v>
      </c>
      <c r="O217" s="376">
        <f t="shared" si="21"/>
        <v>387660</v>
      </c>
    </row>
    <row r="218" spans="1:15">
      <c r="A218" s="373">
        <v>95</v>
      </c>
      <c r="B218" s="300" t="str">
        <f t="shared" si="22"/>
        <v>JUPRI</v>
      </c>
      <c r="C218" s="301">
        <v>38766</v>
      </c>
      <c r="D218" s="301">
        <v>38766</v>
      </c>
      <c r="E218" s="301">
        <v>38766</v>
      </c>
      <c r="F218" s="301">
        <v>38766</v>
      </c>
      <c r="G218" s="301">
        <v>38766</v>
      </c>
      <c r="H218" s="301">
        <v>38766</v>
      </c>
      <c r="I218" s="301">
        <v>38866</v>
      </c>
      <c r="J218" s="301">
        <v>38866</v>
      </c>
      <c r="K218" s="301">
        <v>38866</v>
      </c>
      <c r="L218" s="301">
        <v>38866</v>
      </c>
      <c r="M218" s="301">
        <v>38866</v>
      </c>
      <c r="N218" s="301">
        <v>38866</v>
      </c>
      <c r="O218" s="376">
        <f t="shared" ref="O218:O234" si="25">SUM(C218:N218)</f>
        <v>465792</v>
      </c>
    </row>
    <row r="219" spans="1:15">
      <c r="A219" s="373">
        <v>96</v>
      </c>
      <c r="B219" s="300" t="str">
        <f t="shared" si="22"/>
        <v>RAMADHAN</v>
      </c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>
        <v>38766</v>
      </c>
      <c r="O219" s="376">
        <f t="shared" si="25"/>
        <v>38766</v>
      </c>
    </row>
    <row r="220" spans="1:15">
      <c r="A220" s="373">
        <v>97</v>
      </c>
      <c r="B220" s="300" t="str">
        <f t="shared" ref="B220:B235" si="26">+B101</f>
        <v>RAFIANSYAH</v>
      </c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>
        <v>38766</v>
      </c>
      <c r="O220" s="376">
        <f t="shared" si="25"/>
        <v>38766</v>
      </c>
    </row>
    <row r="221" spans="1:15">
      <c r="A221" s="373">
        <v>98</v>
      </c>
      <c r="B221" s="300" t="str">
        <f t="shared" si="26"/>
        <v>VIRGA</v>
      </c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>
        <v>38766</v>
      </c>
      <c r="O221" s="376">
        <f t="shared" si="25"/>
        <v>38766</v>
      </c>
    </row>
    <row r="222" spans="1:15">
      <c r="A222" s="373">
        <v>99</v>
      </c>
      <c r="B222" s="300" t="str">
        <f t="shared" si="26"/>
        <v>TARMIZI</v>
      </c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>
        <v>38766</v>
      </c>
      <c r="O222" s="376">
        <f t="shared" si="25"/>
        <v>38766</v>
      </c>
    </row>
    <row r="223" spans="1:15">
      <c r="A223" s="373">
        <v>100</v>
      </c>
      <c r="B223" s="300" t="str">
        <f t="shared" si="26"/>
        <v>ANDREAS</v>
      </c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>
        <v>38766</v>
      </c>
      <c r="O223" s="376">
        <f t="shared" si="25"/>
        <v>38766</v>
      </c>
    </row>
    <row r="224" spans="1:15">
      <c r="A224" s="373">
        <v>101</v>
      </c>
      <c r="B224" s="300">
        <f t="shared" si="26"/>
        <v>0</v>
      </c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76">
        <f t="shared" si="25"/>
        <v>0</v>
      </c>
    </row>
    <row r="225" spans="1:15">
      <c r="A225" s="373">
        <v>102</v>
      </c>
      <c r="B225" s="300">
        <f t="shared" si="26"/>
        <v>0</v>
      </c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76">
        <f t="shared" si="25"/>
        <v>0</v>
      </c>
    </row>
    <row r="226" spans="1:15">
      <c r="A226" s="373">
        <v>103</v>
      </c>
      <c r="B226" s="300">
        <f t="shared" si="26"/>
        <v>0</v>
      </c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76">
        <f t="shared" si="25"/>
        <v>0</v>
      </c>
    </row>
    <row r="227" spans="1:15">
      <c r="A227" s="373">
        <v>104</v>
      </c>
      <c r="B227" s="300">
        <f t="shared" si="26"/>
        <v>0</v>
      </c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76">
        <f t="shared" si="25"/>
        <v>0</v>
      </c>
    </row>
    <row r="228" spans="1:15" ht="15" customHeight="1">
      <c r="A228" s="373">
        <v>105</v>
      </c>
      <c r="B228" s="300">
        <f t="shared" si="26"/>
        <v>0</v>
      </c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76">
        <f t="shared" si="25"/>
        <v>0</v>
      </c>
    </row>
    <row r="229" spans="1:15">
      <c r="A229" s="373">
        <v>106</v>
      </c>
      <c r="B229" s="300">
        <f t="shared" si="26"/>
        <v>0</v>
      </c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76">
        <f t="shared" si="25"/>
        <v>0</v>
      </c>
    </row>
    <row r="230" spans="1:15">
      <c r="A230" s="373">
        <v>107</v>
      </c>
      <c r="B230" s="300">
        <f t="shared" si="26"/>
        <v>0</v>
      </c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76">
        <f t="shared" si="25"/>
        <v>0</v>
      </c>
    </row>
    <row r="231" spans="1:15">
      <c r="A231" s="373">
        <v>108</v>
      </c>
      <c r="B231" s="300">
        <f t="shared" si="26"/>
        <v>0</v>
      </c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76">
        <f t="shared" si="25"/>
        <v>0</v>
      </c>
    </row>
    <row r="232" spans="1:15">
      <c r="A232" s="373">
        <v>109</v>
      </c>
      <c r="B232" s="300">
        <f t="shared" si="26"/>
        <v>0</v>
      </c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76">
        <f t="shared" si="25"/>
        <v>0</v>
      </c>
    </row>
    <row r="233" spans="1:15">
      <c r="A233" s="373">
        <v>110</v>
      </c>
      <c r="B233" s="300">
        <f t="shared" si="26"/>
        <v>0</v>
      </c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76">
        <f t="shared" si="25"/>
        <v>0</v>
      </c>
    </row>
    <row r="234" spans="1:15">
      <c r="A234" s="373">
        <v>111</v>
      </c>
      <c r="B234" s="300">
        <f t="shared" si="26"/>
        <v>0</v>
      </c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76">
        <f t="shared" si="25"/>
        <v>0</v>
      </c>
    </row>
    <row r="235" spans="1:15" ht="15.75" thickBot="1">
      <c r="A235" s="373">
        <v>112</v>
      </c>
      <c r="B235" s="300">
        <f t="shared" si="26"/>
        <v>0</v>
      </c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76"/>
    </row>
    <row r="236" spans="1:15" ht="15.75" thickBot="1">
      <c r="A236" s="650" t="s">
        <v>461</v>
      </c>
      <c r="B236" s="651"/>
      <c r="C236" s="382">
        <f t="shared" ref="C236:N236" si="27">SUM(C124:C234)</f>
        <v>3644004</v>
      </c>
      <c r="D236" s="382">
        <f t="shared" si="27"/>
        <v>3644004</v>
      </c>
      <c r="E236" s="382">
        <f t="shared" si="27"/>
        <v>3682770</v>
      </c>
      <c r="F236" s="382">
        <f t="shared" si="27"/>
        <v>3682770</v>
      </c>
      <c r="G236" s="382">
        <f t="shared" si="27"/>
        <v>3682770</v>
      </c>
      <c r="H236" s="382">
        <f t="shared" si="27"/>
        <v>3605238</v>
      </c>
      <c r="I236" s="382">
        <f t="shared" si="27"/>
        <v>3637332</v>
      </c>
      <c r="J236" s="382">
        <f t="shared" si="27"/>
        <v>3560256</v>
      </c>
      <c r="K236" s="382">
        <f t="shared" si="27"/>
        <v>3521525</v>
      </c>
      <c r="L236" s="382">
        <f t="shared" si="27"/>
        <v>3482834</v>
      </c>
      <c r="M236" s="382">
        <f t="shared" si="27"/>
        <v>3444203</v>
      </c>
      <c r="N236" s="382">
        <f t="shared" si="27"/>
        <v>3482359</v>
      </c>
      <c r="O236" s="376">
        <f>SUM(C236:N236)</f>
        <v>43070065</v>
      </c>
    </row>
    <row r="238" spans="1:15">
      <c r="N238" s="544">
        <v>3288529</v>
      </c>
    </row>
    <row r="241" spans="1:15">
      <c r="A241" s="373">
        <v>74</v>
      </c>
      <c r="B241" s="300" t="str">
        <f>+B119</f>
        <v>HERY</v>
      </c>
      <c r="C241" s="375">
        <f t="shared" si="23"/>
        <v>38766</v>
      </c>
      <c r="D241" s="375">
        <f t="shared" si="23"/>
        <v>38766</v>
      </c>
      <c r="E241" s="375">
        <f t="shared" si="23"/>
        <v>38766</v>
      </c>
      <c r="F241" s="375">
        <f t="shared" si="23"/>
        <v>38766</v>
      </c>
      <c r="G241" s="375">
        <f t="shared" si="23"/>
        <v>38766</v>
      </c>
      <c r="H241" s="375">
        <f t="shared" si="23"/>
        <v>38766</v>
      </c>
      <c r="I241" s="301">
        <v>38835</v>
      </c>
      <c r="J241" s="301">
        <v>38841</v>
      </c>
      <c r="K241" s="301"/>
      <c r="L241" s="301"/>
      <c r="M241" s="301"/>
      <c r="N241" s="301"/>
      <c r="O241" s="376">
        <f>SUM(C241:N241)</f>
        <v>310272</v>
      </c>
    </row>
    <row r="242" spans="1:15">
      <c r="A242" s="373">
        <v>2</v>
      </c>
      <c r="B242" s="300" t="str">
        <f>+B120</f>
        <v>MARETA</v>
      </c>
      <c r="C242" s="375">
        <f t="shared" si="15"/>
        <v>38766</v>
      </c>
      <c r="D242" s="375">
        <f t="shared" si="13"/>
        <v>38766</v>
      </c>
      <c r="E242" s="375">
        <f t="shared" si="13"/>
        <v>38766</v>
      </c>
      <c r="F242" s="375">
        <f t="shared" si="13"/>
        <v>38766</v>
      </c>
      <c r="G242" s="375">
        <f t="shared" si="13"/>
        <v>38766</v>
      </c>
      <c r="H242" s="375">
        <f t="shared" si="13"/>
        <v>38766</v>
      </c>
      <c r="I242" s="301">
        <v>38970</v>
      </c>
      <c r="J242" s="301">
        <v>38976</v>
      </c>
      <c r="K242" s="301">
        <v>38976</v>
      </c>
      <c r="L242" s="301">
        <v>38976</v>
      </c>
      <c r="M242" s="301"/>
      <c r="N242" s="301"/>
      <c r="O242" s="376">
        <f>SUM(C242:N242)</f>
        <v>388494</v>
      </c>
    </row>
  </sheetData>
  <mergeCells count="10">
    <mergeCell ref="A236:B236"/>
    <mergeCell ref="A3:A4"/>
    <mergeCell ref="B3:B4"/>
    <mergeCell ref="C3:N3"/>
    <mergeCell ref="O3:O4"/>
    <mergeCell ref="A117:B117"/>
    <mergeCell ref="A122:A123"/>
    <mergeCell ref="B122:B123"/>
    <mergeCell ref="C122:N122"/>
    <mergeCell ref="O122:O1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4</vt:i4>
      </vt:variant>
    </vt:vector>
  </HeadingPairs>
  <TitlesOfParts>
    <vt:vector size="24" baseType="lpstr">
      <vt:lpstr>TARIF</vt:lpstr>
      <vt:lpstr>Des</vt:lpstr>
      <vt:lpstr>Jan'24</vt:lpstr>
      <vt:lpstr>Feb'24</vt:lpstr>
      <vt:lpstr>Feb'24 THR</vt:lpstr>
      <vt:lpstr>Maret'24</vt:lpstr>
      <vt:lpstr>April '24</vt:lpstr>
      <vt:lpstr>PPH EXGRATIA</vt:lpstr>
      <vt:lpstr>Mei '24</vt:lpstr>
      <vt:lpstr>Juni '24 </vt:lpstr>
      <vt:lpstr>Juli '24</vt:lpstr>
      <vt:lpstr>Agust '24 </vt:lpstr>
      <vt:lpstr>Sept '24</vt:lpstr>
      <vt:lpstr>Okt '24 </vt:lpstr>
      <vt:lpstr>Nop '24 </vt:lpstr>
      <vt:lpstr>PERBULAN</vt:lpstr>
      <vt:lpstr>SETAHUN</vt:lpstr>
      <vt:lpstr>PAJAK JAN-NOV</vt:lpstr>
      <vt:lpstr>BPJS</vt:lpstr>
      <vt:lpstr>ASTEK 2% -DIISI SMPAI DESEMBER</vt:lpstr>
      <vt:lpstr>Des!Print_Area</vt:lpstr>
      <vt:lpstr>Ter_A</vt:lpstr>
      <vt:lpstr>Ter_B</vt:lpstr>
      <vt:lpstr>Ter_C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Tommy Santoso</dc:creator>
  <cp:lastModifiedBy>PGE 1B</cp:lastModifiedBy>
  <cp:lastPrinted>2026-01-05T08:12:05Z</cp:lastPrinted>
  <dcterms:created xsi:type="dcterms:W3CDTF">2023-11-09T03:35:36Z</dcterms:created>
  <dcterms:modified xsi:type="dcterms:W3CDTF">2026-01-05T08:37:02Z</dcterms:modified>
</cp:coreProperties>
</file>